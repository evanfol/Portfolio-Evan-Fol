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lavilledegeneve-my.sharepoint.com/personal/thomas_kerboul_geneve_ch/Documents/98_EF/Statistiques_SAR/Fusion/"/>
    </mc:Choice>
  </mc:AlternateContent>
  <xr:revisionPtr revIDLastSave="833" documentId="8_{7CB008A5-80CD-43C9-9F60-5583A666212C}" xr6:coauthVersionLast="47" xr6:coauthVersionMax="47" xr10:uidLastSave="{78218B49-0ADE-4910-954F-7B65CF70248B}"/>
  <bookViews>
    <workbookView xWindow="-120" yWindow="-120" windowWidth="29040" windowHeight="15720" firstSheet="1" activeTab="3" xr2:uid="{AFFFC961-6E26-4B6E-A6DF-F1320DB2B349}"/>
  </bookViews>
  <sheets>
    <sheet name="Sources" sheetId="2" state="hidden" r:id="rId1"/>
    <sheet name="Infos" sheetId="10" r:id="rId2"/>
    <sheet name="Services" sheetId="7" state="hidden" r:id="rId3"/>
    <sheet name="Sélection" sheetId="1" r:id="rId4"/>
    <sheet name="Données" sheetId="5" r:id="rId5"/>
    <sheet name="Tableau de bord" sheetId="8" r:id="rId6"/>
  </sheets>
  <externalReferences>
    <externalReference r:id="rId7"/>
  </externalReferences>
  <definedNames>
    <definedName name="DonnéesExternes_1" localSheetId="0" hidden="1">Sources!$A$1:$C$3</definedName>
    <definedName name="DonnéesExternes_2" localSheetId="4" hidden="1">Données!$A$1:$S$1320</definedName>
    <definedName name="DonnéesExternes_3" localSheetId="2" hidden="1">Services!$A$1:$K$1472</definedName>
    <definedName name="ListeFichiers">fichiers[Name]</definedName>
  </definedNames>
  <calcPr calcId="191029"/>
  <pivotCaches>
    <pivotCache cacheId="0" r:id="rId8"/>
    <pivotCache cacheId="1"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2" l="1" a="1"/>
  <c r="F2" i="2" s="1"/>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J3" i="8"/>
  <c r="D3" i="8"/>
  <c r="N19" i="2" l="1"/>
  <c r="W20" i="2" s="1"/>
  <c r="N25" i="2"/>
  <c r="W26" i="2" s="1"/>
  <c r="N20" i="2"/>
  <c r="W21" i="2" s="1"/>
  <c r="N26" i="2"/>
  <c r="W27" i="2" s="1"/>
  <c r="N21" i="2"/>
  <c r="W22" i="2" s="1"/>
  <c r="N27" i="2"/>
  <c r="W28" i="2" s="1"/>
  <c r="N22" i="2"/>
  <c r="W23" i="2" s="1"/>
  <c r="N28" i="2"/>
  <c r="N24" i="2"/>
  <c r="W25" i="2" s="1"/>
  <c r="N23" i="2"/>
  <c r="W24" i="2" s="1"/>
  <c r="N12" i="2"/>
  <c r="W13" i="2" s="1"/>
  <c r="N18" i="2"/>
  <c r="W19" i="2" s="1"/>
  <c r="N15" i="2"/>
  <c r="W16" i="2" s="1"/>
  <c r="N13" i="2"/>
  <c r="W14" i="2" s="1"/>
  <c r="N14" i="2"/>
  <c r="W15" i="2" s="1"/>
  <c r="N16" i="2"/>
  <c r="W17" i="2" s="1"/>
  <c r="N17" i="2"/>
  <c r="W18" i="2" s="1"/>
  <c r="N4" i="2"/>
  <c r="W5" i="2" s="1"/>
  <c r="N8" i="2"/>
  <c r="W9" i="2" s="1"/>
  <c r="N9" i="2"/>
  <c r="W10" i="2" s="1"/>
  <c r="N10" i="2"/>
  <c r="W11" i="2" s="1"/>
  <c r="N6" i="2"/>
  <c r="W7" i="2" s="1"/>
  <c r="N7" i="2"/>
  <c r="W8" i="2" s="1"/>
  <c r="N11" i="2"/>
  <c r="W12" i="2" s="1"/>
  <c r="N5" i="2"/>
  <c r="G3" i="8"/>
  <c r="W101" i="2"/>
  <c r="W100" i="2"/>
  <c r="W99" i="2"/>
  <c r="W98" i="2"/>
  <c r="W97" i="2"/>
  <c r="W96" i="2"/>
  <c r="W95" i="2"/>
  <c r="W94" i="2"/>
  <c r="W93" i="2"/>
  <c r="W92" i="2"/>
  <c r="W91" i="2"/>
  <c r="W90" i="2"/>
  <c r="W89" i="2"/>
  <c r="W88" i="2"/>
  <c r="W87" i="2"/>
  <c r="W86" i="2"/>
  <c r="W85" i="2"/>
  <c r="W84" i="2"/>
  <c r="W83" i="2"/>
  <c r="W82" i="2"/>
  <c r="W81" i="2"/>
  <c r="W80" i="2"/>
  <c r="W79" i="2"/>
  <c r="W78" i="2"/>
  <c r="W77" i="2"/>
  <c r="W76" i="2"/>
  <c r="W75" i="2"/>
  <c r="W74" i="2"/>
  <c r="W73" i="2"/>
  <c r="W72" i="2"/>
  <c r="W71" i="2"/>
  <c r="W70" i="2"/>
  <c r="W69" i="2"/>
  <c r="W68" i="2"/>
  <c r="W67" i="2"/>
  <c r="W66" i="2"/>
  <c r="W65" i="2"/>
  <c r="W64" i="2"/>
  <c r="W63" i="2"/>
  <c r="W62" i="2"/>
  <c r="W61" i="2"/>
  <c r="W60" i="2"/>
  <c r="W59" i="2"/>
  <c r="W58" i="2"/>
  <c r="W57" i="2"/>
  <c r="W56" i="2"/>
  <c r="W55" i="2"/>
  <c r="W54" i="2"/>
  <c r="W53" i="2"/>
  <c r="W52" i="2"/>
  <c r="W51" i="2"/>
  <c r="W50" i="2"/>
  <c r="W49" i="2"/>
  <c r="W48" i="2"/>
  <c r="W47" i="2"/>
  <c r="W46" i="2"/>
  <c r="W45" i="2"/>
  <c r="W44" i="2"/>
  <c r="W43" i="2"/>
  <c r="W42" i="2"/>
  <c r="W41" i="2"/>
  <c r="W40" i="2"/>
  <c r="W39" i="2"/>
  <c r="W38" i="2"/>
  <c r="W37" i="2"/>
  <c r="W36" i="2"/>
  <c r="W35" i="2"/>
  <c r="W34" i="2"/>
  <c r="W33" i="2"/>
  <c r="W32" i="2"/>
  <c r="W31" i="2"/>
  <c r="W30" i="2"/>
  <c r="W29" i="2"/>
  <c r="W6"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9D34F70-12D5-450D-B70D-AD0FD7172530}" keepAlive="1" name="Requête - Données" description="Connexion à la requête « Données » dans le classeur." type="5" refreshedVersion="8" background="1" saveData="1">
    <dbPr connection="Provider=Microsoft.Mashup.OleDb.1;Data Source=$Workbook$;Location=Données;Extended Properties=&quot;&quot;" command="SELECT * FROM [Données]"/>
  </connection>
  <connection id="2" xr16:uid="{B885AFA4-017C-464A-BD3D-12F6863E3452}" keepAlive="1" name="Requête - fichiers" description="Connexion à la requête « fichiers » dans le classeur." type="5" refreshedVersion="8" background="1" saveData="1">
    <dbPr connection="Provider=Microsoft.Mashup.OleDb.1;Data Source=$Workbook$;Location=fichiers;Extended Properties=&quot;&quot;" command="SELECT * FROM [fichiers]"/>
  </connection>
  <connection id="3" xr16:uid="{2F0B51C4-9A5D-4554-9B28-A3E045F987A2}" keepAlive="1" name="Requête - fnLireTable" description="Connexion à la requête « fnLireTable » dans le classeur." type="5" refreshedVersion="0" background="1">
    <dbPr connection="Provider=Microsoft.Mashup.OleDb.1;Data Source=$Workbook$;Location=fnLireTable;Extended Properties=&quot;&quot;" command="SELECT * FROM [fnLireTable]"/>
  </connection>
  <connection id="4" xr16:uid="{D041E99E-D40C-4C71-AE89-EBAE62FDFC7D}" keepAlive="1" name="Requête - Services" description="Connexion à la requête « Services » dans le classeur." type="5" refreshedVersion="8" background="1" saveData="1">
    <dbPr connection="Provider=Microsoft.Mashup.OleDb.1;Data Source=$Workbook$;Location=Services;Extended Properties=&quot;&quot;" command="SELECT * FROM [Servic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<sst xmlns="http://schemas.openxmlformats.org/spreadsheetml/2006/main" count="16427" uniqueCount="421">
  <si>
    <t>Date modified</t>
  </si>
  <si>
    <t>Folder Path</t>
  </si>
  <si>
    <t>1.xlsm</t>
  </si>
  <si>
    <t>C:\Users\kerboul\OneDrive - Ville de Geneve\98_EF\Statistiques_SAR\Fusion\test\</t>
  </si>
  <si>
    <t>2.xlsm</t>
  </si>
  <si>
    <t>Sélectionner les sources</t>
  </si>
  <si>
    <t>Chemins sélectionnés</t>
  </si>
  <si>
    <t>Chemin</t>
  </si>
  <si>
    <t>Powerquerry</t>
  </si>
  <si>
    <t>Colonne1</t>
  </si>
  <si>
    <t>en présentiel</t>
  </si>
  <si>
    <t>français</t>
  </si>
  <si>
    <t>6-15 min</t>
  </si>
  <si>
    <t>A des vieux documents, affiches et partitions, entre autre sur l'Escalade, et voudrait savoir leur prix.</t>
  </si>
  <si>
    <t>moins de 1 min</t>
  </si>
  <si>
    <t>1-5 min</t>
  </si>
  <si>
    <t xml:space="preserve">Consultation du Temps </t>
  </si>
  <si>
    <t>anglais</t>
  </si>
  <si>
    <t>15 min et plus</t>
  </si>
  <si>
    <t>Orientation vers UniMail pour une recherche de documents en science politique</t>
  </si>
  <si>
    <t>au téléphone</t>
  </si>
  <si>
    <t>Travail de maturité : influence de la musique sur les performances sportives / influence de la musique sur l'éducation ou autre forme d'apprentissge / envoyé à UNIMAIL</t>
  </si>
  <si>
    <t>Techniques de photomontage</t>
  </si>
  <si>
    <t>Toilettes</t>
  </si>
  <si>
    <t xml:space="preserve">Affiche </t>
  </si>
  <si>
    <t>Périodiques</t>
  </si>
  <si>
    <t xml:space="preserve">Réservation Salle de Réunion </t>
  </si>
  <si>
    <t>autre</t>
  </si>
  <si>
    <t>Deux membres de l'ambassade de l'Equateur dont l'un avait travaillé dans une petite bibliothèque en Equateur et connaissait la Dewey et le catalogage,  visitent la bibliothèque pour l'embassadeur qui veut venir s'inscrire. Tout en espagnol !</t>
  </si>
  <si>
    <t>Histoire mondiale !!!</t>
  </si>
  <si>
    <t>Demande d'une nouvelle carte suite à un vol</t>
  </si>
  <si>
    <t>Une dame a oublié son chargeur à la Biblio de la Cité. La bibliothèque est fermée pour travaux pdt 2 mois. Elle m'entend discuter avec un collègue des BM de passge. Elle lui demande coment récupérer son chargeur. Il va s'en occuper et la recontacter.</t>
  </si>
  <si>
    <t>Demande de liquidie désinfectant lors de l'occupation d'un Monde Pc</t>
  </si>
  <si>
    <t>Est-ce que le titre "2008 / Pierre Jovanovic" se trouve dans une bibliothèque à Genève. (vient de paraître)</t>
  </si>
  <si>
    <t>Problème avec Mondo PC</t>
  </si>
  <si>
    <t>Espace café</t>
  </si>
  <si>
    <t>Liste ou rayon de littérature suisse en libre accès ? -&gt; Libre accès mais aussi redirection vers les livres en présentoir Zoé (résultats : plusieurs livres empruntés !)</t>
  </si>
  <si>
    <t>Espace café (moyen de paiement)</t>
  </si>
  <si>
    <t>Cherchait l'université</t>
  </si>
  <si>
    <t>Endroit pour pouvoir parler à haute voix =&gt; Espace café</t>
  </si>
  <si>
    <t>produit pour nettoyer une table</t>
  </si>
  <si>
    <t>Recherche sur les Anglo-saxons du 5e au 8e siècle</t>
  </si>
  <si>
    <t>ça bug pour moi, Adrienne, j'ai utilisé mon compte pour connecter un utilisateur</t>
  </si>
  <si>
    <t xml:space="preserve">Tout le temps, une lectrice n'arrive pas à avoir ses 4 heures d'utilisation de MondoPC. J'ai déjà téléphoné à la DSIC ; prêté mon compte ; essayé de rajouter des minutes... pas de nouvelles de la DSIC depuis mardi 15 / ada </t>
  </si>
  <si>
    <t>Accompagner avec l'ascenceur</t>
  </si>
  <si>
    <t>Explications concernant la façon de consulter des journaux genevois</t>
  </si>
  <si>
    <t>Comment fonctionne la presse en ligne ? Comment avoir accès ?</t>
  </si>
  <si>
    <t>Ne se souvient plus de ses identifiants</t>
  </si>
  <si>
    <t>Lecteur du Pérou</t>
  </si>
  <si>
    <t>casque</t>
  </si>
  <si>
    <t>Savoir si nous avions le DVD de Police Academy 3</t>
  </si>
  <si>
    <t>Doctorante IHEID -&gt; accès périodiques BGE</t>
  </si>
  <si>
    <t>espace café</t>
  </si>
  <si>
    <t>Recherche un numéro de La Suisse</t>
  </si>
  <si>
    <t>Envoyé en psycho ou en médecine car la question était pointue dans ces domaines</t>
  </si>
  <si>
    <t>Souhaite faire des photocopies mais ne souhaite pas acheter de carte... :-)</t>
  </si>
  <si>
    <t>WC</t>
  </si>
  <si>
    <t>Grammaire en dialogues niveau avancé : B2-C1 / Claire Miquel</t>
  </si>
  <si>
    <t>Recherche la collection d'ouvrages concernant les manuscrits conservés dans les Bibliothèques europeenes qui se trouvait à Senebier qu'on vient de désherber/refouler. Ca ne s'invente pas</t>
  </si>
  <si>
    <t>Savoir si ce sont toutes les archives Ella Maillart (fond de la BGE + fond de la BNS) qui sont inscrit au patrimoine de l'UNESCO ou seulement celles de la BGE.</t>
  </si>
  <si>
    <t>Visiteurs chinois qui veulent se rendre dans les différentes universités. Compliqué de leur expliquer que ce sont des bâtiments sans portails dispersés dans la ville.</t>
  </si>
  <si>
    <t>inscription longue suite à des bugs</t>
  </si>
  <si>
    <t>Internet</t>
  </si>
  <si>
    <t>Adaptateur pour prise</t>
  </si>
  <si>
    <t>Remplacement de carte</t>
  </si>
  <si>
    <t>Affiches</t>
  </si>
  <si>
    <t>Hare Krishna</t>
  </si>
  <si>
    <t>Proposition de don</t>
  </si>
  <si>
    <t>chercher un livre au rayon pour une lectrice</t>
  </si>
  <si>
    <t>Aide à retrouver un message parti dans les courriers indésirables</t>
  </si>
  <si>
    <t>Utilisation de l'imprimante</t>
  </si>
  <si>
    <t>question RH au sujet d'une postulation</t>
  </si>
  <si>
    <t>Un monsieur un peu agressif dès que cela ne va pas comme il veut, mais qui peut s'excuser après. C'est selon. Besoin d'aide pour enregistrer des choses sur clé usb et imprimer</t>
  </si>
  <si>
    <t>Renseignements sur les Jeudis midi</t>
  </si>
  <si>
    <t>Modifier une inscription 92 en compte normal</t>
  </si>
  <si>
    <t>Revue internationale de l'enfant / Union internationale de secours aux enfants , année 1926 = cote E 1880</t>
  </si>
  <si>
    <t>agrapheuse</t>
  </si>
  <si>
    <t>Accompagner avec l'ascenseur</t>
  </si>
  <si>
    <t>Recherche d'un artice numérisé de la Tribune, 1884</t>
  </si>
  <si>
    <t>Recherche d'articles dans la Tribune années 1890-1910</t>
  </si>
  <si>
    <t>Avoir accès aux ressources numériques de l'unige en étant de l'unine</t>
  </si>
  <si>
    <t>Consulter le registre foncier récent</t>
  </si>
  <si>
    <t xml:space="preserve">Robespierre et la république sociale / Albert Mathiez </t>
  </si>
  <si>
    <t>Orientation vers les bibliothèques HES Santé et Social</t>
  </si>
  <si>
    <t>Mineure. Ai tout fait, la lectrice repasse avec le formulaire signé</t>
  </si>
  <si>
    <t>Documentation sur l'Hôtel de Ville</t>
  </si>
  <si>
    <t>Déroulage d'un store</t>
  </si>
  <si>
    <t>Crime, faits divers à Genève dans les années 80-90</t>
  </si>
  <si>
    <t>Compte 92, ouvrages sur l'Hôtel de Ville</t>
  </si>
  <si>
    <t>Adaptateur</t>
  </si>
  <si>
    <t>Finalisation de l'inscription d'hier pour une personne mineure; voulait se créer un compte MondoPC mais comme mineure je l'ai redirigée vers les BM</t>
  </si>
  <si>
    <t xml:space="preserve">Collègue d'une autre bibliothèque qui a reçu par erreur par navette un matériel d'orchestre et qui voulait savoir ce qu'elle devait en faire car la fiche 7days n'était pas avec les documents </t>
  </si>
  <si>
    <t>Peut-on jouer au concours de l'exposition Zoé sans scanner le QR code ? =&gt; oui, sur le site de la BGE</t>
  </si>
  <si>
    <t>Recherchait des "annales" d'exercices de mathématiques pour la maturité</t>
  </si>
  <si>
    <t>LibreOffice ne s'ouvrait pas =&gt; résolu en redémarrant l'ordinateur</t>
  </si>
  <si>
    <t>Montres, horlogerie</t>
  </si>
  <si>
    <t>Robinet pour remplir gourde</t>
  </si>
  <si>
    <t>L'imprimante ne propose pas la bonne imprimante</t>
  </si>
  <si>
    <t>Pas de cash pour machine (Est-ce que le paiement par carte sera proposer un jour ?)</t>
  </si>
  <si>
    <t>document accessible en ligne, info sur la BAA, info sur son compte SLSP</t>
  </si>
  <si>
    <t>Collègue du secrétariat général qui souhaitait savoir si des périodiques sont disponibles (il avait eu l'info qu'on a eu une inondation au sous-sol...). Il était mécontent de ne pas avoir plus d'informations sur le temps que cela va nous prendre de régler le problème</t>
  </si>
  <si>
    <t>Enfant qui a renversé sa tasse de chocolat chaud dans l'espace café</t>
  </si>
  <si>
    <t>Johan Padan à la découverte des Amériques / Dario Fo  +  ouvrages en français de l'écrivain Dag Johan Haugerud</t>
  </si>
  <si>
    <t>Demande s'il y a moyen de garder un ouvrage plus longtemps alors qu'il a été demandé par quelqu'un d'autre.</t>
  </si>
  <si>
    <t>Une usagère a demandé s'il était possible de garder en permanence une bibliothèque comme celle faite pour Zoé en changeant de thème régulièrement (thématique particulière, autre maison d'édition, best-of des bibliothécaires, etc.)</t>
  </si>
  <si>
    <t>écouteurs</t>
  </si>
  <si>
    <t>prêt</t>
  </si>
  <si>
    <t>Livres en espagnol</t>
  </si>
  <si>
    <t>Réoritenté vers les BM plus adaptées à son profil de lecteur</t>
  </si>
  <si>
    <t>Photo d'Ella Maillart dans l'Illustré</t>
  </si>
  <si>
    <t>objet perdu</t>
  </si>
  <si>
    <t>machine café</t>
  </si>
  <si>
    <t>problème de livre non rendu</t>
  </si>
  <si>
    <t>service du pret</t>
  </si>
  <si>
    <t>La Musicale</t>
  </si>
  <si>
    <t>fermeture salles, horaires</t>
  </si>
  <si>
    <t>Accès ressources en ligne</t>
  </si>
  <si>
    <t>Voyage en ascenseur</t>
  </si>
  <si>
    <t>Photo Anne Marie Schwarzenbach / Ella Maillart</t>
  </si>
  <si>
    <t>Consulter des anciens numéros de la Suisse ; où trouver des actes de décès quand on connait le nom mais pas la date ? =&gt; Archives d'Etat</t>
  </si>
  <si>
    <t>Expo Zoé</t>
  </si>
  <si>
    <t>Salle Saussure</t>
  </si>
  <si>
    <t>Druzes ou Kamal Joumblatt</t>
  </si>
  <si>
    <t>Comment imprimer</t>
  </si>
  <si>
    <t>Figaro du 14 août</t>
  </si>
  <si>
    <t>Heures de fermeture de la salle de lecture</t>
  </si>
  <si>
    <t>Imprimantes</t>
  </si>
  <si>
    <t>Impression</t>
  </si>
  <si>
    <t>Perte d'un manteau -&gt; Loge</t>
  </si>
  <si>
    <t>Un lecteur souhaiterait faire numériser un dictionnaire d'arménien au profit de la bibliothèque.</t>
  </si>
  <si>
    <t>Recherche des avis de décès</t>
  </si>
  <si>
    <t>Pensait joindre la BM Cité</t>
  </si>
  <si>
    <t>wc</t>
  </si>
  <si>
    <t>recherche (sans succès) sur la poetesse indienne Lakshmî</t>
  </si>
  <si>
    <t>Salle de lecture</t>
  </si>
  <si>
    <t>casque audio</t>
  </si>
  <si>
    <t>ne se souvient plus de ses identifiants MondoPC</t>
  </si>
  <si>
    <t>Question à propos de Zotero. Je sollicite Agnes M.</t>
  </si>
  <si>
    <t>J'ai écouté longuement un usager (probablement un peu dérangé...) qui souhaite que je fasse remonterquoi... je n'ai rien compris, mais ça a l'air très compliqué !</t>
  </si>
  <si>
    <t>Recherche d'un ouvrage d'un certain Camille Thion, introuvable, car mal orthographié par le lecteur. Thion -&gt; Tihon</t>
  </si>
  <si>
    <t>Monnaie café</t>
  </si>
  <si>
    <t>Réservation de salle</t>
  </si>
  <si>
    <t>Plus de papier dans  l'imprimante</t>
  </si>
  <si>
    <t>Titres en ukrainien</t>
  </si>
  <si>
    <t>Poétesses françaises</t>
  </si>
  <si>
    <t>Wifi</t>
  </si>
  <si>
    <t>Modalités impressions</t>
  </si>
  <si>
    <t>orientation vers Fac. de théologie</t>
  </si>
  <si>
    <t>Demande de deux pdf d'articles via JSTOR</t>
  </si>
  <si>
    <t>Réglage de la luminosité d'un écran PC public</t>
  </si>
  <si>
    <t>Photo à usage interne avec le mobilier de la Bibliothèque (si pas commerciale et ne montrant pas les installations -&gt; pas de soucis  autrement signature d'une décharge)</t>
  </si>
  <si>
    <t>Problème de connexion dû à un problème de mot de passe, résolu</t>
  </si>
  <si>
    <t>Demande d'infos concernant des prolongations de prêt à l'UNIGE -&gt; j'ai donné le bon numéro</t>
  </si>
  <si>
    <t xml:space="preserve">Proposition de don </t>
  </si>
  <si>
    <t>cherche à recharger son téléphone</t>
  </si>
  <si>
    <t>comment s'inscrire</t>
  </si>
  <si>
    <t>comment faire pour imprimer</t>
  </si>
  <si>
    <t>comment citer le copyright pour une photo prise sur le site du CIG ?</t>
  </si>
  <si>
    <t>Imprimer une carte recto-verso sur la même page ? =&gt; pas trouvé comment faire</t>
  </si>
  <si>
    <t>Manuscrits</t>
  </si>
  <si>
    <t>Droits fondamentaux, cour européenne de Strasbourg</t>
  </si>
  <si>
    <t>Change pour machine à café</t>
  </si>
  <si>
    <t>Impressions</t>
  </si>
  <si>
    <t>aux BM, Lise Boourbeau, développement personnel</t>
  </si>
  <si>
    <t>Où est le formulaire du PEB sur Swisscovery ?</t>
  </si>
  <si>
    <t>Evaluation de la valeur de livres anciens</t>
  </si>
  <si>
    <t xml:space="preserve">Personne très mécontente qui venait pour une expo qui était aux Archives d'Etat... Elle a confondu les lieux </t>
  </si>
  <si>
    <t>aide pour un PEB</t>
  </si>
  <si>
    <t>problème pour avoir le wifi</t>
  </si>
  <si>
    <t>agrafeuse</t>
  </si>
  <si>
    <t>n'a pas abouti</t>
  </si>
  <si>
    <t>Salle des périodiques</t>
  </si>
  <si>
    <t>Manuscrits et anciennes éditions d'Avicenne</t>
  </si>
  <si>
    <t>logiciel pour faire un inventaire de bibliothèque =&gt; Koha, PMB...</t>
  </si>
  <si>
    <t>Numéro précédent de Bilan =&gt; à commander</t>
  </si>
  <si>
    <t>Consulter des anciens n° du Monde</t>
  </si>
  <si>
    <t>Impression document</t>
  </si>
  <si>
    <t xml:space="preserve">avait besoin d'une pièce de 10 cts contre 2 de 5 ;-) </t>
  </si>
  <si>
    <t>pb avec la machine à café</t>
  </si>
  <si>
    <t>Horaires d'ouvertures des Délices. Pas claire.</t>
  </si>
  <si>
    <t>Utiliser internet directement sur la télévision de la salle de réunion sans passer par un ordinateur</t>
  </si>
  <si>
    <t>Presse en ligne</t>
  </si>
  <si>
    <t>Archives du "Journal de Genève" et de"Banque et finance"</t>
  </si>
  <si>
    <t>Où sont les toilettes ?</t>
  </si>
  <si>
    <t>Lectrice envoyée en face aux Bastions car livre des Bastions souhaité</t>
  </si>
  <si>
    <t>Droit Moyen Âge France</t>
  </si>
  <si>
    <t>Réservation salle</t>
  </si>
  <si>
    <t>vers le prêt</t>
  </si>
  <si>
    <t>Login Mondo pc</t>
  </si>
  <si>
    <t>Connexion wi-fi</t>
  </si>
  <si>
    <t>Livres de Michelle Maurois (fille d'André Maurois)</t>
  </si>
  <si>
    <t xml:space="preserve">retour casque </t>
  </si>
  <si>
    <t>Où trouver des livres sur l'électricité (normes CH, etc.) -&gt; Bibliothèque de l'HEPIA / Bibliothèque UNIGE Science 2</t>
  </si>
  <si>
    <t>Revue Le Muséon jusqu'alors à Bonivard - le lecteur voulait consulter toute la série à la salle Bonivard jusqu'à récemment et désormais en magasin Bonivard. Dernier numéro en salle des périodes présenté.</t>
  </si>
  <si>
    <t>Histoire économique genevoise</t>
  </si>
  <si>
    <t>Réservation d'une salle pour événement =&gt; contacter la communication</t>
  </si>
  <si>
    <t>Emprunt dictionnaire</t>
  </si>
  <si>
    <t>Connexion wifi</t>
  </si>
  <si>
    <t>Usager mangeant des chips dans la Salle des périodiques et dérangeant une usagère par le bruit (Aymen appelé)</t>
  </si>
  <si>
    <t>Argent pour machine à café</t>
  </si>
  <si>
    <t>Cherchait des informations mais pour l'UNIGE</t>
  </si>
  <si>
    <t>Presse genevoise</t>
  </si>
  <si>
    <t>ascenseur</t>
  </si>
  <si>
    <t>Recherche sur une loi votée en 1977 =&gt; redirigé sur interroge et les archives de la ville / de l'état</t>
  </si>
  <si>
    <t xml:space="preserve"> Numéros de Le Travail : quotidien socialiste</t>
  </si>
  <si>
    <t>Inscription pour accès ressources électroniques</t>
  </si>
  <si>
    <t>Dictionnaires et traductions français-russe et français-ukrainien</t>
  </si>
  <si>
    <t>Papier imprimante</t>
  </si>
  <si>
    <t>Personne qui reviendra pour l'inscription car sa carte d'identité est échue</t>
  </si>
  <si>
    <t>livres de Maurois</t>
  </si>
  <si>
    <t>Y a-t-il qqch à voir sur/de Calvin à la BGE ?</t>
  </si>
  <si>
    <t>Propagande radiophonique nazie</t>
  </si>
  <si>
    <t>propagande radiophonique nazie</t>
  </si>
  <si>
    <t>Recherche d'un exemplaire de la NZZ</t>
  </si>
  <si>
    <t>Réservation salle de réunion</t>
  </si>
  <si>
    <t>Annulation réservation salle de réunion</t>
  </si>
  <si>
    <t>Demande d'impression gratuite... Des exceptions ayant été faites pour cette dame au minimum déjà deux fois, j'ai refusé sa demande et lui ai dit d'aller acheter une carte à la loge</t>
  </si>
  <si>
    <t>question sur service civil</t>
  </si>
  <si>
    <t xml:space="preserve">Plainte car un usager dors et ronfle </t>
  </si>
  <si>
    <t>Recherche d'un ancien article de la TDG: explications quant à l'utillisation du lecteur de microformes en SL</t>
  </si>
  <si>
    <t>Tentative d'accéder au WIFI Ville sur un smartphone privé</t>
  </si>
  <si>
    <t>Emprunt casque</t>
  </si>
  <si>
    <t>Guide numérique et photo des bustes</t>
  </si>
  <si>
    <t>Journaux des semaines passées</t>
  </si>
  <si>
    <t>Salle du catalogue et wifi</t>
  </si>
  <si>
    <t>Inscription toujours en cours</t>
  </si>
  <si>
    <t>Mineure =&gt; don formulaire</t>
  </si>
  <si>
    <t>Plan de Genève pour touriste</t>
  </si>
  <si>
    <t>Allumer les lumières</t>
  </si>
  <si>
    <t>Prendre un monsieur en photo pour mettre à jour son profil Linkedin</t>
  </si>
  <si>
    <t>Statue de Ferdinand De Saussure</t>
  </si>
  <si>
    <t xml:space="preserve">Problème avec le wifi de la Ville. </t>
  </si>
  <si>
    <t>une des vitrines avec les nouveautés est fermée à clé. Thierry a finalement trouvé la clé.</t>
  </si>
  <si>
    <t>L'usager est en train d'effectuer des recherches généalogiques sur un étudiant genevois théologien du 19e siècle. Il veut connaître les sources que nous avons chez nous et les autres institutions susceptibles d'en avoir. On lui a dit qu'en venant sur place, il aurait plus d'informations qu'à distance. Je lui ai parlé et montré les sources que je connaissais et lui ai conseillé de passer au département des archives et manuscrits pour des informations plus complètes et pertinentes.</t>
  </si>
  <si>
    <t>feuilles de brouillon</t>
  </si>
  <si>
    <t>probleme avec le wifi</t>
  </si>
  <si>
    <t>jeune homme (16 ans) qui souhaitait s'inscrire et  chercherait des livres sur l'horogerie XVIII, mécanisme, etc. Je lui ai montré comment se créer un compte puis faire des recherches en épinglant les notices intéressantes. Puis il reviendra avec l'autorisation signée pour pouvoir recevoir sa carte et emprunter</t>
  </si>
  <si>
    <t>Demande de livres sur les tests psychotechniques d'entrée aux universités de Genève</t>
  </si>
  <si>
    <t>Oeuvres complètes de Cingria à l'Age d'Homme</t>
  </si>
  <si>
    <t>Théâtre anglais et théâtre de Dürrenmatt</t>
  </si>
  <si>
    <t>De nouveau  le théâtre anglais</t>
  </si>
  <si>
    <t>Le lecteur avait besoin d'un article dans le Nouvelliste auquel nous n'avons pas accès via Europresse. J'ai demandé à ma maman de faire la photo et je lui ai envoyé l'article. Anne-Sophie</t>
  </si>
  <si>
    <t>Un monsieur avec un accent anglais, nouveau locataire à Meyrin, avait fait venir un plombier chez lui qui lui a dit qu'il devait faire enlever son bidet. Il voulait trouver des textes de loi pour savoir si c'était vrai que les bidets sont interdits à Genève ou si c'est juste le plombier qui voulait lui soutirer de l'argent, asn</t>
  </si>
  <si>
    <t>Restitution du lecteur DVD/VHS</t>
  </si>
  <si>
    <t>Recherche d'un livre consacré à Charles le Téméraire</t>
  </si>
  <si>
    <t>problème pour imprimer</t>
  </si>
  <si>
    <t>comment supprimer un doc. qu'on ne souhaite pas imprimer ?</t>
  </si>
  <si>
    <t>Pré-inscription d'une jeune de 15 ans qui reviendra dans quelques jours prendre sa carte dès qu'elle aura 16 ans et fait signer la feuille à ses parents ;-)</t>
  </si>
  <si>
    <t>Proposition de don de livre en arabe -&gt; pas Genevensia donc renvoyé à l'unige</t>
  </si>
  <si>
    <t>Quelqu'un en fauteuil roulant devant porte côté Bastions</t>
  </si>
  <si>
    <t>Réservation salle de travail</t>
  </si>
  <si>
    <t>Problème entre 2 lecteurs</t>
  </si>
  <si>
    <t>"Agent orange" (le pesticide, pas Donald Trump)</t>
  </si>
  <si>
    <t>Envoi d'un document word vers l'imprimante... impression en nb... puis en couleurs (rouge et noir)... puis en couleurs (auto). Ouf, réussi.</t>
  </si>
  <si>
    <t>Demande de mettre un petit panneau pour dire de nettoyer derrière soit dans l'espace café (certain ne respecte pas la propreté des tables ou des lieux)</t>
  </si>
  <si>
    <t>Occupation salle de réunion</t>
  </si>
  <si>
    <t>Chargeur téléphone pour wifi (natel déchargé)</t>
  </si>
  <si>
    <t>Consultation livres SAR</t>
  </si>
  <si>
    <t>Réservation Salle de Réunion</t>
  </si>
  <si>
    <t>Consultation de la Suisse (1970)</t>
  </si>
  <si>
    <t>Proposition de dons suite à un décès. J'ai dit non</t>
  </si>
  <si>
    <t>Avons nous la collection Arsène Lupin de Lebanc</t>
  </si>
  <si>
    <t>Une usagère est venue se plaindre car la Salle Senebier était fermée</t>
  </si>
  <si>
    <t>livre au DBU Uni pas possible de la commander via Swisscovery</t>
  </si>
  <si>
    <t>Où est l'expo de photo ?</t>
  </si>
  <si>
    <t>pret</t>
  </si>
  <si>
    <t>Bible de Jérusalem</t>
  </si>
  <si>
    <t>Demande autorisation pour prendre des photos</t>
  </si>
  <si>
    <t>Formation Zotero -&gt; Empruntez un bibliothécaire -&gt; formation Zotero</t>
  </si>
  <si>
    <t xml:space="preserve">Anciens numéros peridiques dans Salle du Catalogue  </t>
  </si>
  <si>
    <t>Labor et Fides DL</t>
  </si>
  <si>
    <t>Bibliographies de Genève</t>
  </si>
  <si>
    <t>Propositions de dons</t>
  </si>
  <si>
    <t>Tentative d'imprimer directement depuis 1 clé USB</t>
  </si>
  <si>
    <t>Recherche pour le Prêt d'un no de périodique non trouvé en rayons</t>
  </si>
  <si>
    <t>Recherche d'une série d'ouvrages ayant été refoulés de Bonivard</t>
  </si>
  <si>
    <t>S'inscrire à emprunter nos bibliothécaires</t>
  </si>
  <si>
    <t>Feuilles de brouillon</t>
  </si>
  <si>
    <t>Pré-inscription... "numéro de téléphone déjà utilisé dans  un autre compte"... tentative de récupérer le mot de passe de l'autre compte... attente (dans les spam)... tentative de fusionner les deux comptes... attente... etc etc... PAS SIMPLE !</t>
  </si>
  <si>
    <t>Aurait reçu un courriel de Switch edu-id lui disant que son compte serait supprimé =&gt; ait demandé qu'elle le transmette à info.bge</t>
  </si>
  <si>
    <t>Article dans le Figaro du 9 novembre, qui a disparu =&gt; Pressreader</t>
  </si>
  <si>
    <t>Document à l'université</t>
  </si>
  <si>
    <t>Le Temps =&gt; 15h</t>
  </si>
  <si>
    <t>Réinscription d'un lecteur qui avait un compte "usager92" et qui souhaitait ajouter un mail pour passer à un compte normal</t>
  </si>
  <si>
    <t>Panettone coincé dans le distributeur de l'espace café.</t>
  </si>
  <si>
    <t>Accompagner dame ascenceur</t>
  </si>
  <si>
    <t>Aide ponctuelle sur l'imprimante pour un monsieur sur la matinée</t>
  </si>
  <si>
    <t>Série "Sur écoute" ; cherché aux BM et à la bibliothèque de Meyrin</t>
  </si>
  <si>
    <t>Visite de l'exposition</t>
  </si>
  <si>
    <t>Prêt d'un casque</t>
  </si>
  <si>
    <t>Problème avec MondoPC (connexion impossible pour les nouveaux usagers souhaitant se connecter)</t>
  </si>
  <si>
    <t>Salle de réunion</t>
  </si>
  <si>
    <t>PEB</t>
  </si>
  <si>
    <t>Question sur la gratuité du PEB</t>
  </si>
  <si>
    <t>Renseignements pour un don</t>
  </si>
  <si>
    <t>don d'auteur</t>
  </si>
  <si>
    <t>pb avec carte lecteur</t>
  </si>
  <si>
    <t xml:space="preserve">Si j'ai bien compris, un monsieur qui prétend être victime d'une usurpation d'identité pour son compte switch-edu ID et qui s'est inscrit chez nous souhaite adresser une réclamation à la Bibliothèque de Genève mais pas via email.    </t>
  </si>
  <si>
    <t>Accès ressources électroniques</t>
  </si>
  <si>
    <t>Problème de compte Switch edu-ID</t>
  </si>
  <si>
    <t>Expo</t>
  </si>
  <si>
    <t>DL, publications du SEVE à vérifier si tout ici</t>
  </si>
  <si>
    <t>Comment sauvegarder au format docx (Word) et pdf</t>
  </si>
  <si>
    <t>Information sur l'inscription</t>
  </si>
  <si>
    <t xml:space="preserve">chiens admis à la BGE ? non interdit, dans le règlement </t>
  </si>
  <si>
    <t>+ Biographie genevoise</t>
  </si>
  <si>
    <t>Prêt adaptateur</t>
  </si>
  <si>
    <t>Périodiques à l'Université de Genève</t>
  </si>
  <si>
    <t xml:space="preserve">Prêt casque </t>
  </si>
  <si>
    <t>Aide imprimante</t>
  </si>
  <si>
    <t>Redirection vers bibliothèque municipale de la Cité (problème avec compte utilisateur)</t>
  </si>
  <si>
    <t>Annuaire papier des entreprises genevoises 2025</t>
  </si>
  <si>
    <t>Service du prêt</t>
  </si>
  <si>
    <t>Aide informatique très ponctuelle (sauvegarde de documents sur clé usb)</t>
  </si>
  <si>
    <t>Qu'appelle-t-on catalogue et qu'est-ce ?</t>
  </si>
  <si>
    <t>Archives du Temps</t>
  </si>
  <si>
    <t>Mémoires pour servir à l'histoire du jacobinisme par M. l'abbé Barruel</t>
  </si>
  <si>
    <t>Comment éditer un pdf</t>
  </si>
  <si>
    <t>J'ai récupéré les livres que le lecteur rapportait car en raison de la visite de l'expo du couloir des coups d'oeil, c'était impossible de d'accéder au bureau de prêt ! :-)</t>
  </si>
  <si>
    <t>Même remarque à propos de la visite de l'expo du couloir des coups d'oeil</t>
  </si>
  <si>
    <t>Disponibilité salle de réunion</t>
  </si>
  <si>
    <t>Est-ce que nous prêtons des ordinateurs portables</t>
  </si>
  <si>
    <t>Payer amendes en retard</t>
  </si>
  <si>
    <t>expo couloir des coups d'oeil -&gt; guide</t>
  </si>
  <si>
    <t>PEB et problèmes reliés à des demandes de PEB. J'ai dû appeler Delphine à l'aide. Manque de respect de la part de l'usager</t>
  </si>
  <si>
    <t>prise électrique et adaptateur</t>
  </si>
  <si>
    <t>Machine à café</t>
  </si>
  <si>
    <t>Europresse Accès à Heidi news</t>
  </si>
  <si>
    <t>Question sur les livres genevois - Bibliothèque orange du SAR</t>
  </si>
  <si>
    <t xml:space="preserve">Gratuité de la brochue de l'exposition </t>
  </si>
  <si>
    <t>Histoire des femmes et du genre à Genève à la fin du 18e siècle</t>
  </si>
  <si>
    <t>Monsieur qui a perdu son chargeur et voulait savoir s'il était toujours dans la salle de réunion</t>
  </si>
  <si>
    <t>horodatage</t>
  </si>
  <si>
    <t>typeService</t>
  </si>
  <si>
    <t>langue</t>
  </si>
  <si>
    <t>duree</t>
  </si>
  <si>
    <t>rechercheBibliographique</t>
  </si>
  <si>
    <t>rechercheDocumentaire</t>
  </si>
  <si>
    <t>catalogueSwisscoveryAlma</t>
  </si>
  <si>
    <t>catalogueAutre</t>
  </si>
  <si>
    <t>inscription</t>
  </si>
  <si>
    <t>mondoPC</t>
  </si>
  <si>
    <t>bureautique</t>
  </si>
  <si>
    <t>modalites</t>
  </si>
  <si>
    <t>orientation</t>
  </si>
  <si>
    <t>autreRenseignement</t>
  </si>
  <si>
    <t>remarques</t>
  </si>
  <si>
    <t>10h-11h</t>
  </si>
  <si>
    <t>14h-15h</t>
  </si>
  <si>
    <t>15h-16h</t>
  </si>
  <si>
    <t>12h-13h</t>
  </si>
  <si>
    <t>13h-14h</t>
  </si>
  <si>
    <t>9h-10h</t>
  </si>
  <si>
    <t>16h-17h</t>
  </si>
  <si>
    <t>11h-12h</t>
  </si>
  <si>
    <t>17h-18h</t>
  </si>
  <si>
    <t>horaire finale</t>
  </si>
  <si>
    <t>Jour</t>
  </si>
  <si>
    <t>mardi</t>
  </si>
  <si>
    <t>mercredi</t>
  </si>
  <si>
    <t>jeudi</t>
  </si>
  <si>
    <t>vendredi</t>
  </si>
  <si>
    <t>samedi</t>
  </si>
  <si>
    <t>lundi</t>
  </si>
  <si>
    <t>moyenne</t>
  </si>
  <si>
    <t>Service</t>
  </si>
  <si>
    <t>Total des demandes sur 1 an</t>
  </si>
  <si>
    <t>Moyenne journalière</t>
  </si>
  <si>
    <t>Total des services sur 1 an</t>
  </si>
  <si>
    <t>Nombre de horodatage</t>
  </si>
  <si>
    <t>1. Analyse des services</t>
  </si>
  <si>
    <t>1.1 Evolution mensuelle des services demandés</t>
  </si>
  <si>
    <t xml:space="preserve"> </t>
  </si>
  <si>
    <t>Mois</t>
  </si>
  <si>
    <t>Services</t>
  </si>
  <si>
    <t>juil</t>
  </si>
  <si>
    <t>août</t>
  </si>
  <si>
    <t>sept</t>
  </si>
  <si>
    <t>oct</t>
  </si>
  <si>
    <t>nov</t>
  </si>
  <si>
    <t>déc</t>
  </si>
  <si>
    <t>Total général</t>
  </si>
  <si>
    <t>1.2 Durée par services</t>
  </si>
  <si>
    <t>1.3 Type de services en fonction des jours</t>
  </si>
  <si>
    <t>Durée</t>
  </si>
  <si>
    <t>1.4 Type de services en fonction des horaires</t>
  </si>
  <si>
    <t>services</t>
  </si>
  <si>
    <t>2. Canaux utilisés</t>
  </si>
  <si>
    <t>* A voir si garder en fonction des colonnes ou du global</t>
  </si>
  <si>
    <t>2.1 Répartition mensuelle des appels</t>
  </si>
  <si>
    <t>2.2 Répartition journalière des appels</t>
  </si>
  <si>
    <t>2.3 Répartition horaire des appels</t>
  </si>
  <si>
    <t>2.4 Durée moyenne en fonction du canal</t>
  </si>
  <si>
    <t>2.5 Canal utilisé en fonction des services</t>
  </si>
  <si>
    <t>Canal</t>
  </si>
  <si>
    <t>Durée moyenne</t>
  </si>
  <si>
    <t>Horaires</t>
  </si>
  <si>
    <t>Jours</t>
  </si>
  <si>
    <t>3. Analyse des durées</t>
  </si>
  <si>
    <t>3.1 Durée de sollicitation des usagers par plage horaire</t>
  </si>
  <si>
    <t>3.2 Durée en fonction des types de services</t>
  </si>
  <si>
    <t>3.3 Durée moyenne en fonction des jours</t>
  </si>
  <si>
    <t>3.4 Durée moyenne en fonction des horaires</t>
  </si>
  <si>
    <t>4. Autres analyses</t>
  </si>
  <si>
    <t>4.1 Langues utilisées</t>
  </si>
  <si>
    <t>4.2 Quantité de demandes par jours en fonction des horaires</t>
  </si>
  <si>
    <t>Name</t>
  </si>
  <si>
    <t>"= Folder.Files("C:\Users\kerboul\OneDrive - Ville de Geneve\98_EF\Statistiques_SAR\Fusion\test")</t>
  </si>
  <si>
    <t>Voici le chemin d'accès actuel</t>
  </si>
  <si>
    <t>La table Données a donc comme source</t>
  </si>
  <si>
    <t>"= Excel.CurrentWorkbook(){[Name="Source"]}[Content]</t>
  </si>
  <si>
    <t>Aller dans powerquery requête fichiers puis dans source</t>
  </si>
  <si>
    <t>Si besoin de modifier le chemin d'accès des fichiers à importer</t>
  </si>
  <si>
    <t>La feuille Sélection utilise une macro pour récupérer la liste des fichiers présents dans le dossier indiqué par le chemin d'accès.</t>
  </si>
  <si>
    <t>Il est possible de sélectionner n'importe quelle année disponible et, en recliquant dessus, de la désélectionner.</t>
  </si>
  <si>
    <t>! Il doit toujours y avoir au moins une sélection !</t>
  </si>
  <si>
    <t>La table Données de Power Query correspond à l'addition des lignes des tables sélectionnées dans la feuille Sélection.</t>
  </si>
  <si>
    <t>Dans la source Power Query, on retrouve la liste des chemins d'accès des fichiers utilisés.</t>
  </si>
  <si>
    <t>La feuille Service contient les mêmes données que la feuille Données, mais retravaillées avec Power Query afin qu'une ligne corresponde à un service.</t>
  </si>
  <si>
    <t>Comme plusieurs services peuvent être demandés lors d'une requête, ce tableau contient davantage de lignes que la feuille Données.</t>
  </si>
  <si>
    <t>Les feuilles Services et Sources sont masquées afin de ne pas surcharger le classeur et d'en faciliter l'utilisation.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</si>
</sst>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h:mm"/>
    <numFmt numFmtId="165" formatCode="0.0%"/>
    <numFmt numFmtId="166" formatCode="0.0"/>
  </numFmts>
  <fonts count="8" x14ac:knownFonts="1">
    <font>
      <sz val="11"/>
      <color theme="1"/>
      <name val="Aptos Narrow"/>
      <family val="2"/>
      <scheme val="minor"/>
    </font>
    <font>
      <b/>
      <sz val="16"/>
      <color theme="1"/>
      <name val="Aptos Narrow"/>
      <family val="2"/>
      <scheme val="minor"/>
    </font>
    <font>
      <b/>
      <sz val="18"/>
      <color theme="1"/>
      <name val="Aptos Narrow"/>
      <family val="2"/>
      <scheme val="minor"/>
    </font>
    <font>
      <sz val="10"/>
      <color theme="1"/>
      <name val="Arial Unicode MS"/>
      <family val="2"/>
    </font>
    <font>
      <sz val="8"/>
      <name val="Aptos Narrow"/>
      <family val="2"/>
      <scheme val="minor"/>
    </font>
    <font>
      <b/>
      <sz val="14"/>
      <color theme="1"/>
      <name val="Aptos Narrow"/>
      <family val="2"/>
      <scheme val="minor"/>
    </font>
    <font>
      <b/>
      <sz val="22"/>
      <color theme="1"/>
      <name val="Aptos Narrow"/>
      <family val="2"/>
      <scheme val="minor"/>
    </font>
    <font>
      <sz val="12"/>
      <color theme="1"/>
      <name val="Aptos Narrow"/>
      <family val="2"/>
      <scheme val="minor"/>
    </font>
  </fonts>
  <fills count="7">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89999084444715716"/>
        <bgColor indexed="64"/>
      </patternFill>
    </fill>
  </fills>
  <borders count="2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thin">
        <color theme="2"/>
      </right>
      <top/>
      <bottom/>
      <diagonal/>
    </border>
    <border>
      <left/>
      <right/>
      <top style="thin">
        <color theme="2"/>
      </top>
      <bottom/>
      <diagonal/>
    </border>
    <border>
      <left style="thin">
        <color theme="2"/>
      </left>
      <right/>
      <top/>
      <bottom/>
      <diagonal/>
    </border>
    <border>
      <left style="medium">
        <color indexed="64"/>
      </left>
      <right/>
      <top/>
      <bottom style="thin">
        <color theme="2"/>
      </bottom>
      <diagonal/>
    </border>
    <border>
      <left/>
      <right/>
      <top/>
      <bottom style="thin">
        <color theme="2"/>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s>
  <cellStyleXfs count="1">
    <xf numFmtId="0" fontId="0" fillId="0" borderId="0"/>
  </cellStyleXfs>
  <cellXfs count="140">
    <xf numFmtId="0" fontId="0" fillId="0" borderId="0" xfId="0"/>
    <xf numFmtId="0" fontId="0" fillId="0" borderId="0" xfId="0" applyNumberFormat="1"/>
    <xf numFmtId="22" fontId="0" fillId="0" borderId="0" xfId="0" applyNumberFormat="1"/>
    <xf numFmtId="0" fontId="0" fillId="2" borderId="0" xfId="0" applyFill="1"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1" fillId="0" borderId="0" xfId="0" applyFont="1" applyBorder="1" applyAlignment="1">
      <alignment horizontal="center" vertical="center" wrapText="1"/>
    </xf>
    <xf numFmtId="0" fontId="3" fillId="0" borderId="0" xfId="0" applyFont="1" applyAlignment="1">
      <alignment vertical="center"/>
    </xf>
    <xf numFmtId="0" fontId="0" fillId="0" borderId="0" xfId="0" applyAlignment="1">
      <alignment horizontal="center" vertical="center"/>
    </xf>
    <xf numFmtId="0" fontId="0" fillId="0" borderId="0" xfId="0" applyNumberFormat="1" applyAlignment="1">
      <alignment horizontal="center" vertical="center"/>
    </xf>
    <xf numFmtId="164" fontId="0" fillId="0" borderId="0" xfId="0" applyNumberFormat="1"/>
    <xf numFmtId="0" fontId="0" fillId="0" borderId="1" xfId="0" applyBorder="1"/>
    <xf numFmtId="0" fontId="0" fillId="0" borderId="2" xfId="0" applyBorder="1"/>
    <xf numFmtId="0" fontId="0" fillId="0" borderId="3" xfId="0" applyBorder="1"/>
    <xf numFmtId="0" fontId="0" fillId="0" borderId="7" xfId="0" applyBorder="1"/>
    <xf numFmtId="0" fontId="0" fillId="0" borderId="13" xfId="0" applyBorder="1"/>
    <xf numFmtId="9" fontId="0" fillId="0" borderId="14" xfId="0" applyNumberFormat="1" applyBorder="1"/>
    <xf numFmtId="0" fontId="0" fillId="0" borderId="4" xfId="0" applyBorder="1"/>
    <xf numFmtId="0" fontId="0" fillId="0" borderId="5" xfId="0" applyBorder="1"/>
    <xf numFmtId="0" fontId="0" fillId="0" borderId="6" xfId="0" applyBorder="1"/>
    <xf numFmtId="0" fontId="0" fillId="0" borderId="0" xfId="0" applyBorder="1"/>
    <xf numFmtId="0" fontId="1" fillId="0" borderId="0" xfId="0" applyFont="1" applyBorder="1" applyAlignment="1">
      <alignment horizontal="center" vertical="center"/>
    </xf>
    <xf numFmtId="9" fontId="0" fillId="0" borderId="0" xfId="0" applyNumberFormat="1" applyBorder="1"/>
    <xf numFmtId="9" fontId="0" fillId="0" borderId="16" xfId="0" applyNumberFormat="1" applyBorder="1"/>
    <xf numFmtId="9" fontId="0" fillId="0" borderId="17" xfId="0" applyNumberFormat="1" applyBorder="1"/>
    <xf numFmtId="9" fontId="0" fillId="0" borderId="18" xfId="0" applyNumberFormat="1" applyBorder="1"/>
    <xf numFmtId="0" fontId="0" fillId="0" borderId="18" xfId="0" pivotButton="1" applyBorder="1"/>
    <xf numFmtId="0" fontId="0" fillId="0" borderId="17" xfId="0" applyBorder="1"/>
    <xf numFmtId="0" fontId="0" fillId="0" borderId="18" xfId="0" applyBorder="1"/>
    <xf numFmtId="0" fontId="0" fillId="0" borderId="16" xfId="0" applyBorder="1" applyAlignment="1">
      <alignment horizontal="left"/>
    </xf>
    <xf numFmtId="0" fontId="0" fillId="0" borderId="18" xfId="0" applyBorder="1" applyAlignment="1">
      <alignment horizontal="left"/>
    </xf>
    <xf numFmtId="0" fontId="0" fillId="0" borderId="0" xfId="0" applyNumberFormat="1" applyBorder="1"/>
    <xf numFmtId="0" fontId="0" fillId="0" borderId="5" xfId="0" applyNumberFormat="1" applyBorder="1"/>
    <xf numFmtId="0" fontId="0" fillId="0" borderId="19" xfId="0" applyBorder="1"/>
    <xf numFmtId="0" fontId="0" fillId="0" borderId="20" xfId="0" applyBorder="1"/>
    <xf numFmtId="165" fontId="0" fillId="0" borderId="2" xfId="0" applyNumberFormat="1" applyBorder="1" applyAlignment="1">
      <alignment horizontal="center" vertical="center"/>
    </xf>
    <xf numFmtId="165" fontId="0" fillId="0" borderId="0" xfId="0" applyNumberFormat="1" applyBorder="1" applyAlignment="1">
      <alignment horizontal="center"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1" xfId="0" applyFont="1" applyBorder="1" applyAlignment="1">
      <alignment vertical="center" wrapText="1"/>
    </xf>
    <xf numFmtId="0" fontId="7" fillId="0" borderId="22" xfId="0" applyFont="1" applyBorder="1"/>
    <xf numFmtId="0" fontId="0" fillId="0" borderId="22" xfId="0" applyBorder="1"/>
    <xf numFmtId="0" fontId="0" fillId="0" borderId="23" xfId="0" applyBorder="1"/>
    <xf numFmtId="0" fontId="0" fillId="0" borderId="1" xfId="0" pivotButton="1" applyBorder="1"/>
    <xf numFmtId="0" fontId="0" fillId="0" borderId="2" xfId="0" pivotButton="1" applyBorder="1"/>
    <xf numFmtId="0" fontId="0" fillId="0" borderId="7" xfId="0" pivotButton="1" applyBorder="1"/>
    <xf numFmtId="0" fontId="0" fillId="0" borderId="7" xfId="0" applyBorder="1" applyAlignment="1">
      <alignment horizontal="left"/>
    </xf>
    <xf numFmtId="0" fontId="0" fillId="0" borderId="13" xfId="0" applyNumberFormat="1" applyBorder="1"/>
    <xf numFmtId="0" fontId="0" fillId="0" borderId="4" xfId="0" applyBorder="1" applyAlignment="1">
      <alignment horizontal="left"/>
    </xf>
    <xf numFmtId="0" fontId="0" fillId="0" borderId="6" xfId="0" applyNumberFormat="1" applyBorder="1"/>
    <xf numFmtId="9" fontId="0" fillId="0" borderId="13" xfId="0" applyNumberFormat="1" applyBorder="1"/>
    <xf numFmtId="9" fontId="0" fillId="0" borderId="5" xfId="0" applyNumberFormat="1" applyBorder="1"/>
    <xf numFmtId="9" fontId="0" fillId="0" borderId="6" xfId="0" applyNumberFormat="1" applyBorder="1"/>
    <xf numFmtId="166" fontId="0" fillId="0" borderId="21" xfId="0" applyNumberFormat="1" applyBorder="1"/>
    <xf numFmtId="166" fontId="0" fillId="0" borderId="22" xfId="0" applyNumberFormat="1" applyBorder="1"/>
    <xf numFmtId="166" fontId="0" fillId="0" borderId="23" xfId="0" applyNumberFormat="1" applyBorder="1"/>
    <xf numFmtId="0" fontId="0" fillId="0" borderId="15" xfId="0" pivotButton="1" applyBorder="1"/>
    <xf numFmtId="0" fontId="0" fillId="0" borderId="21" xfId="0" applyBorder="1" applyAlignment="1">
      <alignment horizontal="left"/>
    </xf>
    <xf numFmtId="0" fontId="0" fillId="0" borderId="23" xfId="0" applyBorder="1" applyAlignment="1">
      <alignment horizontal="left"/>
    </xf>
    <xf numFmtId="0" fontId="0" fillId="0" borderId="15" xfId="0" applyBorder="1" applyAlignment="1">
      <alignment horizontal="left"/>
    </xf>
    <xf numFmtId="0" fontId="0" fillId="0" borderId="15" xfId="0" applyBorder="1"/>
    <xf numFmtId="0" fontId="0" fillId="0" borderId="19" xfId="0" pivotButton="1" applyBorder="1"/>
    <xf numFmtId="0" fontId="0" fillId="0" borderId="24" xfId="0" pivotButton="1" applyBorder="1"/>
    <xf numFmtId="0" fontId="0" fillId="0" borderId="4" xfId="0" pivotButton="1" applyBorder="1"/>
    <xf numFmtId="0" fontId="0" fillId="0" borderId="22" xfId="0" applyBorder="1" applyAlignment="1">
      <alignment horizontal="left"/>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2" xfId="0" applyFont="1" applyBorder="1" applyAlignment="1">
      <alignment horizontal="center" vertical="center" wrapText="1"/>
    </xf>
    <xf numFmtId="0" fontId="1" fillId="0" borderId="0" xfId="0" applyFont="1" applyBorder="1" applyAlignment="1">
      <alignment horizontal="center" vertical="center" wrapText="1"/>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6" fillId="6" borderId="1"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3"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1" fillId="6" borderId="1"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1"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1" fillId="6" borderId="6"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6" xfId="0" applyFont="1" applyFill="1" applyBorder="1" applyAlignment="1">
      <alignment horizontal="center" vertical="center" wrapText="1"/>
    </xf>
    <xf numFmtId="0" fontId="6" fillId="3" borderId="1"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6" fillId="3" borderId="5"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6" fillId="4" borderId="2" xfId="0" applyFont="1" applyFill="1" applyBorder="1" applyAlignment="1">
      <alignment horizontal="center" vertical="center" wrapText="1"/>
    </xf>
    <xf numFmtId="0" fontId="6" fillId="4" borderId="3" xfId="0" applyFont="1" applyFill="1" applyBorder="1" applyAlignment="1">
      <alignment horizontal="center" vertical="center" wrapText="1"/>
    </xf>
    <xf numFmtId="0" fontId="6" fillId="4" borderId="4" xfId="0" applyFont="1" applyFill="1" applyBorder="1" applyAlignment="1">
      <alignment horizontal="center" vertical="center" wrapText="1"/>
    </xf>
    <xf numFmtId="0" fontId="6" fillId="4" borderId="5" xfId="0" applyFont="1" applyFill="1" applyBorder="1" applyAlignment="1">
      <alignment horizontal="center" vertical="center" wrapText="1"/>
    </xf>
    <xf numFmtId="0" fontId="6" fillId="4" borderId="6" xfId="0" applyFont="1" applyFill="1" applyBorder="1" applyAlignment="1">
      <alignment horizontal="center" vertical="center" wrapText="1"/>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5" fillId="0" borderId="7" xfId="0" applyFont="1" applyBorder="1" applyAlignment="1">
      <alignment horizontal="center" vertical="center"/>
    </xf>
    <xf numFmtId="0" fontId="5" fillId="0" borderId="13" xfId="0" applyFont="1" applyBorder="1" applyAlignment="1">
      <alignment horizontal="center" vertical="center"/>
    </xf>
    <xf numFmtId="0" fontId="5" fillId="0" borderId="4" xfId="0" applyFont="1" applyBorder="1" applyAlignment="1">
      <alignment horizontal="center" vertical="center"/>
    </xf>
    <xf numFmtId="0" fontId="5" fillId="0" borderId="6" xfId="0" applyFont="1" applyBorder="1" applyAlignment="1">
      <alignment horizontal="center" vertical="center"/>
    </xf>
    <xf numFmtId="1" fontId="5" fillId="0" borderId="7" xfId="0" applyNumberFormat="1" applyFont="1" applyBorder="1" applyAlignment="1">
      <alignment horizontal="center" vertical="center"/>
    </xf>
    <xf numFmtId="1" fontId="5" fillId="0" borderId="13" xfId="0" applyNumberFormat="1" applyFont="1" applyBorder="1" applyAlignment="1">
      <alignment horizontal="center" vertical="center"/>
    </xf>
    <xf numFmtId="1" fontId="5" fillId="0" borderId="4" xfId="0" applyNumberFormat="1" applyFont="1" applyBorder="1" applyAlignment="1">
      <alignment horizontal="center" vertical="center"/>
    </xf>
    <xf numFmtId="1" fontId="5" fillId="0" borderId="6" xfId="0" applyNumberFormat="1" applyFont="1" applyBorder="1" applyAlignment="1">
      <alignment horizontal="center" vertical="center"/>
    </xf>
  </cellXfs>
  <cellStyles count="1">
    <cellStyle name="Normal" xfId="0" builtinId="0"/>
  </cellStyles>
  <dxfs count="98">
    <dxf>
      <border>
        <left style="medium">
          <color indexed="64"/>
        </left>
        <right style="medium">
          <color indexed="64"/>
        </righ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3" formatCode="0%"/>
    </dxf>
    <dxf>
      <border>
        <left style="medium">
          <color indexed="64"/>
        </left>
        <bottom style="medium">
          <color indexed="64"/>
        </bottom>
      </border>
    </dxf>
    <dxf>
      <border>
        <left style="medium">
          <color indexed="64"/>
        </left>
        <right style="medium">
          <color indexed="64"/>
        </right>
        <top style="medium">
          <color indexed="64"/>
        </top>
        <bottom style="medium">
          <color indexed="64"/>
        </bottom>
      </border>
    </dxf>
    <dxf>
      <numFmt numFmtId="14" formatCode="0.00%"/>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numFmt numFmtId="13" formatCode="0%"/>
    </dxf>
    <dxf>
      <border>
        <left style="medium">
          <color indexed="64"/>
        </left>
        <right style="medium">
          <color indexed="64"/>
        </right>
        <top style="medium">
          <color indexed="64"/>
        </top>
        <bottom style="medium">
          <color indexed="64"/>
        </bottom>
      </border>
    </dxf>
    <dxf>
      <numFmt numFmtId="14" formatCode="0.00%"/>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
    </dxf>
    <dxf>
      <border>
        <left style="medium">
          <color indexed="64"/>
        </left>
        <right style="medium">
          <color indexed="64"/>
        </right>
        <top style="medium">
          <color indexed="64"/>
        </top>
        <bottom style="medium">
          <color indexed="64"/>
        </bottom>
      </border>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6" formatCode="0.0"/>
    </dxf>
    <dxf>
      <border>
        <left style="medium">
          <color indexed="64"/>
        </left>
        <right style="medium">
          <color indexed="64"/>
        </right>
        <top style="medium">
          <color indexed="64"/>
        </top>
        <bottom style="medium">
          <color indexed="64"/>
        </bottom>
      </border>
    </dxf>
    <dxf>
      <numFmt numFmtId="13" formatCode="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4" formatCode="d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fill>
        <patternFill patternType="solid">
          <fgColor indexed="64"/>
          <bgColor theme="0"/>
        </patternFill>
      </fill>
    </dxf>
    <dxf>
      <border outline="0">
        <top style="medium">
          <color indexed="64"/>
        </top>
      </border>
    </dxf>
    <dxf>
      <fill>
        <patternFill patternType="solid">
          <fgColor indexed="64"/>
          <bgColor theme="0"/>
        </patternFill>
      </fill>
    </dxf>
    <dxf>
      <fill>
        <patternFill patternType="solid">
          <fgColor indexed="64"/>
          <bgColor theme="0"/>
        </patternFill>
      </fill>
    </dxf>
    <dxf>
      <numFmt numFmtId="0" formatCode="General"/>
    </dxf>
    <dxf>
      <numFmt numFmtId="27" formatCode="dd/mm/yyyy\ hh:mm"/>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CH"/>
              <a:t>Langues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ofPieChart>
        <c:ofPieType val="pie"/>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5F3-47E0-A576-E3CFC479EA0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5F3-47E0-A576-E3CFC479EA0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5F3-47E0-A576-E3CFC479EA0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95F3-47E0-A576-E3CFC479EA08}"/>
              </c:ext>
            </c:extLst>
          </c:dPt>
          <c:dLbls>
            <c:dLbl>
              <c:idx val="3"/>
              <c:delete val="1"/>
              <c:extLst>
                <c:ext xmlns:c15="http://schemas.microsoft.com/office/drawing/2012/chart" uri="{CE6537A1-D6FC-4f65-9D91-7224C49458BB}"/>
                <c:ext xmlns:c16="http://schemas.microsoft.com/office/drawing/2014/chart" uri="{C3380CC4-5D6E-409C-BE32-E72D297353CC}">
                  <c16:uniqueId val="{00000007-95F3-47E0-A576-E3CFC479EA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extLst>
          </c:dLbls>
          <c:cat>
            <c:strRef>
              <c:f>[1]Statistiques!$J$5:$J$7</c:f>
              <c:strCache>
                <c:ptCount val="3"/>
                <c:pt idx="0">
                  <c:v>Français</c:v>
                </c:pt>
                <c:pt idx="1">
                  <c:v>Anglais</c:v>
                </c:pt>
                <c:pt idx="2">
                  <c:v>Autre</c:v>
                </c:pt>
              </c:strCache>
            </c:strRef>
          </c:cat>
          <c:val>
            <c:numRef>
              <c:f>[1]Statistiques!$K$5:$K$7</c:f>
              <c:numCache>
                <c:formatCode>General</c:formatCode>
                <c:ptCount val="3"/>
                <c:pt idx="0">
                  <c:v>2691</c:v>
                </c:pt>
                <c:pt idx="1">
                  <c:v>146</c:v>
                </c:pt>
                <c:pt idx="2">
                  <c:v>8</c:v>
                </c:pt>
              </c:numCache>
            </c:numRef>
          </c:val>
          <c:extLst>
            <c:ext xmlns:c16="http://schemas.microsoft.com/office/drawing/2014/chart" uri="{C3380CC4-5D6E-409C-BE32-E72D297353CC}">
              <c16:uniqueId val="{00000008-95F3-47E0-A576-E3CFC479EA08}"/>
            </c:ext>
          </c:extLst>
        </c:ser>
        <c:dLbls>
          <c:dLblPos val="inEnd"/>
          <c:showLegendKey val="0"/>
          <c:showVal val="0"/>
          <c:showCatName val="0"/>
          <c:showSerName val="0"/>
          <c:showPercent val="1"/>
          <c:showBubbleSize val="0"/>
          <c:showLeaderLines val="0"/>
        </c:dLbls>
        <c:gapWidth val="100"/>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28575</xdr:colOff>
      <xdr:row>9</xdr:row>
      <xdr:rowOff>38100</xdr:rowOff>
    </xdr:from>
    <xdr:to>
      <xdr:col>17</xdr:col>
      <xdr:colOff>381000</xdr:colOff>
      <xdr:row>13</xdr:row>
      <xdr:rowOff>161925</xdr:rowOff>
    </xdr:to>
    <xdr:sp macro="[0]!Actualiser_Donnees_Services_TCD" textlink="">
      <xdr:nvSpPr>
        <xdr:cNvPr id="2" name="Rectangle : coins arrondis 1">
          <a:extLst>
            <a:ext uri="{FF2B5EF4-FFF2-40B4-BE49-F238E27FC236}">
              <a16:creationId xmlns:a16="http://schemas.microsoft.com/office/drawing/2014/main" id="{C4C3A2B9-5417-80C8-2114-CFBE0A76E3BC}"/>
            </a:ext>
          </a:extLst>
        </xdr:cNvPr>
        <xdr:cNvSpPr/>
      </xdr:nvSpPr>
      <xdr:spPr>
        <a:xfrm>
          <a:off x="10696575" y="1762125"/>
          <a:ext cx="2638425" cy="8858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H" sz="1800" b="1" kern="1200"/>
            <a:t>Actualiser les données</a:t>
          </a:r>
        </a:p>
      </xdr:txBody>
    </xdr:sp>
    <xdr:clientData/>
  </xdr:twoCellAnchor>
  <xdr:twoCellAnchor>
    <xdr:from>
      <xdr:col>7</xdr:col>
      <xdr:colOff>9525</xdr:colOff>
      <xdr:row>9</xdr:row>
      <xdr:rowOff>28575</xdr:rowOff>
    </xdr:from>
    <xdr:to>
      <xdr:col>10</xdr:col>
      <xdr:colOff>361950</xdr:colOff>
      <xdr:row>13</xdr:row>
      <xdr:rowOff>152400</xdr:rowOff>
    </xdr:to>
    <xdr:sp macro="" textlink="">
      <xdr:nvSpPr>
        <xdr:cNvPr id="3" name="Rectangle : coins arrondis 2">
          <a:extLst>
            <a:ext uri="{FF2B5EF4-FFF2-40B4-BE49-F238E27FC236}">
              <a16:creationId xmlns:a16="http://schemas.microsoft.com/office/drawing/2014/main" id="{FBBD5D37-A9B2-4C92-88E4-B4B2E66B11EF}"/>
            </a:ext>
          </a:extLst>
        </xdr:cNvPr>
        <xdr:cNvSpPr/>
      </xdr:nvSpPr>
      <xdr:spPr>
        <a:xfrm>
          <a:off x="5343525" y="1752600"/>
          <a:ext cx="2638425" cy="885825"/>
        </a:xfrm>
        <a:prstGeom prst="round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H" sz="1600" b="1" kern="1200"/>
            <a:t>Toujours sélectionner les données avant d'actualiser</a:t>
          </a:r>
        </a:p>
      </xdr:txBody>
    </xdr:sp>
    <xdr:clientData/>
  </xdr:twoCellAnchor>
  <xdr:twoCellAnchor>
    <xdr:from>
      <xdr:col>4</xdr:col>
      <xdr:colOff>342900</xdr:colOff>
      <xdr:row>9</xdr:row>
      <xdr:rowOff>95250</xdr:rowOff>
    </xdr:from>
    <xdr:to>
      <xdr:col>6</xdr:col>
      <xdr:colOff>104775</xdr:colOff>
      <xdr:row>12</xdr:row>
      <xdr:rowOff>123825</xdr:rowOff>
    </xdr:to>
    <xdr:sp macro="" textlink="">
      <xdr:nvSpPr>
        <xdr:cNvPr id="4" name="Flèche : droite 3">
          <a:extLst>
            <a:ext uri="{FF2B5EF4-FFF2-40B4-BE49-F238E27FC236}">
              <a16:creationId xmlns:a16="http://schemas.microsoft.com/office/drawing/2014/main" id="{F648238B-9321-3F45-D964-23A9B93E8D42}"/>
            </a:ext>
          </a:extLst>
        </xdr:cNvPr>
        <xdr:cNvSpPr/>
      </xdr:nvSpPr>
      <xdr:spPr>
        <a:xfrm>
          <a:off x="3390900" y="1819275"/>
          <a:ext cx="1285875" cy="60007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kern="1200"/>
        </a:p>
      </xdr:txBody>
    </xdr:sp>
    <xdr:clientData/>
  </xdr:twoCellAnchor>
  <xdr:twoCellAnchor>
    <xdr:from>
      <xdr:col>11</xdr:col>
      <xdr:colOff>219075</xdr:colOff>
      <xdr:row>9</xdr:row>
      <xdr:rowOff>95250</xdr:rowOff>
    </xdr:from>
    <xdr:to>
      <xdr:col>12</xdr:col>
      <xdr:colOff>742950</xdr:colOff>
      <xdr:row>12</xdr:row>
      <xdr:rowOff>123825</xdr:rowOff>
    </xdr:to>
    <xdr:sp macro="" textlink="">
      <xdr:nvSpPr>
        <xdr:cNvPr id="5" name="Flèche : droite 4">
          <a:extLst>
            <a:ext uri="{FF2B5EF4-FFF2-40B4-BE49-F238E27FC236}">
              <a16:creationId xmlns:a16="http://schemas.microsoft.com/office/drawing/2014/main" id="{3DEF67B5-236D-4D28-A238-3A3940C80E60}"/>
            </a:ext>
          </a:extLst>
        </xdr:cNvPr>
        <xdr:cNvSpPr/>
      </xdr:nvSpPr>
      <xdr:spPr>
        <a:xfrm>
          <a:off x="8601075" y="1819275"/>
          <a:ext cx="1285875" cy="600075"/>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kern="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xdr:colOff>
      <xdr:row>135</xdr:row>
      <xdr:rowOff>161924</xdr:rowOff>
    </xdr:from>
    <xdr:to>
      <xdr:col>5</xdr:col>
      <xdr:colOff>9525</xdr:colOff>
      <xdr:row>152</xdr:row>
      <xdr:rowOff>38100</xdr:rowOff>
    </xdr:to>
    <xdr:graphicFrame macro="">
      <xdr:nvGraphicFramePr>
        <xdr:cNvPr id="2" name="Graphique 1">
          <a:extLst>
            <a:ext uri="{FF2B5EF4-FFF2-40B4-BE49-F238E27FC236}">
              <a16:creationId xmlns:a16="http://schemas.microsoft.com/office/drawing/2014/main" id="{BC5D44FF-16A7-4DF4-92F3-BEC92F7120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avilledegeneve-my.sharepoint.com/personal/thomas_kerboul_geneve_ch/Documents/98_EF/Statistiques_SAR/Fusion/final/final.xlsm" TargetMode="External"/><Relationship Id="rId1" Type="http://schemas.openxmlformats.org/officeDocument/2006/relationships/externalLinkPath" Target="final/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ormulaire"/>
      <sheetName val="Aide"/>
      <sheetName val="Données"/>
      <sheetName val="Statistiques"/>
      <sheetName val="Tableau de bord"/>
      <sheetName val="Versions"/>
      <sheetName val="Graph"/>
      <sheetName val="Tableau"/>
      <sheetName val="données powerquery"/>
    </sheetNames>
    <sheetDataSet>
      <sheetData sheetId="0"/>
      <sheetData sheetId="1"/>
      <sheetData sheetId="2"/>
      <sheetData sheetId="3">
        <row r="5">
          <cell r="J5" t="str">
            <v>Français</v>
          </cell>
          <cell r="K5">
            <v>2691</v>
          </cell>
        </row>
        <row r="6">
          <cell r="J6" t="str">
            <v>Anglais</v>
          </cell>
          <cell r="K6">
            <v>146</v>
          </cell>
        </row>
        <row r="7">
          <cell r="J7" t="str">
            <v>Autre</v>
          </cell>
          <cell r="K7">
            <v>8</v>
          </cell>
        </row>
      </sheetData>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KERBOUL" refreshedDate="46230.436922569446" createdVersion="8" refreshedVersion="8" minRefreshableVersion="3" recordCount="1471" xr:uid="{20BDF223-4DA1-473D-A75D-5806D746769B}">
  <cacheSource type="worksheet">
    <worksheetSource name="Services"/>
  </cacheSource>
  <cacheFields count="14">
    <cacheField name="horodatage" numFmtId="22">
      <sharedItems containsSemiMixedTypes="0" containsNonDate="0" containsDate="1" containsString="0" minDate="2025-07-01T10:16:06" maxDate="2026-06-30T15:13:09" count="2801">
        <d v="2025-07-01T10:16:06"/>
        <d v="2025-07-01T14:13:04"/>
        <d v="2025-07-01T14:13:13"/>
        <d v="2025-07-01T14:13:27"/>
        <d v="2025-07-01T14:13:32"/>
        <d v="2025-07-01T14:13:41"/>
        <d v="2025-07-01T14:56:57"/>
        <d v="2025-07-01T14:57:05"/>
        <d v="2025-07-01T14:57:32"/>
        <d v="2025-07-01T14:58:15"/>
        <d v="2025-07-01T15:52:59"/>
        <d v="2025-07-01T15:53:24"/>
        <d v="2025-07-02T10:06:17"/>
        <d v="2025-07-02T12:33:04"/>
        <d v="2025-07-02T12:37:23"/>
        <d v="2025-07-02T13:08:54"/>
        <d v="2025-07-02T13:46:47"/>
        <d v="2025-07-02T14:50:22"/>
        <d v="2025-07-02T14:50:33"/>
        <d v="2025-07-02T14:50:38"/>
        <d v="2025-07-03T09:06:01"/>
        <d v="2025-07-03T13:08:13"/>
        <d v="2025-07-03T14:43:42"/>
        <d v="2025-07-03T16:28:41"/>
        <d v="2025-07-03T16:29:02"/>
        <d v="2025-07-04T09:44:54"/>
        <d v="2025-07-04T09:49:26"/>
        <d v="2025-07-04T09:59:38"/>
        <d v="2025-07-04T10:13:11"/>
        <d v="2025-07-04T10:13:26"/>
        <d v="2025-07-04T11:11:43"/>
        <d v="2025-07-04T11:12:33"/>
        <d v="2025-07-04T11:12:41"/>
        <d v="2025-07-04T11:12:48"/>
        <d v="2025-07-04T12:02:07"/>
        <d v="2025-07-04T13:55:19"/>
        <d v="2025-07-04T15:45:09"/>
        <d v="2025-07-04T15:58:54"/>
        <d v="2025-07-05T10:39:31"/>
        <d v="2025-07-05T10:39:38"/>
        <d v="2025-07-05T11:22:23"/>
        <d v="2025-07-05T11:27:01"/>
        <d v="2025-07-05T11:48:54"/>
        <d v="2025-07-05T12:00:42"/>
        <d v="2025-07-08T13:30:16"/>
        <d v="2025-07-08T13:31:05"/>
        <d v="2025-07-08T13:47:12"/>
        <d v="2025-07-08T13:47:18"/>
        <d v="2025-07-08T14:22:06"/>
        <d v="2025-07-08T14:37:29"/>
        <d v="2025-07-08T14:37:57"/>
        <d v="2025-07-08T17:25:25"/>
        <d v="2025-07-08T17:25:47"/>
        <d v="2025-07-08T17:26:05"/>
        <d v="2025-07-09T12:07:02"/>
        <d v="2025-07-09T12:51:57"/>
        <d v="2025-07-09T12:52:46"/>
        <d v="2025-07-09T12:56:54"/>
        <d v="2025-07-09T13:31:08"/>
        <d v="2025-07-09T14:44:42"/>
        <d v="2025-07-09T14:45:14"/>
        <d v="2025-07-09T14:45:25"/>
        <d v="2025-07-09T14:59:18"/>
        <d v="2025-07-10T09:05:43"/>
        <d v="2025-07-10T11:52:30"/>
        <d v="2025-07-10T11:52:47"/>
        <d v="2025-07-10T11:53:09"/>
        <d v="2025-07-10T12:18:31"/>
        <d v="2025-07-10T12:18:45"/>
        <d v="2025-07-10T12:27:52"/>
        <d v="2025-07-10T12:56:01"/>
        <d v="2025-07-10T13:01:49"/>
        <d v="2025-07-10T14:42:58"/>
        <d v="2025-07-10T17:57:00"/>
        <d v="2025-07-10T17:57:10"/>
        <d v="2025-07-10T17:57:21"/>
        <d v="2025-07-10T17:57:27"/>
        <d v="2025-07-11T12:27:40"/>
        <d v="2025-07-11T12:30:03"/>
        <d v="2025-07-11T13:05:28"/>
        <d v="2025-07-11T13:55:22"/>
        <d v="2025-07-11T14:55:55"/>
        <d v="2025-07-11T14:56:14"/>
        <d v="2025-07-12T09:24:25"/>
        <d v="2025-07-12T11:12:58"/>
        <d v="2025-07-12T11:13:23"/>
        <d v="2025-07-12T11:47:38"/>
        <d v="2025-07-12T11:54:20"/>
        <d v="2025-07-15T10:50:55"/>
        <d v="2025-07-15T12:47:58"/>
        <d v="2025-07-15T12:49:27"/>
        <d v="2025-07-15T12:58:33"/>
        <d v="2025-07-15T13:15:45"/>
        <d v="2025-07-15T13:29:50"/>
        <d v="2025-07-15T13:42:37"/>
        <d v="2025-07-15T14:42:48"/>
        <d v="2025-07-15T14:43:06"/>
        <d v="2025-07-15T15:34:58"/>
        <d v="2025-07-15T15:35:07"/>
        <d v="2025-07-15T15:51:26"/>
        <d v="2025-07-15T15:57:40"/>
        <d v="2025-07-16T10:18:23"/>
        <d v="2025-07-16T10:22:20"/>
        <d v="2025-07-16T11:27:07"/>
        <d v="2025-07-16T11:27:22"/>
        <d v="2025-07-16T12:16:49"/>
        <d v="2025-07-16T12:19:40"/>
        <d v="2025-07-16T13:00:15"/>
        <d v="2025-07-16T14:59:03"/>
        <d v="2025-07-16T15:18:31"/>
        <d v="2025-07-16T15:41:47"/>
        <d v="2025-07-16T16:15:19"/>
        <d v="2025-07-16T16:33:40"/>
        <d v="2025-07-16T16:44:25"/>
        <d v="2025-07-16T16:44:34"/>
        <d v="2025-07-17T09:50:17"/>
        <d v="2025-07-17T10:37:33"/>
        <d v="2025-07-17T11:16:11"/>
        <d v="2025-07-17T11:16:27"/>
        <d v="2025-07-17T11:18:54"/>
        <d v="2025-07-17T14:28:22"/>
        <d v="2025-07-17T16:59:58"/>
        <d v="2025-07-18T12:05:38"/>
        <d v="2025-07-18T12:06:21"/>
        <d v="2025-07-18T12:52:27"/>
        <d v="2025-07-18T15:01:54"/>
        <d v="2025-07-18T15:02:37"/>
        <d v="2025-07-18T15:27:01"/>
        <d v="2025-07-18T15:27:30"/>
        <d v="2025-07-18T16:29:47"/>
        <d v="2025-07-19T11:16:14"/>
        <d v="2025-07-22T12:21:51"/>
        <d v="2025-07-22T12:22:05"/>
        <d v="2025-07-22T13:01:24"/>
        <d v="2025-07-22T14:15:50"/>
        <d v="2025-07-22T14:15:58"/>
        <d v="2025-07-22T14:16:07"/>
        <d v="2025-07-22T14:42:57"/>
        <d v="2025-07-22T17:29:12"/>
        <d v="2025-07-22T17:29:22"/>
        <d v="2025-07-22T17:29:38"/>
        <d v="2025-07-22T17:29:54"/>
        <d v="2025-07-22T17:30:10"/>
        <d v="2025-07-22T17:30:26"/>
        <d v="2025-07-23T10:51:48"/>
        <d v="2025-07-23T10:52:06"/>
        <d v="2025-07-24T09:20:11"/>
        <d v="2025-07-24T12:32:03"/>
        <d v="2025-07-24T13:17:50"/>
        <d v="2025-07-24T13:43:11"/>
        <d v="2025-07-24T13:57:00"/>
        <d v="2025-07-25T12:25:06"/>
        <d v="2025-07-25T12:25:14"/>
        <d v="2025-07-25T13:01:25"/>
        <d v="2025-07-25T13:01:43"/>
        <d v="2025-07-25T14:33:58"/>
        <d v="2025-07-25T14:35:28"/>
        <d v="2025-07-25T14:35:41"/>
        <d v="2025-07-25T14:36:01"/>
        <d v="2025-07-25T15:00:56"/>
        <d v="2025-07-25T16:12:22"/>
        <d v="2025-07-25T17:42:16"/>
        <d v="2025-07-25T17:42:30"/>
        <d v="2025-07-25T17:42:38"/>
        <d v="2025-07-25T17:42:47"/>
        <d v="2025-07-25T17:43:02"/>
        <d v="2025-07-26T10:46:56"/>
        <d v="2025-07-26T10:48:23"/>
        <d v="2025-07-26T10:48:37"/>
        <d v="2025-07-29T13:22:29"/>
        <d v="2025-07-29T14:03:31"/>
        <d v="2025-07-29T14:03:37"/>
        <d v="2025-07-29T14:42:33"/>
        <d v="2025-07-30T11:02:47"/>
        <d v="2025-07-30T12:43:37"/>
        <d v="2025-07-30T12:43:55"/>
        <d v="2025-07-30T12:44:14"/>
        <d v="2025-07-30T13:04:14"/>
        <d v="2025-07-30T13:22:33"/>
        <d v="2025-07-30T17:52:32"/>
        <d v="2025-07-30T17:57:03"/>
        <d v="2025-07-30T17:57:23"/>
        <d v="2025-07-30T17:57:33"/>
        <d v="2025-07-30T17:57:53"/>
        <d v="2025-07-30T17:58:42"/>
        <d v="2025-07-31T13:04:48"/>
        <d v="2025-07-31T14:24:45"/>
        <d v="2025-07-31T14:25:00"/>
        <d v="2025-07-31T14:47:22"/>
        <d v="2025-08-05T10:20:21"/>
        <d v="2025-08-05T10:20:33"/>
        <d v="2025-08-05T11:10:09"/>
        <d v="2025-08-05T11:12:05"/>
        <d v="2025-08-05T11:31:12"/>
        <d v="2025-08-05T12:04:02"/>
        <d v="2025-08-05T12:36:21"/>
        <d v="2025-08-05T12:50:28"/>
        <d v="2025-08-05T12:50:55"/>
        <d v="2025-08-05T13:15:08"/>
        <d v="2025-08-05T13:15:12"/>
        <d v="2025-08-05T13:24:07"/>
        <d v="2025-08-05T13:24:12"/>
        <d v="2025-08-05T13:49:30"/>
        <d v="2025-08-05T14:10:08"/>
        <d v="2025-08-05T14:48:09"/>
        <d v="2025-08-05T14:53:08"/>
        <d v="2025-08-05T17:51:02"/>
        <d v="2025-08-05T17:51:08"/>
        <d v="2025-08-05T17:51:20"/>
        <d v="2025-08-05T17:51:31"/>
        <d v="2025-08-05T17:51:40"/>
        <d v="2025-08-05T17:51:57"/>
        <d v="2025-08-06T09:56:41"/>
        <d v="2025-08-06T10:12:59"/>
        <d v="2025-08-06T12:00:28"/>
        <d v="2025-08-06T16:21:05"/>
        <d v="2025-08-06T16:21:15"/>
        <d v="2025-08-06T16:21:29"/>
        <d v="2025-08-06T16:21:40"/>
        <d v="2025-08-06T16:21:53"/>
        <d v="2025-08-06T17:34:18"/>
        <d v="2025-08-06T17:34:25"/>
        <d v="2025-08-07T13:00:37"/>
        <d v="2025-08-07T14:23:28"/>
        <d v="2025-08-07T14:23:49"/>
        <d v="2025-08-08T11:55:16"/>
        <d v="2025-08-08T11:55:27"/>
        <d v="2025-08-08T11:55:39"/>
        <d v="2025-08-08T13:04:30"/>
        <d v="2025-08-08T13:52:26"/>
        <d v="2025-08-08T13:52:48"/>
        <d v="2025-08-08T14:30:33"/>
        <d v="2025-08-08T14:30:54"/>
        <d v="2025-08-09T09:46:11"/>
        <d v="2025-08-09T09:47:02"/>
        <d v="2025-08-09T11:33:34"/>
        <d v="2025-08-11T11:55:00"/>
        <d v="2025-08-11T11:55:39"/>
        <d v="2025-08-11T11:59:13"/>
        <d v="2025-08-11T13:21:46"/>
        <d v="2025-08-11T13:22:00"/>
        <d v="2025-08-11T13:44:02"/>
        <d v="2025-08-11T13:44:48"/>
        <d v="2025-08-11T14:43:10"/>
        <d v="2025-08-11T14:43:24"/>
        <d v="2025-08-11T15:14:10"/>
        <d v="2025-08-11T16:06:03"/>
        <d v="2025-08-11T16:29:16"/>
        <d v="2025-08-11T16:29:33"/>
        <d v="2025-08-13T11:59:59"/>
        <d v="2025-08-13T12:35:45"/>
        <d v="2025-08-13T14:06:11"/>
        <d v="2025-08-13T14:39:57"/>
        <d v="2025-08-13T14:40:02"/>
        <d v="2025-08-13T15:51:08"/>
        <d v="2025-08-13T15:51:25"/>
        <d v="2025-08-14T09:16:15"/>
        <d v="2025-08-14T10:07:58"/>
        <d v="2025-08-14T10:36:49"/>
        <d v="2025-08-14T12:05:57"/>
        <d v="2025-08-14T12:51:05"/>
        <d v="2025-08-14T12:51:56"/>
        <d v="2025-08-14T14:01:24"/>
        <d v="2025-08-14T14:01:50"/>
        <d v="2025-08-14T14:15:49"/>
        <d v="2025-08-14T14:16:20"/>
        <d v="2025-08-14T15:00:27"/>
        <d v="2025-08-14T15:14:17"/>
        <d v="2025-08-14T15:35:27"/>
        <d v="2025-08-15T09:17:10"/>
        <d v="2025-08-15T09:45:00"/>
        <d v="2025-08-15T10:51:32"/>
        <d v="2025-08-15T11:19:03"/>
        <d v="2025-08-15T12:35:31"/>
        <d v="2025-08-15T12:41:07"/>
        <d v="2025-08-15T13:57:23"/>
        <d v="2025-08-15T13:58:10"/>
        <d v="2025-08-15T14:53:20"/>
        <d v="2025-08-15T14:53:36"/>
        <d v="2025-08-15T15:31:41"/>
        <d v="2025-08-15T15:59:47"/>
        <d v="2025-08-16T09:54:05"/>
        <d v="2025-08-16T09:57:39"/>
        <d v="2025-08-16T10:21:54"/>
        <d v="2025-08-16T10:22:05"/>
        <d v="2025-08-16T10:29:17"/>
        <d v="2025-08-16T10:29:37"/>
        <d v="2025-08-16T11:01:06"/>
        <d v="2025-08-16T11:01:14"/>
        <d v="2025-08-16T11:01:35"/>
        <d v="2025-08-18T09:10:27"/>
        <d v="2025-08-18T09:31:29"/>
        <d v="2025-08-18T09:57:16"/>
        <d v="2025-08-18T12:37:52"/>
        <d v="2025-08-18T12:37:59"/>
        <d v="2025-08-18T12:38:16"/>
        <d v="2025-08-18T13:07:07"/>
        <d v="2025-08-18T13:07:10"/>
        <d v="2025-08-18T13:29:09"/>
        <d v="2025-08-18T13:44:20"/>
        <d v="2025-08-18T14:06:24"/>
        <d v="2025-08-18T14:13:58"/>
        <d v="2025-08-18T14:49:14"/>
        <d v="2025-08-18T14:59:48"/>
        <d v="2025-08-18T15:23:17"/>
        <d v="2025-08-18T15:23:35"/>
        <d v="2025-08-18T16:10:57"/>
        <d v="2025-08-18T16:11:12"/>
        <d v="2025-08-19T10:23:21"/>
        <d v="2025-08-19T10:23:40"/>
        <d v="2025-08-19T13:37:59"/>
        <d v="2025-08-19T14:09:21"/>
        <d v="2025-08-19T14:51:28"/>
        <d v="2025-08-19T15:16:12"/>
        <d v="2025-08-19T15:25:50"/>
        <d v="2025-08-19T16:22:12"/>
        <d v="2025-08-19T16:22:38"/>
        <d v="2025-08-19T16:48:40"/>
        <d v="2025-08-19T16:56:01"/>
        <d v="2025-08-19T17:30:20"/>
        <d v="2025-08-19T17:51:14"/>
        <d v="2025-08-20T09:39:34"/>
        <d v="2025-08-20T10:55:34"/>
        <d v="2025-08-20T11:12:07"/>
        <d v="2025-08-20T11:26:32"/>
        <d v="2025-08-20T14:30:24"/>
        <d v="2025-08-20T14:30:44"/>
        <d v="2025-08-20T14:46:25"/>
        <d v="2025-08-20T15:40:30"/>
        <d v="2025-08-20T16:23:53"/>
        <d v="2025-08-20T16:24:02"/>
        <d v="2025-08-20T16:24:11"/>
        <d v="2025-08-20T16:33:31"/>
        <d v="2025-08-20T17:04:46"/>
        <d v="2025-08-20T17:29:30"/>
        <d v="2025-08-21T10:06:54"/>
        <d v="2025-08-21T11:00:13"/>
        <d v="2025-08-21T11:34:15"/>
        <d v="2025-08-21T13:34:25"/>
        <d v="2025-08-21T15:26:00"/>
        <d v="2025-08-21T17:00:14"/>
        <d v="2025-08-21T17:00:28"/>
        <d v="2025-08-21T17:00:56"/>
        <d v="2025-08-22T09:46:02"/>
        <d v="2025-08-22T10:33:38"/>
        <d v="2025-08-22T10:33:49"/>
        <d v="2025-08-22T11:01:18"/>
        <d v="2025-08-22T12:01:34"/>
        <d v="2025-08-22T14:04:02"/>
        <d v="2025-08-22T14:04:30"/>
        <d v="2025-08-22T15:18:44"/>
        <d v="2025-08-22T15:18:54"/>
        <d v="2025-08-22T15:19:06"/>
        <d v="2025-08-22T15:19:22"/>
        <d v="2025-08-22T15:59:12"/>
        <d v="2025-08-22T15:59:20"/>
        <d v="2025-08-22T16:18:14"/>
        <d v="2025-08-22T16:56:12"/>
        <d v="2025-08-22T17:20:31"/>
        <d v="2025-08-22T17:54:33"/>
        <d v="2025-08-22T18:05:39"/>
        <d v="2025-08-23T10:02:57"/>
        <d v="2025-08-23T11:35:05"/>
        <d v="2025-08-25T10:10:29"/>
        <d v="2025-08-25T11:09:23"/>
        <d v="2025-08-25T11:25:11"/>
        <d v="2025-08-25T12:02:43"/>
        <d v="2025-08-25T12:02:54"/>
        <d v="2025-08-25T12:03:01"/>
        <d v="2025-08-25T12:08:16"/>
        <d v="2025-08-25T12:10:00"/>
        <d v="2025-08-25T12:36:51"/>
        <d v="2025-08-25T12:37:01"/>
        <d v="2025-08-25T12:59:30"/>
        <d v="2025-08-25T13:33:59"/>
        <d v="2025-08-25T13:34:03"/>
        <d v="2025-08-25T14:11:22"/>
        <d v="2025-08-25T14:38:24"/>
        <d v="2025-08-25T15:00:41"/>
        <d v="2025-08-25T15:15:21"/>
        <d v="2025-08-25T15:28:27"/>
        <d v="2025-08-25T15:32:25"/>
        <d v="2025-08-25T15:41:22"/>
        <d v="2025-08-25T15:48:02"/>
        <d v="2025-08-25T17:15:06"/>
        <d v="2025-08-25T17:15:22"/>
        <d v="2025-08-25T17:15:30"/>
        <d v="2025-08-25T17:16:11"/>
        <d v="2025-08-26T13:20:56"/>
        <d v="2025-08-26T13:33:42"/>
        <d v="2025-08-26T13:39:03"/>
        <d v="2025-08-26T14:30:52"/>
        <d v="2025-08-27T12:09:30"/>
        <d v="2025-08-27T12:09:44"/>
        <d v="2025-08-27T13:11:57"/>
        <d v="2025-08-27T14:00:40"/>
        <d v="2025-08-27T17:59:40"/>
        <d v="2025-08-27T17:59:48"/>
        <d v="2025-08-27T18:00:54"/>
        <d v="2025-08-28T09:46:45"/>
        <d v="2025-08-28T10:53:35"/>
        <d v="2025-08-28T12:59:37"/>
        <d v="2025-08-28T14:58:51"/>
        <d v="2025-08-28T14:59:19"/>
        <d v="2025-08-28T14:59:31"/>
        <d v="2025-08-28T15:00:05"/>
        <d v="2025-08-29T09:46:02"/>
        <d v="2025-08-29T12:22:29"/>
        <d v="2025-08-29T12:44:35"/>
        <d v="2025-08-29T13:14:27"/>
        <d v="2025-08-29T13:46:39"/>
        <d v="2025-08-29T14:07:37"/>
        <d v="2025-08-29T14:40:17"/>
        <d v="2025-08-29T14:46:49"/>
        <d v="2025-08-29T15:53:15"/>
        <d v="2025-08-29T15:53:49"/>
        <d v="2025-08-29T15:54:36"/>
        <d v="2025-08-29T15:58:06"/>
        <d v="2025-08-30T11:39:58"/>
        <d v="2025-09-01T09:09:29"/>
        <d v="2025-09-01T10:23:00"/>
        <d v="2025-09-01T12:46:38"/>
        <d v="2025-09-01T12:46:52"/>
        <d v="2025-09-01T13:49:40"/>
        <d v="2025-09-01T13:49:51"/>
        <d v="2025-09-01T14:32:36"/>
        <d v="2025-09-01T15:07:25"/>
        <d v="2025-09-01T15:07:38"/>
        <d v="2025-09-01T15:07:49"/>
        <d v="2025-09-01T15:21:21"/>
        <d v="2025-09-01T15:21:32"/>
        <d v="2025-09-01T15:23:44"/>
        <d v="2025-09-01T15:47:37"/>
        <d v="2025-09-01T15:48:43"/>
        <d v="2025-09-01T16:09:13"/>
        <d v="2025-09-01T16:09:25"/>
        <d v="2025-09-01T17:32:01"/>
        <d v="2025-09-01T17:32:09"/>
        <d v="2025-09-01T17:42:24"/>
        <d v="2025-09-02T10:24:28"/>
        <d v="2025-09-02T10:46:36"/>
        <d v="2025-09-02T10:47:45"/>
        <d v="2025-09-02T10:49:27"/>
        <d v="2025-09-02T13:53:32"/>
        <d v="2025-09-02T14:56:51"/>
        <d v="2025-09-03T09:59:40"/>
        <d v="2025-09-03T10:41:25"/>
        <d v="2025-09-03T11:03:19"/>
        <d v="2025-09-03T12:08:08"/>
        <d v="2025-09-03T12:08:45"/>
        <d v="2025-09-03T12:59:07"/>
        <d v="2025-09-03T12:59:28"/>
        <d v="2025-09-03T17:59:39"/>
        <d v="2025-09-03T18:00:00"/>
        <d v="2025-09-03T18:00:19"/>
        <d v="2025-09-04T09:10:22"/>
        <d v="2025-09-04T09:12:16"/>
        <d v="2025-09-04T09:46:14"/>
        <d v="2025-09-04T09:46:44"/>
        <d v="2025-09-04T12:59:39"/>
        <d v="2025-09-05T14:03:00"/>
        <d v="2025-09-05T14:07:13"/>
        <d v="2025-09-05T14:07:40"/>
        <d v="2025-09-05T15:00:31"/>
        <d v="2025-09-05T15:00:53"/>
        <d v="2025-09-05T15:01:14"/>
        <d v="2025-09-05T16:00:25"/>
        <d v="2025-09-05T18:06:58"/>
        <d v="2025-09-05T18:07:08"/>
        <d v="2025-09-05T18:07:16"/>
        <d v="2025-09-05T18:07:23"/>
        <d v="2025-09-05T18:07:33"/>
        <d v="2025-09-05T18:07:44"/>
        <d v="2025-09-06T09:47:22"/>
        <d v="2025-09-06T09:47:44"/>
        <d v="2025-09-06T10:51:24"/>
        <d v="2025-09-06T10:51:45"/>
        <d v="2025-09-06T11:25:36"/>
        <d v="2025-09-08T10:05:26"/>
        <d v="2025-09-08T10:26:05"/>
        <d v="2025-09-08T11:33:17"/>
        <d v="2025-09-08T12:27:14"/>
        <d v="2025-09-08T13:11:31"/>
        <d v="2025-09-08T13:12:43"/>
        <d v="2025-09-08T13:30:59"/>
        <d v="2025-09-08T13:31:09"/>
        <d v="2025-09-08T13:38:51"/>
        <d v="2025-09-08T14:37:35"/>
        <d v="2025-09-08T15:03:29"/>
        <d v="2025-09-08T15:25:33"/>
        <d v="2025-09-08T15:25:41"/>
        <d v="2025-09-08T15:25:46"/>
        <d v="2025-09-08T16:12:52"/>
        <d v="2025-09-08T16:45:44"/>
        <d v="2025-09-08T16:46:01"/>
        <d v="2025-09-08T17:03:01"/>
        <d v="2025-09-08T17:47:07"/>
        <d v="2025-09-09T12:17:12"/>
        <d v="2025-09-09T17:44:34"/>
        <d v="2025-09-09T17:44:40"/>
        <d v="2025-09-09T17:44:48"/>
        <d v="2025-09-09T17:44:56"/>
        <d v="2025-09-09T17:45:05"/>
        <d v="2025-09-09T17:45:25"/>
        <d v="2025-09-10T10:17:08"/>
        <d v="2025-09-10T10:57:45"/>
        <d v="2025-09-10T11:07:06"/>
        <d v="2025-09-10T13:00:59"/>
        <d v="2025-09-10T14:30:41"/>
        <d v="2025-09-10T14:55:17"/>
        <d v="2025-09-12T10:09:43"/>
        <d v="2025-09-12T10:09:52"/>
        <d v="2025-09-12T12:11:18"/>
        <d v="2025-09-12T12:12:40"/>
        <d v="2025-09-12T12:26:44"/>
        <d v="2025-09-12T12:48:39"/>
        <d v="2025-09-12T14:04:59"/>
        <d v="2025-09-12T14:59:00"/>
        <d v="2025-09-12T14:59:07"/>
        <d v="2025-09-12T14:59:29"/>
        <d v="2025-09-12T14:59:46"/>
        <d v="2025-09-12T15:00:14"/>
        <d v="2025-09-12T15:48:49"/>
        <d v="2025-09-12T16:03:38"/>
        <d v="2025-09-12T16:04:18"/>
        <d v="2025-09-12T18:14:17"/>
        <d v="2025-09-12T18:14:44"/>
        <d v="2025-09-12T18:14:51"/>
        <d v="2025-09-12T18:15:02"/>
        <d v="2025-09-15T12:18:05"/>
        <d v="2025-09-15T12:31:22"/>
        <d v="2025-09-15T13:45:45"/>
        <d v="2025-09-15T14:33:09"/>
        <d v="2025-09-15T14:33:16"/>
        <d v="2025-09-15T15:08:38"/>
        <d v="2025-09-15T15:08:42"/>
        <d v="2025-09-15T15:25:29"/>
        <d v="2025-09-15T15:52:58"/>
        <d v="2025-09-15T16:01:26"/>
        <d v="2025-09-15T17:56:15"/>
        <d v="2025-09-15T17:57:14"/>
        <d v="2025-09-15T17:57:31"/>
        <d v="2025-09-15T17:57:53"/>
        <d v="2025-09-16T12:13:08"/>
        <d v="2025-09-16T12:26:54"/>
        <d v="2025-09-16T13:37:29"/>
        <d v="2025-09-16T14:14:28"/>
        <d v="2025-09-16T14:14:32"/>
        <d v="2025-09-16T14:55:06"/>
        <d v="2025-09-16T15:05:59"/>
        <d v="2025-09-16T17:57:14"/>
        <d v="2025-09-16T17:57:20"/>
        <d v="2025-09-16T17:57:38"/>
        <d v="2025-09-16T17:57:46"/>
        <d v="2025-09-17T10:40:25"/>
        <d v="2025-09-17T10:40:44"/>
        <d v="2025-09-17T14:00:54"/>
        <d v="2025-09-17T14:28:09"/>
        <d v="2025-09-17T17:51:59"/>
        <d v="2025-09-17T17:52:31"/>
        <d v="2025-09-17T17:52:39"/>
        <d v="2025-09-18T09:22:54"/>
        <d v="2025-09-18T10:58:18"/>
        <d v="2025-09-18T12:46:58"/>
        <d v="2025-09-18T12:47:11"/>
        <d v="2025-09-18T12:55:32"/>
        <d v="2025-09-19T09:55:30"/>
        <d v="2025-09-19T12:32:05"/>
        <d v="2025-09-19T12:32:21"/>
        <d v="2025-09-19T14:09:19"/>
        <d v="2025-09-19T16:01:12"/>
        <d v="2025-09-20T11:02:54"/>
        <d v="2025-09-22T11:37:07"/>
        <d v="2025-09-22T11:37:26"/>
        <d v="2025-09-22T11:37:42"/>
        <d v="2025-09-22T11:37:54"/>
        <d v="2025-09-22T11:38:13"/>
        <d v="2025-09-22T11:59:38"/>
        <d v="2025-09-22T11:59:48"/>
        <d v="2025-09-22T12:04:30"/>
        <d v="2025-09-22T12:15:49"/>
        <d v="2025-09-22T13:00:56"/>
        <d v="2025-09-22T13:38:14"/>
        <d v="2025-09-22T13:38:35"/>
        <d v="2025-09-22T13:40:15"/>
        <d v="2025-09-22T13:46:02"/>
        <d v="2025-09-22T14:03:01"/>
        <d v="2025-09-22T14:20:00"/>
        <d v="2025-09-22T14:55:26"/>
        <d v="2025-09-23T12:43:42"/>
        <d v="2025-09-23T12:43:53"/>
        <d v="2025-09-23T12:44:05"/>
        <d v="2025-09-23T12:50:07"/>
        <d v="2025-09-24T12:08:04"/>
        <d v="2025-09-24T12:08:19"/>
        <d v="2025-09-24T12:08:34"/>
        <d v="2025-09-24T13:00:24"/>
        <d v="2025-09-24T14:11:17"/>
        <d v="2025-09-24T14:49:45"/>
        <d v="2025-09-24T17:54:54"/>
        <d v="2025-09-24T17:55:01"/>
        <d v="2025-09-24T17:55:16"/>
        <d v="2025-09-24T17:55:39"/>
        <d v="2025-09-24T17:56:38"/>
        <d v="2025-09-25T11:25:23"/>
        <d v="2025-09-25T11:25:35"/>
        <d v="2025-09-25T11:55:21"/>
        <d v="2025-09-25T12:57:40"/>
        <d v="2025-09-25T13:48:53"/>
        <d v="2025-09-25T15:01:05"/>
        <d v="2025-09-25T17:53:28"/>
        <d v="2025-09-25T17:53:36"/>
        <d v="2025-09-25T17:53:43"/>
        <d v="2025-09-25T17:53:49"/>
        <d v="2025-09-25T17:54:11"/>
        <d v="2025-09-26T09:33:06"/>
        <d v="2025-09-26T11:13:03"/>
        <d v="2025-09-26T13:50:47"/>
        <d v="2025-09-26T17:55:36"/>
        <d v="2025-09-26T17:55:47"/>
        <d v="2025-09-26T17:55:57"/>
        <d v="2025-09-26T17:56:23"/>
        <d v="2025-09-26T17:56:36"/>
        <d v="2025-09-26T17:56:44"/>
        <d v="2025-09-26T17:56:56"/>
        <d v="2025-09-27T10:17:51"/>
        <d v="2025-09-27T10:18:39"/>
        <d v="2025-09-27T10:36:06"/>
        <d v="2025-09-27T10:42:24"/>
        <d v="2025-09-27T11:32:55"/>
        <d v="2025-09-29T12:33:35"/>
        <d v="2025-09-29T13:55:41"/>
        <d v="2025-09-29T13:55:46"/>
        <d v="2025-09-29T14:34:42"/>
        <d v="2025-09-29T14:48:40"/>
        <d v="2025-09-29T15:04:30"/>
        <d v="2025-09-29T15:57:14"/>
        <d v="2025-09-29T15:57:50"/>
        <d v="2025-09-29T15:58:02"/>
        <d v="2025-09-29T16:05:31"/>
        <d v="2025-09-29T16:36:38"/>
        <d v="2025-09-29T16:37:04"/>
        <d v="2025-09-30T12:14:00"/>
        <d v="2025-09-30T14:18:13"/>
        <d v="2025-09-30T14:36:40"/>
        <d v="2025-10-01T10:41:02"/>
        <d v="2025-10-01T10:55:10"/>
        <d v="2025-10-01T12:36:46"/>
        <d v="2025-10-01T12:37:13"/>
        <d v="2025-10-01T12:37:29"/>
        <d v="2025-10-01T14:38:25"/>
        <d v="2025-10-01T14:38:30"/>
        <d v="2025-10-01T15:01:25"/>
        <d v="2025-10-01T18:00:06"/>
        <d v="2025-10-01T18:00:12"/>
        <d v="2025-10-01T18:00:38"/>
        <d v="2025-10-01T18:00:50"/>
        <d v="2025-10-01T18:01:11"/>
        <d v="2025-10-02T09:24:51"/>
        <d v="2025-10-02T09:25:11"/>
        <d v="2025-10-02T09:53:50"/>
        <d v="2025-10-02T12:36:34"/>
        <d v="2025-10-02T12:36:54"/>
        <d v="2025-10-02T12:49:10"/>
        <d v="2025-10-02T14:23:35"/>
        <d v="2025-10-02T14:42:18"/>
        <d v="2025-10-02T14:56:38"/>
        <d v="2025-10-03T10:06:28"/>
        <d v="2025-10-03T11:59:53"/>
        <d v="2025-10-03T13:13:30"/>
        <d v="2025-10-03T14:07:08"/>
        <d v="2025-10-03T17:54:02"/>
        <d v="2025-10-03T17:54:10"/>
        <d v="2025-10-03T17:54:25"/>
        <d v="2025-10-03T17:54:31"/>
        <d v="2025-10-03T17:54:38"/>
        <d v="2025-10-03T17:54:48"/>
        <d v="2025-10-03T17:55:02"/>
        <d v="2025-10-04T09:41:41"/>
        <d v="2025-10-04T11:04:31"/>
        <d v="2025-10-04T11:05:01"/>
        <d v="2025-10-04T12:15:51"/>
        <d v="2025-10-06T12:58:31"/>
        <d v="2025-10-06T13:09:09"/>
        <d v="2025-10-06T14:14:13"/>
        <d v="2025-10-06T14:14:48"/>
        <d v="2025-10-06T14:37:13"/>
        <d v="2025-10-06T14:53:27"/>
        <d v="2025-10-06T15:02:58"/>
        <d v="2025-10-06T15:13:24"/>
        <d v="2025-10-07T14:16:12"/>
        <d v="2025-10-07T14:17:01"/>
        <d v="2025-10-07T14:34:35"/>
        <d v="2025-10-07T14:58:11"/>
        <d v="2025-10-07T17:48:53"/>
        <d v="2025-10-07T17:49:07"/>
        <d v="2025-10-07T17:49:37"/>
        <d v="2025-10-08T11:36:28"/>
        <d v="2025-10-08T14:59:03"/>
        <d v="2025-10-08T17:52:49"/>
        <d v="2025-10-08T17:52:58"/>
        <d v="2025-10-08T17:53:09"/>
        <d v="2025-10-08T17:53:31"/>
        <d v="2025-10-09T09:14:53"/>
        <d v="2025-10-09T09:30:51"/>
        <d v="2025-10-09T09:30:58"/>
        <d v="2025-10-09T09:55:36"/>
        <d v="2025-10-09T10:03:52"/>
        <d v="2025-10-09T10:40:43"/>
        <d v="2025-10-09T14:20:26"/>
        <d v="2025-10-09T15:04:01"/>
        <d v="2025-10-10T09:54:08"/>
        <d v="2025-10-10T11:56:51"/>
        <d v="2025-10-10T12:40:18"/>
        <d v="2025-10-10T13:08:53"/>
        <d v="2025-10-10T16:01:34"/>
        <d v="2025-10-10T16:01:45"/>
        <d v="2025-10-10T16:01:53"/>
        <d v="2025-10-11T11:58:10"/>
        <d v="2025-10-11T11:58:18"/>
        <d v="2025-10-11T11:58:29"/>
        <d v="2025-10-13T10:42:09"/>
        <d v="2025-10-13T10:42:25"/>
        <d v="2025-10-13T10:58:48"/>
        <d v="2025-10-13T11:31:28"/>
        <d v="2025-10-13T12:07:42"/>
        <d v="2025-10-13T12:07:59"/>
        <d v="2025-10-13T12:08:18"/>
        <d v="2025-10-13T13:28:46"/>
        <d v="2025-10-13T13:28:52"/>
        <d v="2025-10-13T13:37:59"/>
        <d v="2025-10-13T13:40:42"/>
        <d v="2025-10-13T14:03:35"/>
        <d v="2025-10-13T14:26:11"/>
        <d v="2025-10-13T14:59:33"/>
        <d v="2025-10-13T15:06:53"/>
        <d v="2025-10-13T15:29:54"/>
        <d v="2025-10-13T15:42:46"/>
        <d v="2025-10-13T15:42:58"/>
        <d v="2025-10-13T15:54:21"/>
        <d v="2025-10-13T17:05:44"/>
        <d v="2025-10-14T14:22:27"/>
        <d v="2025-10-14T14:40:05"/>
        <d v="2025-10-14T14:40:13"/>
        <d v="2025-10-14T15:18:15"/>
        <d v="2025-10-14T17:56:02"/>
        <d v="2025-10-14T17:56:09"/>
        <d v="2025-10-14T17:56:16"/>
        <d v="2025-10-15T10:02:00"/>
        <d v="2025-10-15T10:45:57"/>
        <d v="2025-10-15T12:00:57"/>
        <d v="2025-10-15T12:01:33"/>
        <d v="2025-10-15T13:59:27"/>
        <d v="2025-10-15T13:59:41"/>
        <d v="2025-10-15T14:28:06"/>
        <d v="2025-10-15T14:28:53"/>
        <d v="2025-10-15T14:35:14"/>
        <d v="2025-10-15T17:58:16"/>
        <d v="2025-10-15T17:58:23"/>
        <d v="2025-10-15T17:58:30"/>
        <d v="2025-10-15T17:58:42"/>
        <d v="2025-10-15T17:58:53"/>
        <d v="2025-10-16T09:24:39"/>
        <d v="2025-10-16T11:57:24"/>
        <d v="2025-10-16T11:57:35"/>
        <d v="2025-10-16T11:57:49"/>
        <d v="2025-10-16T11:58:08"/>
        <d v="2025-10-16T11:58:32"/>
        <d v="2025-10-16T12:56:20"/>
        <d v="2025-10-16T15:09:15"/>
        <d v="2025-10-17T14:05:34"/>
        <d v="2025-10-17T14:05:49"/>
        <d v="2025-10-17T15:32:27"/>
        <d v="2025-10-17T15:32:55"/>
        <d v="2025-10-17T15:33:36"/>
        <d v="2025-10-17T15:59:23"/>
        <d v="2025-10-17T17:59:32"/>
        <d v="2025-10-17T17:59:38"/>
        <d v="2025-10-17T17:59:46"/>
        <d v="2025-10-17T17:59:55"/>
        <d v="2025-10-17T18:00:00"/>
        <d v="2025-10-20T10:54:36"/>
        <d v="2025-10-20T10:54:57"/>
        <d v="2025-10-20T10:55:25"/>
        <d v="2025-10-20T10:56:11"/>
        <d v="2025-10-20T11:05:16"/>
        <d v="2025-10-20T12:35:49"/>
        <d v="2025-10-20T14:38:10"/>
        <d v="2025-10-20T14:38:18"/>
        <d v="2025-10-20T14:38:25"/>
        <d v="2025-10-20T14:52:54"/>
        <d v="2025-10-20T15:02:32"/>
        <d v="2025-10-20T15:06:06"/>
        <d v="2025-10-20T15:25:38"/>
        <d v="2025-10-20T15:47:27"/>
        <d v="2025-10-20T15:47:35"/>
        <d v="2025-10-21T16:17:40"/>
        <d v="2025-10-21T16:17:54"/>
        <d v="2025-10-21T16:27:12"/>
        <d v="2025-10-22T10:31:42"/>
        <d v="2025-10-22T12:55:18"/>
        <d v="2025-10-22T12:59:18"/>
        <d v="2025-10-22T13:36:03"/>
        <d v="2025-10-22T13:36:29"/>
        <d v="2025-10-22T14:38:57"/>
        <d v="2025-10-22T14:39:02"/>
        <d v="2025-10-22T14:57:04"/>
        <d v="2025-10-24T09:45:10"/>
        <d v="2025-10-24T09:45:33"/>
        <d v="2025-10-24T09:53:10"/>
        <d v="2025-10-24T10:10:36"/>
        <d v="2025-10-24T10:10:46"/>
        <d v="2025-10-24T11:15:34"/>
        <d v="2025-10-24T11:22:21"/>
        <d v="2025-10-24T11:22:29"/>
        <d v="2025-10-24T11:41:07"/>
        <d v="2025-10-24T12:28:38"/>
        <d v="2025-10-24T12:55:02"/>
        <d v="2025-10-24T14:20:24"/>
        <d v="2025-10-24T14:27:00"/>
        <d v="2025-10-24T14:56:12"/>
        <d v="2025-10-25T09:21:59"/>
        <d v="2025-10-25T09:31:46"/>
        <d v="2025-10-25T11:15:48"/>
        <d v="2025-10-25T11:15:54"/>
        <d v="2025-10-25T11:25:40"/>
        <d v="2025-10-25T11:26:19"/>
        <d v="2025-10-27T09:45:25"/>
        <d v="2025-10-27T09:46:30"/>
        <d v="2025-10-27T11:52:05"/>
        <d v="2025-10-27T11:52:16"/>
        <d v="2025-10-27T12:01:28"/>
        <d v="2025-10-27T12:15:15"/>
        <d v="2025-10-27T12:36:26"/>
        <d v="2025-10-27T14:00:16"/>
        <d v="2025-10-27T14:00:24"/>
        <d v="2025-10-27T14:00:29"/>
        <d v="2025-10-27T15:01:02"/>
        <d v="2025-10-27T15:01:35"/>
        <d v="2025-10-27T15:19:25"/>
        <d v="2025-10-27T15:32:42"/>
        <d v="2025-10-27T15:32:51"/>
        <d v="2025-10-27T15:35:53"/>
        <d v="2025-10-27T15:43:47"/>
        <d v="2025-10-27T15:44:01"/>
        <d v="2025-10-27T15:44:07"/>
        <d v="2025-10-27T15:44:19"/>
        <d v="2025-10-27T15:53:11"/>
        <d v="2025-10-27T16:25:38"/>
        <d v="2025-10-27T17:57:59"/>
        <d v="2025-10-27T17:58:06"/>
        <d v="2025-10-27T17:58:17"/>
        <d v="2025-10-27T17:58:31"/>
        <d v="2025-10-27T17:58:38"/>
        <d v="2025-10-27T17:58:56"/>
        <d v="2025-10-28T09:39:13"/>
        <d v="2025-10-28T11:53:34"/>
        <d v="2025-10-28T11:54:16"/>
        <d v="2025-10-28T13:09:10"/>
        <d v="2025-10-28T13:34:29"/>
        <d v="2025-10-28T13:55:58"/>
        <d v="2025-10-28T13:56:17"/>
        <d v="2025-10-28T14:12:42"/>
        <d v="2025-10-28T14:12:50"/>
        <d v="2025-10-28T14:13:11"/>
        <d v="2025-10-28T14:20:12"/>
        <d v="2025-10-28T14:57:30"/>
        <d v="2025-10-28T16:04:10"/>
        <d v="2025-10-28T16:05:03"/>
        <d v="2025-10-29T09:12:49"/>
        <d v="2025-10-29T09:24:23"/>
        <d v="2025-10-29T12:40:18"/>
        <d v="2025-10-29T12:49:41"/>
        <d v="2025-10-29T12:57:57"/>
        <d v="2025-10-29T13:44:39"/>
        <d v="2025-10-29T14:27:19"/>
        <d v="2025-10-29T14:27:38"/>
        <d v="2025-10-29T17:17:59"/>
        <d v="2025-10-29T17:18:05"/>
        <d v="2025-10-29T17:18:12"/>
        <d v="2025-10-29T17:18:31"/>
        <d v="2025-10-30T10:41:53"/>
        <d v="2025-10-30T10:42:23"/>
        <d v="2025-10-30T14:33:17"/>
        <d v="2025-10-30T14:45:15"/>
        <d v="2025-10-30T14:57:27"/>
        <d v="2025-10-30T18:00:14"/>
        <d v="2025-10-30T18:00:20"/>
        <d v="2025-10-31T09:00:57"/>
        <d v="2025-10-31T09:54:33"/>
        <d v="2025-10-31T10:05:34"/>
        <d v="2025-10-31T11:32:01"/>
        <d v="2025-10-31T12:51:25"/>
        <d v="2025-10-31T14:55:03"/>
        <d v="2025-10-31T15:56:43"/>
        <d v="2025-10-31T15:58:28"/>
        <d v="2025-10-31T17:54:58"/>
        <d v="2025-10-31T17:55:06"/>
        <d v="2025-10-31T17:55:12"/>
        <d v="2025-11-01T10:21:20"/>
        <d v="2025-11-03T11:29:45"/>
        <d v="2025-11-03T11:29:56"/>
        <d v="2025-11-03T11:30:22"/>
        <d v="2025-11-03T11:30:35"/>
        <d v="2025-11-03T11:38:01"/>
        <d v="2025-11-03T13:41:55"/>
        <d v="2025-11-03T13:48:49"/>
        <d v="2025-11-03T14:10:34"/>
        <d v="2025-11-03T14:12:58"/>
        <d v="2025-11-03T14:58:48"/>
        <d v="2025-11-03T15:13:12"/>
        <d v="2025-11-03T15:23:29"/>
        <d v="2025-11-03T15:56:20"/>
        <d v="2025-11-03T16:49:25"/>
        <d v="2025-11-04T11:17:47"/>
        <d v="2025-11-04T11:18:06"/>
        <d v="2025-11-04T11:18:27"/>
        <d v="2025-11-04T11:31:52"/>
        <d v="2025-11-04T13:41:56"/>
        <d v="2025-11-04T14:00:35"/>
        <d v="2025-11-04T14:17:29"/>
        <d v="2025-11-04T15:01:34"/>
        <d v="2025-11-04T17:59:20"/>
        <d v="2025-11-04T17:59:25"/>
        <d v="2025-11-04T17:59:34"/>
        <d v="2025-11-04T17:59:43"/>
        <d v="2025-11-05T10:21:50"/>
        <d v="2025-11-05T10:26:18"/>
        <d v="2025-11-05T11:03:46"/>
        <d v="2025-11-05T12:55:17"/>
        <d v="2025-11-05T12:55:57"/>
        <d v="2025-11-05T12:56:24"/>
        <d v="2025-11-05T14:49:16"/>
        <d v="2025-11-05T14:49:27"/>
        <d v="2025-11-05T14:49:30"/>
        <d v="2025-11-05T15:02:09"/>
        <d v="2025-11-05T16:54:31"/>
        <d v="2025-11-05T16:54:57"/>
        <d v="2025-11-05T17:39:37"/>
        <d v="2025-11-06T09:56:57"/>
        <d v="2025-11-06T10:59:16"/>
        <d v="2025-11-06T10:59:26"/>
        <d v="2025-11-06T11:28:25"/>
        <d v="2025-11-06T11:29:16"/>
        <d v="2025-11-06T12:03:27"/>
        <d v="2025-11-06T13:54:56"/>
        <d v="2025-11-06T14:05:18"/>
        <d v="2025-11-06T14:14:57"/>
        <d v="2025-11-06T17:47:29"/>
        <d v="2025-11-06T17:47:35"/>
        <d v="2025-11-06T17:47:43"/>
        <d v="2025-11-06T17:47:49"/>
        <d v="2025-11-06T17:48:54"/>
        <d v="2025-11-06T17:49:07"/>
        <d v="2025-11-07T11:58:06"/>
        <d v="2025-11-07T11:58:14"/>
        <d v="2025-11-07T12:12:20"/>
        <d v="2025-11-07T14:56:25"/>
        <d v="2025-11-07T14:56:37"/>
        <d v="2025-11-07T14:56:59"/>
        <d v="2025-11-07T14:57:18"/>
        <d v="2025-11-07T15:03:32"/>
        <d v="2025-11-07T15:13:11"/>
        <d v="2025-11-07T15:43:04"/>
        <d v="2025-11-07T15:43:12"/>
        <d v="2025-11-07T18:00:39"/>
        <d v="2025-11-07T18:00:49"/>
        <d v="2025-11-08T10:37:41"/>
        <d v="2025-11-08T10:38:49"/>
        <d v="2025-11-08T11:11:42"/>
        <d v="2025-11-10T11:39:44"/>
        <d v="2025-11-10T13:04:35"/>
        <d v="2025-11-10T13:47:00"/>
        <d v="2025-11-10T13:48:23"/>
        <d v="2025-11-10T14:11:01"/>
        <d v="2025-11-10T14:56:29"/>
        <d v="2025-11-10T14:56:52"/>
        <d v="2025-11-10T14:56:59"/>
        <d v="2025-11-10T15:18:13"/>
        <d v="2025-11-10T15:36:46"/>
        <d v="2025-11-10T15:43:35"/>
        <d v="2025-11-11T10:45:27"/>
        <d v="2025-11-11T10:59:38"/>
        <d v="2025-11-11T12:18:14"/>
        <d v="2025-11-11T12:18:23"/>
        <d v="2025-11-11T12:52:41"/>
        <d v="2025-11-11T16:46:07"/>
        <d v="2025-11-11T16:46:20"/>
        <d v="2025-11-11T16:46:28"/>
        <d v="2025-11-11T16:46:35"/>
        <d v="2025-11-12T12:52:27"/>
        <d v="2025-11-12T14:02:41"/>
        <d v="2025-11-12T15:01:14"/>
        <d v="2025-11-12T18:08:15"/>
        <d v="2025-11-12T18:08:25"/>
        <d v="2025-11-12T18:08:35"/>
        <d v="2025-11-12T18:08:40"/>
        <d v="2025-11-12T18:08:46"/>
        <d v="2025-11-13T09:28:50"/>
        <d v="2025-11-13T09:31:33"/>
        <d v="2025-11-13T09:47:52"/>
        <d v="2025-11-13T09:48:00"/>
        <d v="2025-11-13T09:48:24"/>
        <d v="2025-11-13T10:52:23"/>
        <d v="2025-11-13T10:52:35"/>
        <d v="2025-11-13T10:52:48"/>
        <d v="2025-11-13T14:09:43"/>
        <d v="2025-11-13T14:12:46"/>
        <d v="2025-11-13T14:31:00"/>
        <d v="2025-11-13T14:42:45"/>
        <d v="2025-11-13T14:52:38"/>
        <d v="2025-11-13T17:55:20"/>
        <d v="2025-11-13T17:55:30"/>
        <d v="2025-11-13T17:55:36"/>
        <d v="2025-11-13T17:55:42"/>
        <d v="2025-11-13T17:55:52"/>
        <d v="2025-11-14T09:43:58"/>
        <d v="2025-11-14T12:13:30"/>
        <d v="2025-11-14T12:13:40"/>
        <d v="2025-11-14T13:52:31"/>
        <d v="2025-11-14T14:14:44"/>
        <d v="2025-11-14T14:17:23"/>
        <d v="2025-11-14T15:25:13"/>
        <d v="2025-11-14T15:25:21"/>
        <d v="2025-11-14T15:25:30"/>
        <d v="2025-11-17T09:46:31"/>
        <d v="2025-11-17T09:46:37"/>
        <d v="2025-11-17T09:46:57"/>
        <d v="2025-11-17T10:01:33"/>
        <d v="2025-11-17T10:34:58"/>
        <d v="2025-11-17T13:01:46"/>
        <d v="2025-11-17T13:02:01"/>
        <d v="2025-11-17T13:27:51"/>
        <d v="2025-11-17T14:00:46"/>
        <d v="2025-11-17T14:06:58"/>
        <d v="2025-11-17T14:27:48"/>
        <d v="2025-11-17T14:57:12"/>
        <d v="2025-11-17T15:29:45"/>
        <d v="2025-11-19T11:06:24"/>
        <d v="2025-11-19T14:53:09"/>
        <d v="2025-11-19T14:53:25"/>
        <d v="2025-11-19T14:53:34"/>
        <d v="2025-11-19T14:53:44"/>
        <d v="2025-11-19T14:54:00"/>
        <d v="2025-11-20T10:56:27"/>
        <d v="2025-11-20T10:56:42"/>
        <d v="2025-11-20T12:09:25"/>
        <d v="2025-11-20T13:04:57"/>
        <d v="2025-11-20T14:03:13"/>
        <d v="2025-11-20T14:09:49"/>
        <d v="2025-11-20T14:42:35"/>
        <d v="2025-11-20T14:42:55"/>
        <d v="2025-11-20T14:43:05"/>
        <d v="2025-11-21T09:25:38"/>
        <d v="2025-11-21T09:25:55"/>
        <d v="2025-11-21T09:35:58"/>
        <d v="2025-11-21T11:38:21"/>
        <d v="2025-11-21T11:38:42"/>
        <d v="2025-11-21T11:38:51"/>
        <d v="2025-11-21T12:00:41"/>
        <d v="2025-11-21T15:58:41"/>
        <d v="2025-11-21T15:58:51"/>
        <d v="2025-11-21T15:59:03"/>
        <d v="2025-11-21T15:59:10"/>
        <d v="2025-11-24T10:41:18"/>
        <d v="2025-11-24T11:55:14"/>
        <d v="2025-11-24T11:55:34"/>
        <d v="2025-11-24T11:55:48"/>
        <d v="2025-11-24T13:17:54"/>
        <d v="2025-11-24T13:33:26"/>
        <d v="2025-11-24T14:19:52"/>
        <d v="2025-11-24T14:20:18"/>
        <d v="2025-11-24T15:11:59"/>
        <d v="2025-11-24T15:12:14"/>
        <d v="2025-11-24T15:21:53"/>
        <d v="2025-11-24T15:39:10"/>
        <d v="2025-11-24T15:53:42"/>
        <d v="2025-11-25T12:16:17"/>
        <d v="2025-11-25T13:00:59"/>
        <d v="2025-11-25T14:03:57"/>
        <d v="2025-11-25T14:31:54"/>
        <d v="2025-11-25T14:39:50"/>
        <d v="2025-11-25T14:47:04"/>
        <d v="2025-11-25T14:59:13"/>
        <d v="2025-11-25T14:59:23"/>
        <d v="2025-11-25T18:07:15"/>
        <d v="2025-11-25T18:07:22"/>
        <d v="2025-11-25T18:07:32"/>
        <d v="2025-11-25T18:07:44"/>
        <d v="2025-11-26T11:37:14"/>
        <d v="2025-11-26T12:16:10"/>
        <d v="2025-11-26T12:44:00"/>
        <d v="2025-11-26T12:56:28"/>
        <d v="2025-11-26T14:32:36"/>
        <d v="2025-11-26T18:02:13"/>
        <d v="2025-11-26T18:02:18"/>
        <d v="2025-11-26T18:02:24"/>
        <d v="2025-11-26T18:02:30"/>
        <d v="2025-11-27T09:07:11"/>
        <d v="2025-11-27T10:59:30"/>
        <d v="2025-11-27T14:14:58"/>
        <d v="2025-11-28T11:05:20"/>
        <d v="2025-11-28T11:09:05"/>
        <d v="2025-11-28T11:12:30"/>
        <d v="2025-11-28T11:49:21"/>
        <d v="2025-11-28T12:13:27"/>
        <d v="2025-11-28T12:22:10"/>
        <d v="2025-11-28T12:27:55"/>
        <d v="2025-11-28T13:55:03"/>
        <d v="2025-11-28T15:58:10"/>
        <d v="2025-11-28T15:58:39"/>
        <d v="2025-11-29T11:28:17"/>
        <d v="2025-11-29T11:28:29"/>
        <d v="2025-12-01T09:09:34"/>
        <d v="2025-12-01T09:24:39"/>
        <d v="2025-12-01T10:12:33"/>
        <d v="2025-12-01T10:58:16"/>
        <d v="2025-12-01T11:00:58"/>
        <d v="2025-12-01T11:09:39"/>
        <d v="2025-12-01T11:09:53"/>
        <d v="2025-12-01T11:18:21"/>
        <d v="2025-12-01T11:30:17"/>
        <d v="2025-12-01T12:33:38"/>
        <d v="2025-12-01T12:36:13"/>
        <d v="2025-12-01T13:24:18"/>
        <d v="2025-12-01T13:51:27"/>
        <d v="2025-12-01T14:15:28"/>
        <d v="2025-12-01T15:43:38"/>
        <d v="2025-12-01T16:08:20"/>
        <d v="2025-12-01T16:31:06"/>
        <d v="2025-12-01T16:59:50"/>
        <d v="2025-12-02T13:10:54"/>
        <d v="2025-12-02T14:15:18"/>
        <d v="2025-12-02T14:50:52"/>
        <d v="2025-12-02T15:04:51"/>
        <d v="2025-12-02T17:19:10"/>
        <d v="2025-12-02T17:19:59"/>
        <d v="2025-12-02T17:20:11"/>
        <d v="2025-12-02T17:21:39"/>
        <d v="2025-12-02T17:26:33"/>
        <d v="2025-12-03T09:35:24"/>
        <d v="2025-12-03T14:02:46"/>
        <d v="2025-12-03T14:58:27"/>
        <d v="2025-12-03T14:58:58"/>
        <d v="2025-12-03T17:14:58"/>
        <d v="2025-12-03T17:15:26"/>
        <d v="2025-12-03T17:15:46"/>
        <d v="2025-12-03T17:15:54"/>
        <d v="2025-12-03T17:16:02"/>
        <d v="2025-12-04T10:31:10"/>
        <d v="2025-12-04T10:31:18"/>
        <d v="2025-12-04T12:00:26"/>
        <d v="2025-12-04T12:43:41"/>
        <d v="2025-12-04T12:51:21"/>
        <d v="2025-12-04T13:12:00"/>
        <d v="2025-12-04T13:12:13"/>
        <d v="2025-12-04T13:42:48"/>
        <d v="2025-12-04T14:46:34"/>
        <d v="2025-12-04T15:17:24"/>
        <d v="2025-12-04T15:17:51"/>
        <d v="2025-12-04T15:18:01"/>
        <d v="2025-12-04T15:25:03"/>
        <d v="2025-12-04T15:27:46"/>
        <d v="2025-12-04T17:01:55"/>
        <d v="2025-12-04T17:33:14"/>
        <d v="2025-12-05T10:31:48"/>
        <d v="2025-12-05T10:55:43"/>
        <d v="2025-12-05T11:41:36"/>
        <d v="2025-12-05T12:06:52"/>
        <d v="2025-12-05T12:26:15"/>
        <d v="2025-12-05T13:14:20"/>
        <d v="2025-12-05T13:39:10"/>
        <d v="2025-12-05T14:28:53"/>
        <d v="2025-12-05T16:23:52"/>
        <d v="2025-12-05T16:24:00"/>
        <d v="2025-12-05T16:24:23"/>
        <d v="2025-12-05T16:24:38"/>
        <d v="2025-12-05T17:28:24"/>
        <d v="2025-12-05T17:28:31"/>
        <d v="2025-12-05T17:28:38"/>
        <d v="2025-12-08T09:29:55"/>
        <d v="2025-12-08T10:15:11"/>
        <d v="2025-12-08T10:17:11"/>
        <d v="2025-12-08T11:12:25"/>
        <d v="2025-12-08T11:20:27"/>
        <d v="2025-12-08T12:27:53"/>
        <d v="2025-12-08T12:45:44"/>
        <d v="2025-12-08T12:59:28"/>
        <d v="2025-12-08T14:08:23"/>
        <d v="2025-12-08T14:42:50"/>
        <d v="2025-12-08T14:43:07"/>
        <d v="2025-12-08T14:50:32"/>
        <d v="2025-12-08T14:52:48"/>
        <d v="2025-12-08T15:05:34"/>
        <d v="2025-12-08T15:13:52"/>
        <d v="2025-12-08T16:46:06"/>
        <d v="2025-12-08T16:53:22"/>
        <d v="2025-12-08T17:18:56"/>
        <d v="2025-12-08T17:19:34"/>
        <d v="2025-12-09T12:04:38"/>
        <d v="2025-12-09T12:09:41"/>
        <d v="2025-12-09T12:40:57"/>
        <d v="2025-12-09T17:44:27"/>
        <d v="2025-12-09T17:44:40"/>
        <d v="2025-12-09T17:45:17"/>
        <d v="2025-12-10T11:56:20"/>
        <d v="2025-12-10T11:56:30"/>
        <d v="2025-12-10T12:15:07"/>
        <d v="2025-12-10T12:33:41"/>
        <d v="2025-12-10T14:19:11"/>
        <d v="2025-12-10T14:44:34"/>
        <d v="2025-12-10T14:57:48"/>
        <d v="2025-12-10T17:54:29"/>
        <d v="2025-12-10T17:54:41"/>
        <d v="2025-12-10T17:54:46"/>
        <d v="2025-12-10T17:54:56"/>
        <d v="2025-12-11T10:08:01"/>
        <d v="2025-12-11T12:01:22"/>
        <d v="2025-12-11T12:31:37"/>
        <d v="2025-12-11T12:45:26"/>
        <d v="2025-12-11T12:55:10"/>
        <d v="2025-12-11T15:10:28"/>
        <d v="2025-12-11T15:10:31"/>
        <d v="2025-12-11T15:10:51"/>
        <d v="2025-12-11T15:27:48"/>
        <d v="2025-12-11T15:27:53"/>
        <d v="2025-12-11T15:57:56"/>
        <d v="2025-12-12T11:00:27"/>
        <d v="2025-12-12T11:36:33"/>
        <d v="2025-12-12T12:31:52"/>
        <d v="2025-12-12T12:32:01"/>
        <d v="2025-12-12T12:35:00"/>
        <d v="2025-12-12T17:54:16"/>
        <d v="2025-12-12T17:54:31"/>
        <d v="2025-12-12T17:54:39"/>
        <d v="2025-12-12T17:54:57"/>
        <d v="2025-12-12T17:55:03"/>
        <d v="2025-12-12T17:55:13"/>
        <d v="2025-12-12T17:55:24"/>
        <d v="2025-12-13T09:28:41"/>
        <d v="2025-12-13T10:27:11"/>
        <d v="2025-12-13T10:27:22"/>
        <d v="2025-12-13T11:27:52"/>
        <d v="2025-12-13T11:28:18"/>
        <d v="2025-12-15T13:17:30"/>
        <d v="2025-12-15T13:17:35"/>
        <d v="2025-12-15T13:22:14"/>
        <d v="2025-12-15T13:36:32"/>
        <d v="2025-12-15T14:15:47"/>
        <d v="2025-12-15T14:28:47"/>
        <d v="2025-12-15T14:28:55"/>
        <d v="2025-12-15T15:37:51"/>
        <d v="2025-12-15T15:51:21"/>
        <d v="2025-12-15T15:51:34"/>
        <d v="2025-12-16T12:25:04"/>
        <d v="2025-12-16T13:19:19"/>
        <d v="2025-12-16T13:19:22"/>
        <d v="2025-12-16T14:40:28"/>
        <d v="2025-12-16T14:40:48"/>
        <d v="2025-12-17T10:08:20"/>
        <d v="2025-12-17T10:36:37"/>
        <d v="2025-12-17T10:53:39"/>
        <d v="2025-12-17T14:00:50"/>
        <d v="2025-12-18T09:28:14"/>
        <d v="2025-12-18T12:49:33"/>
        <d v="2025-12-18T12:54:57"/>
        <d v="2025-12-18T12:55:32"/>
        <d v="2025-12-18T13:59:19"/>
        <d v="2025-12-18T15:00:19"/>
        <d v="2025-12-19T14:58:13"/>
        <d v="2025-12-19T14:58:29"/>
        <d v="2025-12-19T14:58:41"/>
        <d v="2025-12-19T14:59:03"/>
        <d v="2025-12-19T14:59:23"/>
        <d v="2025-12-19T14:59:36"/>
        <d v="2025-12-19T15:18:55"/>
        <d v="2025-12-19T15:41:36"/>
        <d v="2025-12-19T15:42:00"/>
        <d v="2025-12-22T12:26:26"/>
        <d v="2025-12-22T14:01:12"/>
        <d v="2025-12-22T15:43:13"/>
        <d v="2025-12-22T15:43:22"/>
        <d v="2025-12-22T16:24:15"/>
        <d v="2025-12-22T16:24:40"/>
        <d v="2025-12-22T16:48:27"/>
        <d v="2025-12-23T13:23:50"/>
        <d v="2025-12-23T13:40:47"/>
        <d v="2025-12-23T14:41:53"/>
        <d v="2025-12-23T14:57:18"/>
        <d v="2025-12-24T09:06:55"/>
        <d v="2025-12-24T09:14:30"/>
        <d v="2025-12-24T09:57:48"/>
        <d v="2025-12-24T12:20:46"/>
        <d v="2025-12-24T12:57:43"/>
        <d v="2025-12-24T14:05:33"/>
        <d v="2025-12-24T14:50:10"/>
        <d v="2026-01-02T09:46:42" u="1"/>
        <d v="2026-01-02T09:49:34" u="1"/>
        <d v="2026-01-02T12:32:16" u="1"/>
        <d v="2026-01-02T13:06:05" u="1"/>
        <d v="2026-01-02T13:30:45" u="1"/>
        <d v="2026-01-02T13:30:55" u="1"/>
        <d v="2026-01-02T14:25:24" u="1"/>
        <d v="2026-01-02T16:57:56" u="1"/>
        <d v="2026-01-02T16:58:04" u="1"/>
        <d v="2026-01-03T10:20:35" u="1"/>
        <d v="2026-01-03T10:21:13" u="1"/>
        <d v="2026-01-03T10:21:58" u="1"/>
        <d v="2026-01-03T11:53:27" u="1"/>
        <d v="2026-01-05T09:43:55" u="1"/>
        <d v="2026-01-05T09:44:04" u="1"/>
        <d v="2026-01-05T10:20:05" u="1"/>
        <d v="2026-01-05T10:55:40" u="1"/>
        <d v="2026-01-05T11:06:56" u="1"/>
        <d v="2026-01-05T13:19:51" u="1"/>
        <d v="2026-01-05T13:41:36" u="1"/>
        <d v="2026-01-05T14:50:02" u="1"/>
        <d v="2026-01-05T15:38:14" u="1"/>
        <d v="2026-01-05T15:58:42" u="1"/>
        <d v="2026-01-05T16:51:18" u="1"/>
        <d v="2026-01-05T16:52:54" u="1"/>
        <d v="2026-01-06T12:02:46" u="1"/>
        <d v="2026-01-06T12:03:12" u="1"/>
        <d v="2026-01-06T12:19:27" u="1"/>
        <d v="2026-01-06T12:22:25" u="1"/>
        <d v="2026-01-06T12:57:23" u="1"/>
        <d v="2026-01-06T14:59:43" u="1"/>
        <d v="2026-01-06T14:59:49" u="1"/>
        <d v="2026-01-07T09:33:04" u="1"/>
        <d v="2026-01-07T10:16:46" u="1"/>
        <d v="2026-01-07T10:46:21" u="1"/>
        <d v="2026-01-07T10:47:39" u="1"/>
        <d v="2026-01-07T14:01:41" u="1"/>
        <d v="2026-01-07T14:01:52" u="1"/>
        <d v="2026-01-07T14:25:02" u="1"/>
        <d v="2026-01-08T09:17:34" u="1"/>
        <d v="2026-01-08T11:10:00" u="1"/>
        <d v="2026-01-08T12:05:34" u="1"/>
        <d v="2026-01-08T12:06:27" u="1"/>
        <d v="2026-01-08T12:45:04" u="1"/>
        <d v="2026-01-08T12:45:29" u="1"/>
        <d v="2026-01-08T12:47:39" u="1"/>
        <d v="2026-01-08T13:37:32" u="1"/>
        <d v="2026-01-08T14:52:45" u="1"/>
        <d v="2026-01-08T14:53:00" u="1"/>
        <d v="2026-01-08T14:53:14" u="1"/>
        <d v="2026-01-08T14:53:21" u="1"/>
        <d v="2026-01-08T14:59:19" u="1"/>
        <d v="2026-01-09T12:52:11" u="1"/>
        <d v="2026-01-09T12:52:18" u="1"/>
        <d v="2026-01-09T13:56:45" u="1"/>
        <d v="2026-01-09T13:56:49" u="1"/>
        <d v="2026-01-09T13:57:55" u="1"/>
        <d v="2026-01-09T13:59:10" u="1"/>
        <d v="2026-01-09T15:22:06" u="1"/>
        <d v="2026-01-09T14:45:04" u="1"/>
        <d v="2026-01-09T15:50:36" u="1"/>
        <d v="2026-01-09T15:56:21" u="1"/>
        <d v="2026-01-09T17:03:01" u="1"/>
        <d v="2026-01-09T17:03:09" u="1"/>
        <d v="2026-01-09T17:03:19" u="1"/>
        <d v="2026-01-09T17:53:01" u="1"/>
        <d v="2026-01-10T09:21:52" u="1"/>
        <d v="2026-01-12T10:36:06" u="1"/>
        <d v="2026-01-12T10:36:12" u="1"/>
        <d v="2026-01-12T11:44:26" u="1"/>
        <d v="2026-01-12T11:44:39" u="1"/>
        <d v="2026-01-12T11:51:38" u="1"/>
        <d v="2026-01-12T12:36:41" u="1"/>
        <d v="2026-01-12T12:57:37" u="1"/>
        <d v="2026-01-12T14:34:33" u="1"/>
        <d v="2026-01-12T14:34:48" u="1"/>
        <d v="2026-01-12T15:25:18" u="1"/>
        <d v="2026-01-12T15:25:21" u="1"/>
        <d v="2026-01-12T15:39:36" u="1"/>
        <d v="2026-01-12T15:39:40" u="1"/>
        <d v="2026-01-12T17:43:26" u="1"/>
        <d v="2026-01-12T17:43:33" u="1"/>
        <d v="2026-01-12T17:43:41" u="1"/>
        <d v="2026-01-12T17:43:49" u="1"/>
        <d v="2026-01-12T17:44:04" u="1"/>
        <d v="2026-01-12T17:44:43" u="1"/>
        <d v="2026-01-12T17:44:52" u="1"/>
        <d v="2026-01-12T18:05:37" u="1"/>
        <d v="2026-01-13T10:08:53" u="1"/>
        <d v="2026-01-13T12:06:39" u="1"/>
        <d v="2026-01-13T12:48:02" u="1"/>
        <d v="2026-01-13T13:20:59" u="1"/>
        <d v="2026-01-13T13:21:26" u="1"/>
        <d v="2026-01-13T13:22:20" u="1"/>
        <d v="2026-01-13T13:37:44" u="1"/>
        <d v="2026-01-13T13:53:09" u="1"/>
        <d v="2026-01-13T14:01:36" u="1"/>
        <d v="2026-01-13T14:16:37" u="1"/>
        <d v="2026-01-13T14:57:39" u="1"/>
        <d v="2026-01-13T14:57:44" u="1"/>
        <d v="2026-01-13T15:04:43" u="1"/>
        <d v="2026-01-14T10:12:05" u="1"/>
        <d v="2026-01-14T12:09:31" u="1"/>
        <d v="2026-01-14T12:18:43" u="1"/>
        <d v="2026-01-14T12:40:58" u="1"/>
        <d v="2026-01-14T13:15:27" u="1"/>
        <d v="2026-01-14T13:15:31" u="1"/>
        <d v="2026-01-14T13:24:29" u="1"/>
        <d v="2026-01-14T13:38:21" u="1"/>
        <d v="2026-01-14T13:38:49" u="1"/>
        <d v="2026-01-14T14:31:24" u="1"/>
        <d v="2026-01-14T15:04:02" u="1"/>
        <d v="2026-01-15T09:07:32" u="1"/>
        <d v="2026-01-15T09:47:56" u="1"/>
        <d v="2026-01-15T09:54:37" u="1"/>
        <d v="2026-01-15T10:47:13" u="1"/>
        <d v="2026-01-15T12:06:04" u="1"/>
        <d v="2026-01-15T12:39:20" u="1"/>
        <d v="2026-01-15T12:55:47" u="1"/>
        <d v="2026-01-15T13:42:02" u="1"/>
        <d v="2026-01-15T14:30:37" u="1"/>
        <d v="2026-01-15T14:30:48" u="1"/>
        <d v="2026-01-15T14:58:08" u="1"/>
        <d v="2026-01-15T15:55:25" u="1"/>
        <d v="2026-01-15T17:24:56" u="1"/>
        <d v="2026-01-15T17:25:06" u="1"/>
        <d v="2026-01-16T15:27:17" u="1"/>
        <d v="2026-01-16T15:27:45" u="1"/>
        <d v="2026-01-16T15:27:59" u="1"/>
        <d v="2026-01-16T16:34:43" u="1"/>
        <d v="2026-01-16T17:51:15" u="1"/>
        <d v="2026-01-16T17:51:22" u="1"/>
        <d v="2026-01-16T17:51:29" u="1"/>
        <d v="2026-01-16T17:51:43" u="1"/>
        <d v="2026-01-17T10:11:15" u="1"/>
        <d v="2026-01-17T10:11:22" u="1"/>
        <d v="2026-01-17T10:42:06" u="1"/>
        <d v="2026-01-17T10:42:38" u="1"/>
        <d v="2026-01-17T11:46:50" u="1"/>
        <d v="2026-01-17T11:46:58" u="1"/>
        <d v="2026-01-19T10:20:11" u="1"/>
        <d v="2026-01-19T12:07:27" u="1"/>
        <d v="2026-01-19T14:55:40" u="1"/>
        <d v="2026-01-19T14:56:02" u="1"/>
        <d v="2026-01-19T15:25:33" u="1"/>
        <d v="2026-01-19T15:25:36" u="1"/>
        <d v="2026-01-19T15:33:31" u="1"/>
        <d v="2026-01-19T15:33:37" u="1"/>
        <d v="2026-01-19T15:34:31" u="1"/>
        <d v="2026-01-19T15:34:43" u="1"/>
        <d v="2026-01-19T15:47:25" u="1"/>
        <d v="2026-01-19T15:47:49" u="1"/>
        <d v="2026-01-19T16:01:41" u="1"/>
        <d v="2026-01-19T16:01:48" u="1"/>
        <d v="2026-01-19T16:12:56" u="1"/>
        <d v="2026-01-19T16:15:47" u="1"/>
        <d v="2026-01-19T18:11:07" u="1"/>
        <d v="2026-01-20T10:12:21" u="1"/>
        <d v="2026-01-20T13:03:13" u="1"/>
        <d v="2026-01-20T13:53:51" u="1"/>
        <d v="2026-01-20T13:53:58" u="1"/>
        <d v="2026-01-20T13:58:58" u="1"/>
        <d v="2026-01-21T12:14:35" u="1"/>
        <d v="2026-01-21T13:06:52" u="1"/>
        <d v="2026-01-21T13:18:29" u="1"/>
        <d v="2026-01-21T13:22:53" u="1"/>
        <d v="2026-01-21T16:35:08" u="1"/>
        <d v="2026-01-21T16:35:17" u="1"/>
        <d v="2026-01-21T17:55:53" u="1"/>
        <d v="2026-01-21T17:56:05" u="1"/>
        <d v="2026-01-22T12:56:02" u="1"/>
        <d v="2026-01-22T12:57:28" u="1"/>
        <d v="2026-01-22T13:29:58" u="1"/>
        <d v="2026-01-22T13:38:37" u="1"/>
        <d v="2026-01-22T14:09:39" u="1"/>
        <d v="2026-01-22T14:10:01" u="1"/>
        <d v="2026-01-22T14:51:28" u="1"/>
        <d v="2026-01-22T14:51:49" u="1"/>
        <d v="2026-01-22T14:52:12" u="1"/>
        <d v="2026-01-22T17:58:06" u="1"/>
        <d v="2026-01-22T17:58:11" u="1"/>
        <d v="2026-01-22T17:58:18" u="1"/>
        <d v="2026-01-22T17:58:24" u="1"/>
        <d v="2026-01-22T17:58:30" u="1"/>
        <d v="2026-01-22T17:58:41" u="1"/>
        <d v="2026-01-22T17:58:48" u="1"/>
        <d v="2026-01-23T12:26:19" u="1"/>
        <d v="2026-01-23T12:41:24" u="1"/>
        <d v="2026-01-23T12:55:09" u="1"/>
        <d v="2026-01-23T13:16:17" u="1"/>
        <d v="2026-01-23T13:41:14" u="1"/>
        <d v="2026-01-23T13:45:19" u="1"/>
        <d v="2026-01-23T14:29:28" u="1"/>
        <d v="2026-01-23T15:27:55" u="1"/>
        <d v="2026-01-24T11:08:25" u="1"/>
        <d v="2026-01-24T11:21:57" u="1"/>
        <d v="2026-01-24T11:22:37" u="1"/>
        <d v="2026-01-26T10:43:56" u="1"/>
        <d v="2026-01-26T10:44:55" u="1"/>
        <d v="2026-01-26T11:05:22" u="1"/>
        <d v="2026-01-26T14:33:50" u="1"/>
        <d v="2026-01-26T15:04:22" u="1"/>
        <d v="2026-01-26T15:17:53" u="1"/>
        <d v="2026-01-26T15:23:39" u="1"/>
        <d v="2026-01-26T16:13:40" u="1"/>
        <d v="2026-01-26T16:27:13" u="1"/>
        <d v="2026-01-26T17:18:54" u="1"/>
        <d v="2026-01-26T18:20:23" u="1"/>
        <d v="2026-01-26T18:20:35" u="1"/>
        <d v="2026-01-27T10:38:41" u="1"/>
        <d v="2026-01-27T12:34:02" u="1"/>
        <d v="2026-01-27T12:56:17" u="1"/>
        <d v="2026-01-27T13:33:04" u="1"/>
        <d v="2026-01-27T13:33:19" u="1"/>
        <d v="2026-01-27T14:12:36" u="1"/>
        <d v="2026-01-27T17:18:45" u="1"/>
        <d v="2026-01-27T17:28:00" u="1"/>
        <d v="2026-01-27T17:36:20" u="1"/>
        <d v="2026-01-27T17:42:42" u="1"/>
        <d v="2026-01-28T12:21:20" u="1"/>
        <d v="2026-01-28T12:37:01" u="1"/>
        <d v="2026-01-28T12:37:07" u="1"/>
        <d v="2026-01-28T12:38:28" u="1"/>
        <d v="2026-01-28T12:38:40" u="1"/>
        <d v="2026-01-28T12:53:16" u="1"/>
        <d v="2026-01-28T13:55:21" u="1"/>
        <d v="2026-01-28T14:58:15" u="1"/>
        <d v="2026-01-28T15:09:51" u="1"/>
        <d v="2026-01-28T15:09:59" u="1"/>
        <d v="2026-01-28T16:46:32" u="1"/>
        <d v="2026-01-28T17:26:49" u="1"/>
        <d v="2026-01-28T17:39:41" u="1"/>
        <d v="2026-01-29T10:09:32" u="1"/>
        <d v="2026-01-29T11:00:21" u="1"/>
        <d v="2026-01-29T11:43:30" u="1"/>
        <d v="2026-01-29T11:43:43" u="1"/>
        <d v="2026-01-29T11:46:50" u="1"/>
        <d v="2026-01-29T12:10:56" u="1"/>
        <d v="2026-01-29T13:32:10" u="1"/>
        <d v="2026-01-29T13:32:28" u="1"/>
        <d v="2026-01-29T14:47:15" u="1"/>
        <d v="2026-01-29T14:47:23" u="1"/>
        <d v="2026-01-29T14:51:10" u="1"/>
        <d v="2026-01-29T15:19:56" u="1"/>
        <d v="2026-01-29T15:20:04" u="1"/>
        <d v="2026-01-29T15:53:51" u="1"/>
        <d v="2026-01-29T17:51:09" u="1"/>
        <d v="2026-01-29T17:51:20" u="1"/>
        <d v="2026-01-29T17:51:28" u="1"/>
        <d v="2026-01-29T17:51:40" u="1"/>
        <d v="2026-01-29T17:51:48" u="1"/>
        <d v="2026-01-30T11:17:30" u="1"/>
        <d v="2026-01-30T11:25:30" u="1"/>
        <d v="2026-01-30T12:13:24" u="1"/>
        <d v="2026-01-30T12:21:00" u="1"/>
        <d v="2026-01-30T13:26:29" u="1"/>
        <d v="2026-01-30T13:26:32" u="1"/>
        <d v="2026-01-30T14:32:15" u="1"/>
        <d v="2026-01-30T14:33:22" u="1"/>
        <d v="2026-01-30T15:44:47" u="1"/>
        <d v="2026-01-30T15:45:01" u="1"/>
        <d v="2026-01-30T15:58:41" u="1"/>
        <d v="2026-01-30T16:28:46" u="1"/>
        <d v="2026-01-30T17:53:59" u="1"/>
        <d v="2026-01-30T17:54:09" u="1"/>
        <d v="2026-01-30T17:54:19" u="1"/>
        <d v="2026-01-31T11:17:14" u="1"/>
        <d v="2026-01-31T11:17:28" u="1"/>
        <d v="2026-01-31T11:39:00" u="1"/>
        <d v="2026-02-02T10:47:19" u="1"/>
        <d v="2026-02-02T10:47:24" u="1"/>
        <d v="2026-02-02T10:47:32" u="1"/>
        <d v="2026-02-02T10:48:30" u="1"/>
        <d v="2026-02-02T11:42:04" u="1"/>
        <d v="2026-02-02T11:42:12" u="1"/>
        <d v="2026-02-02T11:42:26" u="1"/>
        <d v="2026-02-02T11:42:42" u="1"/>
        <d v="2026-02-02T12:59:11" u="1"/>
        <d v="2026-02-02T13:09:15" u="1"/>
        <d v="2026-02-02T15:04:13" u="1"/>
        <d v="2026-02-02T15:04:21" u="1"/>
        <d v="2026-02-02T15:13:06" u="1"/>
        <d v="2026-02-02T15:21:40" u="1"/>
        <d v="2026-02-02T15:40:30" u="1"/>
        <d v="2026-02-02T15:40:41" u="1"/>
        <d v="2026-02-02T16:08:36" u="1"/>
        <d v="2026-02-02T16:56:41" u="1"/>
        <d v="2026-02-02T16:57:32" u="1"/>
        <d v="2026-02-02T17:00:56" u="1"/>
        <d v="2026-02-02T17:35:57" u="1"/>
        <d v="2026-02-02T17:43:24" u="1"/>
        <d v="2026-02-03T14:21:47" u="1"/>
        <d v="2026-02-03T17:59:43" u="1"/>
        <d v="2026-02-03T17:59:52" u="1"/>
        <d v="2026-02-03T17:59:59" u="1"/>
        <d v="2026-02-03T18:00:12" u="1"/>
        <d v="2026-02-03T18:00:21" u="1"/>
        <d v="2026-02-04T10:03:00" u="1"/>
        <d v="2026-02-04T11:00:42" u="1"/>
        <d v="2026-02-05T09:19:20" u="1"/>
        <d v="2026-02-05T10:25:45" u="1"/>
        <d v="2026-02-05T10:25:56" u="1"/>
        <d v="2026-02-05T12:03:04" u="1"/>
        <d v="2026-02-05T12:25:45" u="1"/>
        <d v="2026-02-05T13:57:48" u="1"/>
        <d v="2026-02-05T13:58:08" u="1"/>
        <d v="2026-02-05T13:58:16" u="1"/>
        <d v="2026-02-05T13:58:48" u="1"/>
        <d v="2026-02-05T14:22:21" u="1"/>
        <d v="2026-02-06T11:26:03" u="1"/>
        <d v="2026-02-06T11:34:39" u="1"/>
        <d v="2026-02-06T14:28:45" u="1"/>
        <d v="2026-02-06T14:28:53" u="1"/>
        <d v="2026-02-06T15:41:41" u="1"/>
        <d v="2026-02-06T17:50:33" u="1"/>
        <d v="2026-02-06T17:51:12" u="1"/>
        <d v="2026-02-06T17:51:28" u="1"/>
        <d v="2026-02-06T17:59:40" u="1"/>
        <d v="2026-02-06T17:59:46" u="1"/>
        <d v="2026-02-06T17:59:55" u="1"/>
        <d v="2026-02-06T18:08:26" u="1"/>
        <d v="2026-02-07T09:39:40" u="1"/>
        <d v="2026-02-07T10:24:04" u="1"/>
        <d v="2026-02-07T10:24:40" u="1"/>
        <d v="2026-02-07T10:34:02" u="1"/>
        <d v="2026-02-07T11:06:11" u="1"/>
        <d v="2026-02-07T11:06:29" u="1"/>
        <d v="2026-02-07T11:33:37" u="1"/>
        <d v="2026-02-07T11:39:55" u="1"/>
        <d v="2026-02-07T11:50:30" u="1"/>
        <d v="2026-02-09T09:46:46" u="1"/>
        <d v="2026-02-09T12:01:44" u="1"/>
        <d v="2026-02-09T12:01:55" u="1"/>
        <d v="2026-02-09T12:02:05" u="1"/>
        <d v="2026-02-09T12:02:12" u="1"/>
        <d v="2026-02-09T12:02:30" u="1"/>
        <d v="2026-02-09T12:02:44" u="1"/>
        <d v="2026-02-09T12:02:56" u="1"/>
        <d v="2026-02-09T12:29:41" u="1"/>
        <d v="2026-02-09T13:34:24" u="1"/>
        <d v="2026-02-09T13:41:48" u="1"/>
        <d v="2026-02-09T13:41:56" u="1"/>
        <d v="2026-02-09T13:42:03" u="1"/>
        <d v="2026-02-09T13:45:17" u="1"/>
        <d v="2026-02-09T14:54:59" u="1"/>
        <d v="2026-02-09T15:07:10" u="1"/>
        <d v="2026-02-09T15:07:45" u="1"/>
        <d v="2026-02-09T15:34:26" u="1"/>
        <d v="2026-02-09T15:58:49" u="1"/>
        <d v="2026-02-09T16:00:15" u="1"/>
        <d v="2026-02-09T16:03:24" u="1"/>
        <d v="2026-02-09T18:05:58" u="1"/>
        <d v="2026-02-10T12:47:49" u="1"/>
        <d v="2026-02-10T12:59:39" u="1"/>
        <d v="2026-02-10T14:00:36" u="1"/>
        <d v="2026-02-10T14:00:53" u="1"/>
        <d v="2026-02-10T14:25:40" u="1"/>
        <d v="2026-02-10T14:58:00" u="1"/>
        <d v="2026-02-10T14:59:10" u="1"/>
        <d v="2026-02-10T15:16:00" u="1"/>
        <d v="2026-02-10T18:00:07" u="1"/>
        <d v="2026-02-10T18:00:18" u="1"/>
        <d v="2026-02-10T18:00:32" u="1"/>
        <d v="2026-02-11T09:58:06" u="1"/>
        <d v="2026-02-11T10:26:53" u="1"/>
        <d v="2026-02-11T12:36:41" u="1"/>
        <d v="2026-02-11T12:36:51" u="1"/>
        <d v="2026-02-11T12:37:05" u="1"/>
        <d v="2026-02-11T12:37:13" u="1"/>
        <d v="2026-02-11T12:37:23" u="1"/>
        <d v="2026-02-11T13:51:53" u="1"/>
        <d v="2026-02-11T14:05:03" u="1"/>
        <d v="2026-02-12T12:55:44" u="1"/>
        <d v="2026-02-12T12:56:03" u="1"/>
        <d v="2026-02-12T13:31:53" u="1"/>
        <d v="2026-02-12T13:43:25" u="1"/>
        <d v="2026-02-12T13:43:29" u="1"/>
        <d v="2026-02-12T13:44:32" u="1"/>
        <d v="2026-02-12T17:54:21" u="1"/>
        <d v="2026-02-12T17:54:27" u="1"/>
        <d v="2026-02-12T17:54:55" u="1"/>
        <d v="2026-02-12T17:55:03" u="1"/>
        <d v="2026-02-12T17:55:09" u="1"/>
        <d v="2026-02-13T09:44:03" u="1"/>
        <d v="2026-02-13T09:44:17" u="1"/>
        <d v="2026-02-13T09:44:29" u="1"/>
        <d v="2026-02-13T12:28:14" u="1"/>
        <d v="2026-02-13T12:28:58" u="1"/>
        <d v="2026-02-13T12:51:22" u="1"/>
        <d v="2026-02-13T13:26:03" u="1"/>
        <d v="2026-02-13T13:31:17" u="1"/>
        <d v="2026-02-13T14:28:50" u="1"/>
        <d v="2026-02-13T15:08:26" u="1"/>
        <d v="2026-02-13T15:08:48" u="1"/>
        <d v="2026-02-13T15:32:57" u="1"/>
        <d v="2026-02-13T15:34:06" u="1"/>
        <d v="2026-02-13T15:42:48" u="1"/>
        <d v="2026-02-14T11:57:56" u="1"/>
        <d v="2026-02-14T11:58:23" u="1"/>
        <d v="2026-02-16T09:08:35" u="1"/>
        <d v="2026-02-16T12:04:55" u="1"/>
        <d v="2026-02-16T13:02:14" u="1"/>
        <d v="2026-02-16T13:06:16" u="1"/>
        <d v="2026-02-16T13:08:35" u="1"/>
        <d v="2026-02-16T14:01:03" u="1"/>
        <d v="2026-02-16T14:07:44" u="1"/>
        <d v="2026-02-16T14:35:21" u="1"/>
        <d v="2026-02-16T14:35:39" u="1"/>
        <d v="2026-02-16T14:35:46" u="1"/>
        <d v="2026-02-16T15:27:16" u="1"/>
        <d v="2026-02-16T15:27:25" u="1"/>
        <d v="2026-02-16T15:27:31" u="1"/>
        <d v="2026-02-16T15:29:19" u="1"/>
        <d v="2026-02-16T15:30:43" u="1"/>
        <d v="2026-02-16T15:45:55" u="1"/>
        <d v="2026-02-16T16:12:48" u="1"/>
        <d v="2026-02-16T16:16:16" u="1"/>
        <d v="2026-02-16T16:32:03" u="1"/>
        <d v="2026-02-16T17:46:56" u="1"/>
        <d v="2026-02-17T09:40:22" u="1"/>
        <d v="2026-02-17T10:39:57" u="1"/>
        <d v="2026-02-17T11:02:32" u="1"/>
        <d v="2026-02-17T11:27:56" u="1"/>
        <d v="2026-02-17T12:14:54" u="1"/>
        <d v="2026-02-17T14:28:33" u="1"/>
        <d v="2026-02-17T14:50:49" u="1"/>
        <d v="2026-02-17T14:50:58" u="1"/>
        <d v="2026-02-17T14:51:07" u="1"/>
        <d v="2026-02-17T15:08:34" u="1"/>
        <d v="2026-02-17T17:54:18" u="1"/>
        <d v="2026-02-17T17:54:25" u="1"/>
        <d v="2026-02-17T17:54:40" u="1"/>
        <d v="2026-02-17T17:54:48" u="1"/>
        <d v="2026-02-17T17:54:57" u="1"/>
        <d v="2026-02-17T17:55:05" u="1"/>
        <d v="2026-02-18T10:43:32" u="1"/>
        <d v="2026-02-18T10:43:48" u="1"/>
        <d v="2026-02-18T10:50:05" u="1"/>
        <d v="2026-02-18T10:50:16" u="1"/>
        <d v="2026-02-18T10:50:24" u="1"/>
        <d v="2026-02-18T11:28:19" u="1"/>
        <d v="2026-02-18T12:12:41" u="1"/>
        <d v="2026-02-18T12:12:53" u="1"/>
        <d v="2026-02-18T12:13:03" u="1"/>
        <d v="2026-02-18T17:51:18" u="1"/>
        <d v="2026-02-18T17:51:24" u="1"/>
        <d v="2026-02-18T17:51:30" u="1"/>
        <d v="2026-02-18T17:51:38" u="1"/>
        <d v="2026-02-18T17:51:45" u="1"/>
        <d v="2026-02-19T10:20:25" u="1"/>
        <d v="2026-02-19T10:23:55" u="1"/>
        <d v="2026-02-19T10:54:08" u="1"/>
        <d v="2026-02-19T10:59:24" u="1"/>
        <d v="2026-02-19T10:59:34" u="1"/>
        <d v="2026-02-19T13:25:08" u="1"/>
        <d v="2026-02-19T14:27:04" u="1"/>
        <d v="2026-02-19T14:37:30" u="1"/>
        <d v="2026-02-19T14:37:41" u="1"/>
        <d v="2026-02-20T12:09:15" u="1"/>
        <d v="2026-02-20T12:09:53" u="1"/>
        <d v="2026-02-20T12:25:35" u="1"/>
        <d v="2026-02-20T12:59:48" u="1"/>
        <d v="2026-02-20T14:55:00" u="1"/>
        <d v="2026-02-20T14:55:27" u="1"/>
        <d v="2026-02-20T15:57:17" u="1"/>
        <d v="2026-02-20T15:57:36" u="1"/>
        <d v="2026-02-20T15:57:43" u="1"/>
        <d v="2026-02-20T15:57:52" u="1"/>
        <d v="2026-02-20T15:58:06" u="1"/>
        <d v="2026-02-20T15:58:14" u="1"/>
        <d v="2026-02-20T16:12:17" u="1"/>
        <d v="2026-02-20T16:12:24" u="1"/>
        <d v="2026-02-20T17:09:26" u="1"/>
        <d v="2026-02-20T17:09:33" u="1"/>
        <d v="2026-02-20T17:58:27" u="1"/>
        <d v="2026-02-20T17:58:36" u="1"/>
        <d v="2026-02-20T17:58:44" u="1"/>
        <d v="2026-02-23T10:13:53" u="1"/>
        <d v="2026-02-23T10:14:01" u="1"/>
        <d v="2026-02-23T10:22:40" u="1"/>
        <d v="2026-02-23T10:23:48" u="1"/>
        <d v="2026-02-23T11:40:42" u="1"/>
        <d v="2026-02-23T11:40:59" u="1"/>
        <d v="2026-02-23T11:41:22" u="1"/>
        <d v="2026-02-23T11:59:21" u="1"/>
        <d v="2026-02-23T13:02:43" u="1"/>
        <d v="2026-02-23T13:20:28" u="1"/>
        <d v="2026-02-23T13:20:33" u="1"/>
        <d v="2026-02-23T14:00:12" u="1"/>
        <d v="2026-02-23T14:34:43" u="1"/>
        <d v="2026-02-23T15:37:14" u="1"/>
        <d v="2026-02-23T15:37:21" u="1"/>
        <d v="2026-02-23T15:48:22" u="1"/>
        <d v="2026-02-23T16:26:27" u="1"/>
        <d v="2026-02-23T16:26:38" u="1"/>
        <d v="2026-02-23T16:26:51" u="1"/>
        <d v="2026-02-23T17:20:50" u="1"/>
        <d v="2026-02-23T17:35:43" u="1"/>
        <d v="2026-02-23T17:52:17" u="1"/>
        <d v="2026-02-24T09:12:08" u="1"/>
        <d v="2026-02-24T11:39:41" u="1"/>
        <d v="2026-02-24T13:49:56" u="1"/>
        <d v="2026-02-24T14:15:53" u="1"/>
        <d v="2026-02-24T14:45:44" u="1"/>
        <d v="2026-02-24T14:45:47" u="1"/>
        <d v="2026-02-24T16:28:25" u="1"/>
        <d v="2026-02-24T17:30:26" u="1"/>
        <d v="2026-02-25T12:33:48" u="1"/>
        <d v="2026-02-25T12:33:59" u="1"/>
        <d v="2026-02-25T12:34:44" u="1"/>
        <d v="2026-02-25T14:02:17" u="1"/>
        <d v="2026-02-25T14:14:57" u="1"/>
        <d v="2026-02-25T14:58:45" u="1"/>
        <d v="2026-02-25T17:54:24" u="1"/>
        <d v="2026-02-25T17:55:03" u="1"/>
        <d v="2026-02-25T17:57:44" u="1"/>
        <d v="2026-02-25T17:57:57" u="1"/>
        <d v="2026-02-25T17:58:08" u="1"/>
        <d v="2026-02-26T11:23:02" u="1"/>
        <d v="2026-02-26T11:23:11" u="1"/>
        <d v="2026-02-26T13:39:54" u="1"/>
        <d v="2026-02-26T13:40:29" u="1"/>
        <d v="2026-02-26T13:40:40" u="1"/>
        <d v="2026-02-26T13:40:58" u="1"/>
        <d v="2026-02-26T13:41:14" u="1"/>
        <d v="2026-02-26T13:56:01" u="1"/>
        <d v="2026-02-26T13:56:28" u="1"/>
        <d v="2026-02-26T14:14:35" u="1"/>
        <d v="2026-02-26T14:30:20" u="1"/>
        <d v="2026-02-27T12:05:51" u="1"/>
        <d v="2026-02-27T13:08:29" u="1"/>
        <d v="2026-02-27T13:40:29" u="1"/>
        <d v="2026-02-27T14:38:56" u="1"/>
        <d v="2026-02-27T14:40:51" u="1"/>
        <d v="2026-02-27T15:22:07" u="1"/>
        <d v="2026-02-27T15:43:21" u="1"/>
        <d v="2026-02-27T17:56:28" u="1"/>
        <d v="2026-02-27T17:56:41" u="1"/>
        <d v="2026-02-28T10:29:44" u="1"/>
        <d v="2026-02-28T11:11:25" u="1"/>
        <d v="2026-02-28T11:53:42" u="1"/>
        <d v="2026-03-02T10:11:22" u="1"/>
        <d v="2026-03-02T11:28:00" u="1"/>
        <d v="2026-03-02T11:58:09" u="1"/>
        <d v="2026-03-02T13:45:40" u="1"/>
        <d v="2026-03-02T13:45:50" u="1"/>
        <d v="2026-03-02T14:31:11" u="1"/>
        <d v="2026-03-02T14:31:36" u="1"/>
        <d v="2026-03-02T14:45:37" u="1"/>
        <d v="2026-03-02T16:13:35" u="1"/>
        <d v="2026-03-02T16:13:45" u="1"/>
        <d v="2026-03-02T17:36:10" u="1"/>
        <d v="2026-03-02T17:36:21" u="1"/>
        <d v="2026-03-02T17:36:29" u="1"/>
        <d v="2026-03-02T17:43:51" u="1"/>
        <d v="2026-03-02T18:21:52" u="1"/>
        <d v="2026-03-02T18:22:10" u="1"/>
        <d v="2026-03-02T18:22:34" u="1"/>
        <d v="2026-03-02T18:22:43" u="1"/>
        <d v="2026-03-03T09:11:28" u="1"/>
        <d v="2026-03-03T10:40:11" u="1"/>
        <d v="2026-03-03T10:57:25" u="1"/>
        <d v="2026-03-03T11:31:39" u="1"/>
        <d v="2026-03-03T11:32:41" u="1"/>
        <d v="2026-03-03T13:55:38" u="1"/>
        <d v="2026-03-03T13:55:53" u="1"/>
        <d v="2026-03-03T13:56:04" u="1"/>
        <d v="2026-03-03T15:10:46" u="1"/>
        <d v="2026-03-03T15:12:35" u="1"/>
        <d v="2026-03-03T15:14:50" u="1"/>
        <d v="2026-03-03T15:15:05" u="1"/>
        <d v="2026-03-03T15:52:26" u="1"/>
        <d v="2026-03-03T15:52:45" u="1"/>
        <d v="2026-03-03T16:51:05" u="1"/>
        <d v="2026-03-03T16:51:17" u="1"/>
        <d v="2026-03-04T09:26:04" u="1"/>
        <d v="2026-03-04T09:26:21" u="1"/>
        <d v="2026-03-04T09:39:40" u="1"/>
        <d v="2026-03-04T13:56:30" u="1"/>
        <d v="2026-03-04T14:37:07" u="1"/>
        <d v="2026-03-04T14:53:26" u="1"/>
        <d v="2026-03-05T09:57:25" u="1"/>
        <d v="2026-03-05T12:15:57" u="1"/>
        <d v="2026-03-05T12:16:08" u="1"/>
        <d v="2026-03-05T12:26:26" u="1"/>
        <d v="2026-03-05T12:52:55" u="1"/>
        <d v="2026-03-05T14:44:52" u="1"/>
        <d v="2026-03-05T14:45:42" u="1"/>
        <d v="2026-03-06T11:42:20" u="1"/>
        <d v="2026-03-06T12:28:05" u="1"/>
        <d v="2026-03-06T12:35:19" u="1"/>
        <d v="2026-03-06T13:44:35" u="1"/>
        <d v="2026-03-06T13:45:23" u="1"/>
        <d v="2026-03-06T14:07:04" u="1"/>
        <d v="2026-03-06T14:07:16" u="1"/>
        <d v="2026-03-06T15:33:42" u="1"/>
        <d v="2026-03-06T15:46:35" u="1"/>
        <d v="2026-03-06T15:52:28" u="1"/>
        <d v="2026-03-09T10:57:19" u="1"/>
        <d v="2026-03-09T10:57:25" u="1"/>
        <d v="2026-03-09T11:18:29" u="1"/>
        <d v="2026-03-09T12:28:31" u="1"/>
        <d v="2026-03-09T12:38:29" u="1"/>
        <d v="2026-03-09T14:12:42" u="1"/>
        <d v="2026-03-09T14:12:48" u="1"/>
        <d v="2026-03-09T14:53:19" u="1"/>
        <d v="2026-03-09T14:55:10" u="1"/>
        <d v="2026-03-09T15:20:06" u="1"/>
        <d v="2026-03-09T15:20:19" u="1"/>
        <d v="2026-03-09T15:37:09" u="1"/>
        <d v="2026-03-09T15:37:17" u="1"/>
        <d v="2026-03-09T15:43:14" u="1"/>
        <d v="2026-03-09T15:48:27" u="1"/>
        <d v="2026-03-09T15:48:38" u="1"/>
        <d v="2026-03-09T16:17:21" u="1"/>
        <d v="2026-03-09T16:33:57" u="1"/>
        <d v="2026-03-09T16:34:11" u="1"/>
        <d v="2026-03-09T17:11:57" u="1"/>
        <d v="2026-03-09T17:12:06" u="1"/>
        <d v="2026-03-09T17:31:45" u="1"/>
        <d v="2026-03-10T11:32:58" u="1"/>
        <d v="2026-03-10T12:01:42" u="1"/>
        <d v="2026-03-10T12:55:05" u="1"/>
        <d v="2026-03-10T13:16:09" u="1"/>
        <d v="2026-03-10T13:20:15" u="1"/>
        <d v="2026-03-10T13:49:43" u="1"/>
        <d v="2026-03-10T13:59:39" u="1"/>
        <d v="2026-03-11T10:38:50" u="1"/>
        <d v="2026-03-11T10:39:18" u="1"/>
        <d v="2026-03-11T12:36:06" u="1"/>
        <d v="2026-03-11T12:57:36" u="1"/>
        <d v="2026-03-11T13:13:30" u="1"/>
        <d v="2026-03-11T14:25:15" u="1"/>
        <d v="2026-03-11T14:26:40" u="1"/>
        <d v="2026-03-11T14:48:28" u="1"/>
        <d v="2026-03-11T14:52:25" u="1"/>
        <d v="2026-03-11T14:58:48" u="1"/>
        <d v="2026-03-11T15:00:28" u="1"/>
        <d v="2026-03-11T17:56:55" u="1"/>
        <d v="2026-03-11T17:57:05" u="1"/>
        <d v="2026-03-11T17:57:14" u="1"/>
        <d v="2026-03-11T17:57:24" u="1"/>
        <d v="2026-03-11T17:57:34" u="1"/>
        <d v="2026-03-11T17:57:41" u="1"/>
        <d v="2026-03-12T10:16:03" u="1"/>
        <d v="2026-03-12T11:00:42" u="1"/>
        <d v="2026-03-12T13:16:03" u="1"/>
        <d v="2026-03-12T14:54:20" u="1"/>
        <d v="2026-03-12T17:55:46" u="1"/>
        <d v="2026-03-12T17:55:56" u="1"/>
        <d v="2026-03-12T17:56:03" u="1"/>
        <d v="2026-03-12T17:56:09" u="1"/>
        <d v="2026-03-12T17:56:18" u="1"/>
        <d v="2026-03-12T17:56:24" u="1"/>
        <d v="2026-03-13T09:59:31" u="1"/>
        <d v="2026-03-13T09:59:41" u="1"/>
        <d v="2026-03-13T11:00:08" u="1"/>
        <d v="2026-03-13T11:06:02" u="1"/>
        <d v="2026-03-13T11:21:58" u="1"/>
        <d v="2026-03-13T11:23:41" u="1"/>
        <d v="2026-03-13T11:40:49" u="1"/>
        <d v="2026-03-13T12:41:56" u="1"/>
        <d v="2026-03-13T13:47:20" u="1"/>
        <d v="2026-03-13T13:47:47" u="1"/>
        <d v="2026-03-13T13:48:05" u="1"/>
        <d v="2026-03-13T15:00:05" u="1"/>
        <d v="2026-03-13T15:00:20" u="1"/>
        <d v="2026-03-13T15:18:27" u="1"/>
        <d v="2026-03-13T16:01:36" u="1"/>
        <d v="2026-03-13T18:08:24" u="1"/>
        <d v="2026-03-13T18:08:35" u="1"/>
        <d v="2026-03-13T18:08:42" u="1"/>
        <d v="2026-03-14T11:53:56" u="1"/>
        <d v="2026-03-16T12:57:05" u="1"/>
        <d v="2026-03-16T13:17:07" u="1"/>
        <d v="2026-03-16T13:45:42" u="1"/>
        <d v="2026-03-16T14:13:33" u="1"/>
        <d v="2026-03-16T14:13:53" u="1"/>
        <d v="2026-03-16T16:16:16" u="1"/>
        <d v="2026-03-16T16:43:32" u="1"/>
        <d v="2026-03-16T16:43:43" u="1"/>
        <d v="2026-03-16T16:43:50" u="1"/>
        <d v="2026-03-17T09:04:53" u="1"/>
        <d v="2026-03-17T09:06:58" u="1"/>
        <d v="2026-03-17T12:19:01" u="1"/>
        <d v="2026-03-17T12:19:10" u="1"/>
        <d v="2026-03-17T14:03:33" u="1"/>
        <d v="2026-03-17T14:26:46" u="1"/>
        <d v="2026-03-17T14:38:56" u="1"/>
        <d v="2026-03-17T16:00:57" u="1"/>
        <d v="2026-03-18T10:06:18" u="1"/>
        <d v="2026-03-18T10:06:28" u="1"/>
        <d v="2026-03-18T10:10:58" u="1"/>
        <d v="2026-03-18T10:18:59" u="1"/>
        <d v="2026-03-18T13:31:39" u="1"/>
        <d v="2026-03-18T13:31:48" u="1"/>
        <d v="2026-03-19T09:56:08" u="1"/>
        <d v="2026-03-19T09:56:12" u="1"/>
        <d v="2026-03-19T10:36:24" u="1"/>
        <d v="2026-03-19T10:58:49" u="1"/>
        <d v="2026-03-19T13:00:46" u="1"/>
        <d v="2026-03-19T13:37:38" u="1"/>
        <d v="2026-03-19T13:37:46" u="1"/>
        <d v="2026-03-19T14:26:49" u="1"/>
        <d v="2026-03-19T14:56:33" u="1"/>
        <d v="2026-03-20T09:12:39" u="1"/>
        <d v="2026-03-20T12:46:48" u="1"/>
        <d v="2026-03-20T13:03:07" u="1"/>
        <d v="2026-03-20T13:03:40" u="1"/>
        <d v="2026-03-20T13:52:37" u="1"/>
        <d v="2026-03-20T13:52:56" u="1"/>
        <d v="2026-03-20T14:28:06" u="1"/>
        <d v="2026-03-21T12:05:36" u="1"/>
        <d v="2026-03-21T12:05:50" u="1"/>
        <d v="2026-03-21T12:06:00" u="1"/>
        <d v="2026-03-23T09:39:11" u="1"/>
        <d v="2026-03-23T09:39:45" u="1"/>
        <d v="2026-03-23T09:40:53" u="1"/>
        <d v="2026-03-23T10:02:04" u="1"/>
        <d v="2026-03-23T11:22:29" u="1"/>
        <d v="2026-03-23T11:38:54" u="1"/>
        <d v="2026-03-23T11:39:12" u="1"/>
        <d v="2026-03-23T11:39:30" u="1"/>
        <d v="2026-03-23T11:47:16" u="1"/>
        <d v="2026-03-23T13:51:02" u="1"/>
        <d v="2026-03-23T14:17:22" u="1"/>
        <d v="2026-03-23T14:33:13" u="1"/>
        <d v="2026-03-23T14:57:12" u="1"/>
        <d v="2026-03-23T15:18:26" u="1"/>
        <d v="2026-03-23T15:18:30" u="1"/>
        <d v="2026-03-23T15:50:05" u="1"/>
        <d v="2026-03-23T15:50:09" u="1"/>
        <d v="2026-03-23T16:01:07" u="1"/>
        <d v="2026-03-23T16:01:20" u="1"/>
        <d v="2026-03-23T16:27:50" u="1"/>
        <d v="2026-03-23T16:38:31" u="1"/>
        <d v="2026-03-23T17:00:26" u="1"/>
        <d v="2026-03-23T17:45:07" u="1"/>
        <d v="2026-03-24T09:28:07" u="1"/>
        <d v="2026-03-24T09:28:31" u="1"/>
        <d v="2026-03-24T09:45:46" u="1"/>
        <d v="2026-03-24T11:13:25" u="1"/>
        <d v="2026-03-24T14:10:35" u="1"/>
        <d v="2026-03-24T14:36:10" u="1"/>
        <d v="2026-03-25T09:32:04" u="1"/>
        <d v="2026-03-25T10:37:34" u="1"/>
        <d v="2026-03-25T12:58:22" u="1"/>
        <d v="2026-03-25T12:58:38" u="1"/>
        <d v="2026-03-26T10:37:37" u="1"/>
        <d v="2026-03-26T10:58:56" u="1"/>
        <d v="2026-03-26T10:59:06" u="1"/>
        <d v="2026-03-26T12:05:26" u="1"/>
        <d v="2026-03-26T13:59:59" u="1"/>
        <d v="2026-03-26T14:00:05" u="1"/>
        <d v="2026-03-26T14:40:32" u="1"/>
        <d v="2026-03-26T14:41:15" u="1"/>
        <d v="2026-03-26T14:42:30" u="1"/>
        <d v="2026-03-26T14:57:57" u="1"/>
        <d v="2026-03-27T11:27:14" u="1"/>
        <d v="2026-03-27T11:27:57" u="1"/>
        <d v="2026-03-27T11:43:11" u="1"/>
        <d v="2026-03-27T11:43:32" u="1"/>
        <d v="2026-03-27T11:45:58" u="1"/>
        <d v="2026-03-27T12:22:37" u="1"/>
        <d v="2026-03-27T12:28:23" u="1"/>
        <d v="2026-03-27T12:50:57" u="1"/>
        <d v="2026-03-27T13:47:38" u="1"/>
        <d v="2026-03-27T13:47:57" u="1"/>
        <d v="2026-03-27T15:09:31" u="1"/>
        <d v="2026-03-27T15:10:02" u="1"/>
        <d v="2026-03-27T15:27:15" u="1"/>
        <d v="2026-03-28T10:09:27" u="1"/>
        <d v="2026-03-30T12:28:34" u="1"/>
        <d v="2026-03-30T14:07:48" u="1"/>
        <d v="2026-03-30T14:19:42" u="1"/>
        <d v="2026-03-30T14:22:15" u="1"/>
        <d v="2026-03-30T14:24:32" u="1"/>
        <d v="2026-03-30T14:43:14" u="1"/>
        <d v="2026-03-30T15:01:34" u="1"/>
        <d v="2026-03-30T15:01:38" u="1"/>
        <d v="2026-03-30T15:09:27" u="1"/>
        <d v="2026-03-30T15:46:16" u="1"/>
        <d v="2026-03-30T15:46:23" u="1"/>
        <d v="2026-03-30T16:08:55" u="1"/>
        <d v="2026-03-30T16:09:07" u="1"/>
        <d v="2026-03-30T17:14:49" u="1"/>
        <d v="2026-03-30T17:14:58" u="1"/>
        <d v="2026-03-31T09:27:38" u="1"/>
        <d v="2026-03-31T11:16:45" u="1"/>
        <d v="2026-03-31T11:32:31" u="1"/>
        <d v="2026-03-31T12:13:15" u="1"/>
        <d v="2026-03-31T12:17:41" u="1"/>
        <d v="2026-03-31T12:42:34" u="1"/>
        <d v="2026-03-31T13:12:08" u="1"/>
        <d v="2026-03-31T13:44:40" u="1"/>
        <d v="2026-03-31T14:07:08" u="1"/>
        <d v="2026-03-31T14:35:06" u="1"/>
        <d v="2026-03-31T17:24:26" u="1"/>
        <d v="2026-03-31T18:02:57" u="1"/>
        <d v="2026-03-31T18:04:48" u="1"/>
        <d v="2026-03-31T18:04:53" u="1"/>
        <d v="2026-03-31T18:04:57" u="1"/>
        <d v="2026-03-31T18:05:06" u="1"/>
        <d v="2026-03-31T18:05:17" u="1"/>
        <d v="2026-03-31T18:05:25" u="1"/>
        <d v="2026-04-01T12:34:28" u="1"/>
        <d v="2026-04-01T12:35:08" u="1"/>
        <d v="2026-04-01T13:14:07" u="1"/>
        <d v="2026-04-01T13:30:43" u="1"/>
        <d v="2026-04-02T09:18:15" u="1"/>
        <d v="2026-04-02T12:34:35" u="1"/>
        <d v="2026-04-02T13:02:34" u="1"/>
        <d v="2026-04-02T13:25:37" u="1"/>
        <d v="2026-04-02T14:15:52" u="1"/>
        <d v="2026-04-02T17:53:55" u="1"/>
        <d v="2026-04-02T17:54:04" u="1"/>
        <d v="2026-04-02T17:54:10" u="1"/>
        <d v="2026-04-02T17:54:17" u="1"/>
        <d v="2026-04-02T17:54:30" u="1"/>
        <d v="2026-04-07T11:00:56" u="1"/>
        <d v="2026-04-07T11:01:30" u="1"/>
        <d v="2026-04-07T11:01:42" u="1"/>
        <d v="2026-04-07T11:01:50" u="1"/>
        <d v="2026-04-07T11:48:32" u="1"/>
        <d v="2026-04-07T12:14:01" u="1"/>
        <d v="2026-04-07T13:08:34" u="1"/>
        <d v="2026-04-07T13:08:39" u="1"/>
        <d v="2026-04-07T13:12:41" u="1"/>
        <d v="2026-04-07T13:59:32" u="1"/>
        <d v="2026-04-07T13:59:35" u="1"/>
        <d v="2026-04-07T13:59:37" u="1"/>
        <d v="2026-04-07T14:32:12" u="1"/>
        <d v="2026-04-07T14:47:02" u="1"/>
        <d v="2026-04-07T15:04:41" u="1"/>
        <d v="2026-04-08T10:24:27" u="1"/>
        <d v="2026-04-08T10:24:38" u="1"/>
        <d v="2026-04-08T12:16:05" u="1"/>
        <d v="2026-04-08T12:16:15" u="1"/>
        <d v="2026-04-08T13:00:42" u="1"/>
        <d v="2026-04-08T14:24:21" u="1"/>
        <d v="2026-04-08T14:26:22" u="1"/>
        <d v="2026-04-08T14:26:35" u="1"/>
        <d v="2026-04-08T14:44:04" u="1"/>
        <d v="2026-04-08T14:44:13" u="1"/>
        <d v="2026-04-09T12:38:01" u="1"/>
        <d v="2026-04-09T12:38:07" u="1"/>
        <d v="2026-04-09T13:14:00" u="1"/>
        <d v="2026-04-09T13:26:32" u="1"/>
        <d v="2026-04-09T14:30:24" u="1"/>
        <d v="2026-04-09T17:50:45" u="1"/>
        <d v="2026-04-09T17:50:52" u="1"/>
        <d v="2026-04-09T17:51:01" u="1"/>
        <d v="2026-04-09T17:51:12" u="1"/>
        <d v="2026-04-10T09:59:36" u="1"/>
        <d v="2026-04-10T09:59:46" u="1"/>
        <d v="2026-04-10T09:59:52" u="1"/>
        <d v="2026-04-10T11:58:20" u="1"/>
        <d v="2026-04-10T11:58:26" u="1"/>
        <d v="2026-04-10T12:24:46" u="1"/>
        <d v="2026-04-10T14:35:46" u="1"/>
        <d v="2026-04-10T14:35:53" u="1"/>
        <d v="2026-04-10T17:54:38" u="1"/>
        <d v="2026-04-10T17:54:44" u="1"/>
        <d v="2026-04-10T17:54:55" u="1"/>
        <d v="2026-04-11T11:00:02" u="1"/>
        <d v="2026-04-11T11:00:24" u="1"/>
        <d v="2026-04-11T12:05:17" u="1"/>
        <d v="2026-04-13T09:18:37" u="1"/>
        <d v="2026-04-13T09:49:10" u="1"/>
        <d v="2026-04-13T10:05:00" u="1"/>
        <d v="2026-04-13T11:02:05" u="1"/>
        <d v="2026-04-13T11:02:30" u="1"/>
        <d v="2026-04-13T11:02:55" u="1"/>
        <d v="2026-04-13T11:53:05" u="1"/>
        <d v="2026-04-13T12:36:50" u="1"/>
        <d v="2026-04-13T12:36:57" u="1"/>
        <d v="2026-04-13T12:44:01" u="1"/>
        <d v="2026-04-13T12:44:06" u="1"/>
        <d v="2026-04-13T13:19:17" u="1"/>
        <d v="2026-04-13T13:52:10" u="1"/>
        <d v="2026-04-13T13:52:17" u="1"/>
        <d v="2026-04-13T13:52:24" u="1"/>
        <d v="2026-04-13T13:56:51" u="1"/>
        <d v="2026-04-13T14:16:31" u="1"/>
        <d v="2026-04-13T14:56:07" u="1"/>
        <d v="2026-04-13T14:56:18" u="1"/>
        <d v="2026-04-13T14:56:38" u="1"/>
        <d v="2026-04-13T14:57:39" u="1"/>
        <d v="2026-04-13T15:29:58" u="1"/>
        <d v="2026-04-13T15:57:52" u="1"/>
        <d v="2026-04-13T16:01:42" u="1"/>
        <d v="2026-04-13T16:08:24" u="1"/>
        <d v="2026-04-13T16:44:51" u="1"/>
        <d v="2026-04-13T16:55:44" u="1"/>
        <d v="2026-04-13T17:03:39" u="1"/>
        <d v="2026-04-13T17:15:45" u="1"/>
        <d v="2026-04-13T17:21:27" u="1"/>
        <d v="2026-04-14T11:25:40" u="1"/>
        <d v="2026-04-14T11:26:07" u="1"/>
        <d v="2026-04-14T11:26:18" u="1"/>
        <d v="2026-04-14T12:21:40" u="1"/>
        <d v="2026-04-14T12:21:48" u="1"/>
        <d v="2026-04-14T12:53:45" u="1"/>
        <d v="2026-04-14T13:10:34" u="1"/>
        <d v="2026-04-14T13:12:04" u="1"/>
        <d v="2026-04-14T13:14:26" u="1"/>
        <d v="2026-04-14T13:18:32" u="1"/>
        <d v="2026-04-14T13:51:53" u="1"/>
        <d v="2026-04-14T13:51:56" u="1"/>
        <d v="2026-04-14T14:08:15" u="1"/>
        <d v="2026-04-14T14:33:49" u="1"/>
        <d v="2026-04-14T14:35:06" u="1"/>
        <d v="2026-04-14T14:36:06" u="1"/>
        <d v="2026-04-15T09:51:45" u="1"/>
        <d v="2026-04-15T09:51:55" u="1"/>
        <d v="2026-04-15T12:33:29" u="1"/>
        <d v="2026-04-15T12:57:33" u="1"/>
        <d v="2026-04-15T12:59:33" u="1"/>
        <d v="2026-04-15T14:34:56" u="1"/>
        <d v="2026-04-15T14:35:02" u="1"/>
        <d v="2026-04-15T14:35:08" u="1"/>
        <d v="2026-04-15T17:56:09" u="1"/>
        <d v="2026-04-15T17:56:18" u="1"/>
        <d v="2026-04-15T17:56:26" u="1"/>
        <d v="2026-04-15T17:56:36" u="1"/>
        <d v="2026-04-16T09:18:14" u="1"/>
        <d v="2026-04-16T09:44:20" u="1"/>
        <d v="2026-04-16T10:00:35" u="1"/>
        <d v="2026-04-16T10:35:45" u="1"/>
        <d v="2026-04-16T11:39:15" u="1"/>
        <d v="2026-04-16T11:39:32" u="1"/>
        <d v="2026-04-16T11:39:55" u="1"/>
        <d v="2026-04-16T11:44:49" u="1"/>
        <d v="2026-04-16T12:09:54" u="1"/>
        <d v="2026-04-16T13:06:51" u="1"/>
        <d v="2026-04-16T13:46:33" u="1"/>
        <d v="2026-04-16T13:46:42" u="1"/>
        <d v="2026-04-16T15:08:13" u="1"/>
        <d v="2026-04-16T15:34:05" u="1"/>
        <d v="2026-04-16T15:44:30" u="1"/>
        <d v="2026-04-16T16:07:12" u="1"/>
        <d v="2026-04-16T16:37:08" u="1"/>
        <d v="2026-04-16T17:19:23" u="1"/>
        <d v="2026-04-16T17:19:33" u="1"/>
        <d v="2026-04-17T09:03:39" u="1"/>
        <d v="2026-04-17T09:55:26" u="1"/>
        <d v="2026-04-17T09:57:18" u="1"/>
        <d v="2026-04-17T11:41:16" u="1"/>
        <d v="2026-04-17T15:20:49" u="1"/>
        <d v="2026-04-17T15:20:58" u="1"/>
        <d v="2026-04-17T15:21:05" u="1"/>
        <d v="2026-04-17T15:21:10" u="1"/>
        <d v="2026-04-17T15:21:21" u="1"/>
        <d v="2026-04-17T15:32:10" u="1"/>
        <d v="2026-04-17T15:32:18" u="1"/>
        <d v="2026-04-17T16:26:09" u="1"/>
        <d v="2026-04-17T16:41:29" u="1"/>
        <d v="2026-04-18T10:24:55" u="1"/>
        <d v="2026-04-18T10:25:05" u="1"/>
        <d v="2026-04-18T10:34:38" u="1"/>
        <d v="2026-04-18T12:09:38" u="1"/>
        <d v="2026-04-18T12:09:56" u="1"/>
        <d v="2026-04-18T12:10:14" u="1"/>
        <d v="2026-04-20T11:30:52" u="1"/>
        <d v="2026-04-20T11:31:06" u="1"/>
        <d v="2026-04-20T11:31:27" u="1"/>
        <d v="2026-04-20T12:58:38" u="1"/>
        <d v="2026-04-20T14:05:15" u="1"/>
        <d v="2026-04-20T14:33:40" u="1"/>
        <d v="2026-04-20T15:21:06" u="1"/>
        <d v="2026-04-20T16:40:57" u="1"/>
        <d v="2026-04-20T16:41:22" u="1"/>
        <d v="2026-04-20T17:00:56" u="1"/>
        <d v="2026-04-21T09:16:12" u="1"/>
        <d v="2026-04-21T10:01:21" u="1"/>
        <d v="2026-04-21T10:51:49" u="1"/>
        <d v="2026-04-21T10:52:03" u="1"/>
        <d v="2026-04-21T10:59:06" u="1"/>
        <d v="2026-04-21T12:09:13" u="1"/>
        <d v="2026-04-21T13:34:12" u="1"/>
        <d v="2026-04-21T13:49:26" u="1"/>
        <d v="2026-04-21T13:49:30" u="1"/>
        <d v="2026-04-21T14:28:07" u="1"/>
        <d v="2026-04-21T14:28:13" u="1"/>
        <d v="2026-04-21T14:36:39" u="1"/>
        <d v="2026-04-21T15:03:46" u="1"/>
        <d v="2026-04-21T17:48:14" u="1"/>
        <d v="2026-04-21T17:48:25" u="1"/>
        <d v="2026-04-21T17:48:57" u="1"/>
        <d v="2026-04-21T17:49:13" u="1"/>
        <d v="2026-04-22T09:36:17" u="1"/>
        <d v="2026-04-22T09:47:20" u="1"/>
        <d v="2026-04-22T09:47:55" u="1"/>
        <d v="2026-04-22T10:40:24" u="1"/>
        <d v="2026-04-22T10:48:23" u="1"/>
        <d v="2026-04-22T10:53:35" u="1"/>
        <d v="2026-04-22T12:28:18" u="1"/>
        <d v="2026-04-22T13:14:22" u="1"/>
        <d v="2026-04-22T13:56:53" u="1"/>
        <d v="2026-04-23T10:24:47" u="1"/>
        <d v="2026-04-23T10:25:07" u="1"/>
        <d v="2026-04-23T10:25:25" u="1"/>
        <d v="2026-04-23T13:59:17" u="1"/>
        <d v="2026-04-23T13:59:25" u="1"/>
        <d v="2026-04-23T15:05:20" u="1"/>
        <d v="2026-04-24T12:20:01" u="1"/>
        <d v="2026-04-24T12:56:23" u="1"/>
        <d v="2026-04-24T13:02:36" u="1"/>
        <d v="2026-04-24T13:04:49" u="1"/>
        <d v="2026-04-24T13:04:56" u="1"/>
        <d v="2026-04-24T13:05:16" u="1"/>
        <d v="2026-04-24T13:41:52" u="1"/>
        <d v="2026-04-24T14:16:31" u="1"/>
        <d v="2026-04-24T14:16:39" u="1"/>
        <d v="2026-04-24T15:31:53" u="1"/>
        <d v="2026-04-24T15:32:03" u="1"/>
        <d v="2026-04-24T15:32:09" u="1"/>
        <d v="2026-04-24T15:32:16" u="1"/>
        <d v="2026-04-24T15:32:25" u="1"/>
        <d v="2026-04-24T15:32:33" u="1"/>
        <d v="2026-04-24T15:32:56" u="1"/>
        <d v="2026-04-24T16:00:21" u="1"/>
        <d v="2026-04-24T16:00:27" u="1"/>
        <d v="2026-04-27T09:55:10" u="1"/>
        <d v="2026-04-27T09:55:25" u="1"/>
        <d v="2026-04-27T11:20:21" u="1"/>
        <d v="2026-04-27T11:20:24" u="1"/>
        <d v="2026-04-27T12:12:42" u="1"/>
        <d v="2026-04-27T12:12:52" u="1"/>
        <d v="2026-04-27T12:40:58" u="1"/>
        <d v="2026-04-27T13:18:38" u="1"/>
        <d v="2026-04-27T13:58:07" u="1"/>
        <d v="2026-04-27T14:49:35" u="1"/>
        <d v="2026-04-27T15:00:10" u="1"/>
        <d v="2026-04-27T15:00:14" u="1"/>
        <d v="2026-04-27T15:00:30" u="1"/>
        <d v="2026-04-27T15:04:32" u="1"/>
        <d v="2026-04-27T15:19:11" u="1"/>
        <d v="2026-04-27T15:29:35" u="1"/>
        <d v="2026-04-27T15:29:47" u="1"/>
        <d v="2026-04-27T15:34:29" u="1"/>
        <d v="2026-04-27T15:48:26" u="1"/>
        <d v="2026-04-27T17:44:46" u="1"/>
        <d v="2026-04-27T17:44:59" u="1"/>
        <d v="2026-04-28T09:33:36" u="1"/>
        <d v="2026-04-28T09:57:05" u="1"/>
        <d v="2026-04-28T10:11:59" u="1"/>
        <d v="2026-04-28T10:12:19" u="1"/>
        <d v="2026-04-28T10:16:35" u="1"/>
        <d v="2026-04-28T10:23:15" u="1"/>
        <d v="2026-04-28T10:55:28" u="1"/>
        <d v="2026-04-28T12:09:38" u="1"/>
        <d v="2026-04-28T12:18:37" u="1"/>
        <d v="2026-04-28T12:30:11" u="1"/>
        <d v="2026-04-28T12:40:29" u="1"/>
        <d v="2026-04-28T13:04:32" u="1"/>
        <d v="2026-04-28T14:37:54" u="1"/>
        <d v="2026-04-28T14:38:00" u="1"/>
        <d v="2026-04-28T14:44:59" u="1"/>
        <d v="2026-04-29T12:18:12" u="1"/>
        <d v="2026-04-29T12:55:56" u="1"/>
        <d v="2026-04-29T12:56:12" u="1"/>
        <d v="2026-04-29T13:53:52" u="1"/>
        <d v="2026-04-29T13:54:03" u="1"/>
        <d v="2026-04-29T14:04:23" u="1"/>
        <d v="2026-04-30T14:58:53" u="1"/>
        <d v="2026-04-30T14:59:01" u="1"/>
        <d v="2026-04-30T15:06:07" u="1"/>
        <d v="2026-04-30T18:00:45" u="1"/>
        <d v="2026-04-30T18:00:52" u="1"/>
        <d v="2026-04-30T18:01:03" u="1"/>
        <d v="2026-05-02T09:51:20" u="1"/>
        <d v="2026-05-02T09:51:29" u="1"/>
        <d v="2026-05-02T10:18:28" u="1"/>
        <d v="2026-05-02T10:27:03" u="1"/>
        <d v="2026-05-02T11:53:14" u="1"/>
        <d v="2026-05-02T11:53:19" u="1"/>
        <d v="2026-05-02T11:53:26" u="1"/>
        <d v="2026-05-04T10:01:19" u="1"/>
        <d v="2026-05-04T10:01:26" u="1"/>
        <d v="2026-05-04T11:37:07" u="1"/>
        <d v="2026-05-04T11:37:14" u="1"/>
        <d v="2026-05-04T11:49:33" u="1"/>
        <d v="2026-05-04T12:02:58" u="1"/>
        <d v="2026-05-04T12:24:30" u="1"/>
        <d v="2026-05-04T12:59:56" u="1"/>
        <d v="2026-05-04T13:04:50" u="1"/>
        <d v="2026-05-04T13:30:39" u="1"/>
        <d v="2026-05-04T13:30:50" u="1"/>
        <d v="2026-05-04T13:54:15" u="1"/>
        <d v="2026-05-04T14:17:48" u="1"/>
        <d v="2026-05-04T15:13:00" u="1"/>
        <d v="2026-05-04T15:13:24" u="1"/>
        <d v="2026-05-04T17:21:07" u="1"/>
        <d v="2026-05-04T17:34:04" u="1"/>
        <d v="2026-05-04T17:34:15" u="1"/>
        <d v="2026-05-04T17:36:08" u="1"/>
        <d v="2026-05-04T17:54:45" u="1"/>
        <d v="2026-05-05T11:14:57" u="1"/>
        <d v="2026-05-05T11:15:13" u="1"/>
        <d v="2026-05-05T14:51:50" u="1"/>
        <d v="2026-05-05T14:51:52" u="1"/>
        <d v="2026-05-05T14:52:08" u="1"/>
        <d v="2026-05-05T18:02:51" u="1"/>
        <d v="2026-05-05T18:02:56" u="1"/>
        <d v="2026-05-05T18:03:02" u="1"/>
        <d v="2026-05-05T18:03:08" u="1"/>
        <d v="2026-05-05T18:03:14" u="1"/>
        <d v="2026-05-06T09:34:46" u="1"/>
        <d v="2026-05-06T10:39:47" u="1"/>
        <d v="2026-05-06T10:10:38" u="1"/>
        <d v="2026-05-06T10:13:10" u="1"/>
        <d v="2026-05-06T12:46:18" u="1"/>
        <d v="2026-05-06T13:07:12" u="1"/>
        <d v="2026-05-06T13:48:05" u="1"/>
        <d v="2026-05-06T14:24:10" u="1"/>
        <d v="2026-05-07T10:54:54" u="1"/>
        <d v="2026-05-07T12:09:49" u="1"/>
        <d v="2026-05-07T12:58:59" u="1"/>
        <d v="2026-05-07T13:46:47" u="1"/>
        <d v="2026-05-07T13:46:55" u="1"/>
        <d v="2026-05-07T13:48:01" u="1"/>
        <d v="2026-05-07T13:48:08" u="1"/>
        <d v="2026-05-07T13:56:24" u="1"/>
        <d v="2026-05-07T14:09:55" u="1"/>
        <d v="2026-05-07T14:20:34" u="1"/>
        <d v="2026-05-07T14:37:16" u="1"/>
        <d v="2026-05-07T14:45:07" u="1"/>
        <d v="2026-05-07T14:49:45" u="1"/>
        <d v="2026-05-07T14:53:51" u="1"/>
        <d v="2026-05-08T09:16:40" u="1"/>
        <d v="2026-05-08T09:22:19" u="1"/>
        <d v="2026-05-08T11:38:07" u="1"/>
        <d v="2026-05-08T11:38:16" u="1"/>
        <d v="2026-05-08T11:58:36" u="1"/>
        <d v="2026-05-08T12:19:40" u="1"/>
        <d v="2026-05-08T12:31:36" u="1"/>
        <d v="2026-05-08T16:59:33" u="1"/>
        <d v="2026-05-08T16:59:40" u="1"/>
        <d v="2026-05-08T16:59:49" u="1"/>
        <d v="2026-05-09T09:38:32" u="1"/>
        <d v="2026-05-09T09:57:51" u="1"/>
        <d v="2026-05-09T10:35:57" u="1"/>
        <d v="2026-05-09T11:23:21" u="1"/>
        <d v="2026-05-09T11:23:25" u="1"/>
        <d v="2026-05-09T11:54:28" u="1"/>
        <d v="2026-05-09T11:55:12" u="1"/>
        <d v="2026-05-11T09:10:31" u="1"/>
        <d v="2026-05-11T11:21:49" u="1"/>
        <d v="2026-05-11T11:21:56" u="1"/>
        <d v="2026-05-11T11:55:34" u="1"/>
        <d v="2026-05-11T12:01:22" u="1"/>
        <d v="2026-05-11T12:08:09" u="1"/>
        <d v="2026-05-11T12:24:58" u="1"/>
        <d v="2026-05-11T13:04:46" u="1"/>
        <d v="2026-05-11T14:34:00" u="1"/>
        <d v="2026-05-11T14:44:15" u="1"/>
        <d v="2026-05-11T15:12:34" u="1"/>
        <d v="2026-05-11T15:17:30" u="1"/>
        <d v="2026-05-11T15:58:18" u="1"/>
        <d v="2026-05-11T17:13:18" u="1"/>
        <d v="2026-05-12T10:53:41" u="1"/>
        <d v="2026-05-12T10:54:11" u="1"/>
        <d v="2026-05-12T10:56:17" u="1"/>
        <d v="2026-05-12T11:09:44" u="1"/>
        <d v="2026-05-12T11:42:28" u="1"/>
        <d v="2026-05-12T13:16:02" u="1"/>
        <d v="2026-05-12T13:16:08" u="1"/>
        <d v="2026-05-12T13:54:11" u="1"/>
        <d v="2026-05-12T14:20:46" u="1"/>
        <d v="2026-05-12T14:20:56" u="1"/>
        <d v="2026-05-13T09:12:30" u="1"/>
        <d v="2026-05-13T10:48:32" u="1"/>
        <d v="2026-05-13T10:48:54" u="1"/>
        <d v="2026-05-13T11:00:03" u="1"/>
        <d v="2026-05-13T12:28:59" u="1"/>
        <d v="2026-05-13T12:42:40" u="1"/>
        <d v="2026-05-13T12:58:51" u="1"/>
        <d v="2026-05-13T13:45:31" u="1"/>
        <d v="2026-05-15T12:43:44" u="1"/>
        <d v="2026-05-15T12:43:52" u="1"/>
        <d v="2026-05-15T12:44:11" u="1"/>
        <d v="2026-05-15T13:20:04" u="1"/>
        <d v="2026-05-15T13:20:07" u="1"/>
        <d v="2026-05-15T13:22:31" u="1"/>
        <d v="2026-05-15T13:47:58" u="1"/>
        <d v="2026-05-15T13:48:01" u="1"/>
        <d v="2026-05-15T13:48:04" u="1"/>
        <d v="2026-05-15T13:48:09" u="1"/>
        <d v="2026-05-15T14:02:21" u="1"/>
        <d v="2026-05-15T14:17:37" u="1"/>
        <d v="2026-05-15T14:17:45" u="1"/>
        <d v="2026-05-15T14:17:55" u="1"/>
        <d v="2026-05-15T14:18:02" u="1"/>
        <d v="2026-05-15T14:44:15" u="1"/>
        <d v="2026-05-15T14:54:27" u="1"/>
        <d v="2026-05-15T14:54:32" u="1"/>
        <d v="2026-05-15T15:27:51" u="1"/>
        <d v="2026-05-15T15:35:56" u="1"/>
        <d v="2026-05-15T16:00:39" u="1"/>
        <d v="2026-05-16T10:42:28" u="1"/>
        <d v="2026-05-16T10:42:35" u="1"/>
        <d v="2026-05-16T10:42:44" u="1"/>
        <d v="2026-05-16T11:10:13" u="1"/>
        <d v="2026-05-16T11:48:53" u="1"/>
        <d v="2026-05-18T09:22:11" u="1"/>
        <d v="2026-05-18T10:23:04" u="1"/>
        <d v="2026-05-18T13:01:50" u="1"/>
        <d v="2026-05-18T13:02:01" u="1"/>
        <d v="2026-05-18T12:12:38" u="1"/>
        <d v="2026-05-18T12:12:50" u="1"/>
        <d v="2026-05-18T13:33:21" u="1"/>
        <d v="2026-05-18T13:33:27" u="1"/>
        <d v="2026-05-18T13:33:51" u="1"/>
        <d v="2026-05-18T13:59:09" u="1"/>
        <d v="2026-05-18T14:12:46" u="1"/>
        <d v="2026-05-18T14:23:10" u="1"/>
        <d v="2026-05-18T15:02:11" u="1"/>
        <d v="2026-05-18T16:01:13" u="1"/>
        <d v="2026-05-18T16:01:23" u="1"/>
        <d v="2026-05-18T16:01:30" u="1"/>
        <d v="2026-05-18T16:48:24" u="1"/>
        <d v="2026-05-18T16:50:45" u="1"/>
        <d v="2026-05-18T17:16:19" u="1"/>
        <d v="2026-05-18T17:16:26" u="1"/>
        <d v="2026-05-18T17:31:59" u="1"/>
        <d v="2026-05-18T17:32:18" u="1"/>
        <d v="2026-05-18T17:35:12" u="1"/>
        <d v="2026-05-19T09:29:47" u="1"/>
        <d v="2026-05-19T11:31:28" u="1"/>
        <d v="2026-05-19T11:31:53" u="1"/>
        <d v="2026-05-19T11:55:03" u="1"/>
        <d v="2026-05-19T13:20:06" u="1"/>
        <d v="2026-05-19T14:51:42" u="1"/>
        <d v="2026-05-19T15:10:03" u="1"/>
        <d v="2026-05-19T15:13:00" u="1"/>
        <d v="2026-05-19T15:21:15" u="1"/>
        <d v="2026-05-19T15:28:30" u="1"/>
        <d v="2026-05-19T15:39:31" u="1"/>
        <d v="2026-05-19T16:29:23" u="1"/>
        <d v="2026-05-19T16:29:34" u="1"/>
        <d v="2026-05-19T16:29:43" u="1"/>
        <d v="2026-05-19T18:25:09" u="1"/>
        <d v="2026-05-20T12:20:38" u="1"/>
        <d v="2026-05-20T12:40:10" u="1"/>
        <d v="2026-05-20T13:07:54" u="1"/>
        <d v="2026-05-20T13:12:30" u="1"/>
        <d v="2026-05-20T14:58:08" u="1"/>
        <d v="2026-05-20T14:58:21" u="1"/>
        <d v="2026-05-20T14:58:29" u="1"/>
        <d v="2026-05-20T15:29:09" u="1"/>
        <d v="2026-05-20T15:29:20" u="1"/>
        <d v="2026-05-20T16:27:14" u="1"/>
        <d v="2026-05-20T16:27:24" u="1"/>
        <d v="2026-05-20T16:41:06" u="1"/>
        <d v="2026-05-20T17:19:31" u="1"/>
        <d v="2026-05-21T10:22:46" u="1"/>
        <d v="2026-05-21T11:34:06" u="1"/>
        <d v="2026-05-21T11:34:17" u="1"/>
        <d v="2026-05-21T13:49:31" u="1"/>
        <d v="2026-05-21T13:49:39" u="1"/>
        <d v="2026-05-21T14:31:22" u="1"/>
        <d v="2026-05-21T15:27:10" u="1"/>
        <d v="2026-05-21T15:41:19" u="1"/>
        <d v="2026-05-21T17:42:09" u="1"/>
        <d v="2026-05-22T09:07:50" u="1"/>
        <d v="2026-05-22T10:55:16" u="1"/>
        <d v="2026-05-22T10:55:27" u="1"/>
        <d v="2026-05-22T11:15:17" u="1"/>
        <d v="2026-05-22T11:49:08" u="1"/>
        <d v="2026-05-22T13:00:41" u="1"/>
        <d v="2026-05-22T13:00:55" u="1"/>
        <d v="2026-05-22T13:51:53" u="1"/>
        <d v="2026-05-22T14:34:02" u="1"/>
        <d v="2026-05-22T16:36:44" u="1"/>
        <d v="2026-05-22T17:52:52" u="1"/>
        <d v="2026-05-26T09:29:45" u="1"/>
        <d v="2026-05-26T09:55:03" u="1"/>
        <d v="2026-05-26T10:19:13" u="1"/>
        <d v="2026-05-26T10:19:23" u="1"/>
        <d v="2026-05-26T11:07:47" u="1"/>
        <d v="2026-05-26T11:07:54" u="1"/>
        <d v="2026-05-26T11:20:19" u="1"/>
        <d v="2026-05-26T11:50:15" u="1"/>
        <d v="2026-05-26T11:55:11" u="1"/>
        <d v="2026-05-26T12:24:51" u="1"/>
        <d v="2026-05-26T12:50:18" u="1"/>
        <d v="2026-05-26T13:16:05" u="1"/>
        <d v="2026-05-26T14:19:33" u="1"/>
        <d v="2026-05-26T14:19:41" u="1"/>
        <d v="2026-05-26T15:52:11" u="1"/>
        <d v="2026-05-26T16:40:33" u="1"/>
        <d v="2026-05-26T16:40:46" u="1"/>
        <d v="2026-05-26T17:45:51" u="1"/>
        <d v="2026-05-26T17:46:04" u="1"/>
        <d v="2026-05-27T10:01:48" u="1"/>
        <d v="2026-05-27T10:01:58" u="1"/>
        <d v="2026-05-27T10:02:16" u="1"/>
        <d v="2026-05-27T11:57:25" u="1"/>
        <d v="2026-05-27T12:39:14" u="1"/>
        <d v="2026-05-27T12:39:33" u="1"/>
        <d v="2026-05-27T12:39:39" u="1"/>
        <d v="2026-05-27T17:14:39" u="1"/>
        <d v="2026-05-27T17:14:44" u="1"/>
        <d v="2026-05-28T10:52:20" u="1"/>
        <d v="2026-05-28T10:52:30" u="1"/>
        <d v="2026-05-28T11:00:46" u="1"/>
        <d v="2026-05-28T11:58:30" u="1"/>
        <d v="2026-05-28T13:29:45" u="1"/>
        <d v="2026-05-28T14:41:31" u="1"/>
        <d v="2026-05-28T14:41:38" u="1"/>
        <d v="2026-05-28T14:41:52" u="1"/>
        <d v="2026-05-28T14:41:58" u="1"/>
        <d v="2026-05-28T17:09:58" u="1"/>
        <d v="2026-05-29T09:38:34" u="1"/>
        <d v="2026-05-29T10:07:32" u="1"/>
        <d v="2026-05-29T12:08:26" u="1"/>
        <d v="2026-05-29T12:15:52" u="1"/>
        <d v="2026-05-29T12:17:59" u="1"/>
        <d v="2026-05-29T12:29:25" u="1"/>
        <d v="2026-05-29T16:32:34" u="1"/>
        <d v="2026-05-29T16:32:49" u="1"/>
        <d v="2026-05-29T16:33:05" u="1"/>
        <d v="2026-05-29T17:14:18" u="1"/>
        <d v="2026-05-29T17:23:39" u="1"/>
        <d v="2026-05-29T17:58:48" u="1"/>
        <d v="2026-05-30T11:08:25" u="1"/>
        <d v="2026-05-30T11:08:37" u="1"/>
        <d v="2026-05-30T11:08:44" u="1"/>
        <d v="2026-05-30T11:09:32" u="1"/>
        <d v="2026-06-01T09:38:33" u="1"/>
        <d v="2026-06-01T11:41:47" u="1"/>
        <d v="2026-06-01T11:41:53" u="1"/>
        <d v="2026-06-01T11:42:00" u="1"/>
        <d v="2026-06-01T13:02:25" u="1"/>
        <d v="2026-06-01T13:17:02" u="1"/>
        <d v="2026-06-01T13:57:04" u="1"/>
        <d v="2026-06-01T14:09:47" u="1"/>
        <d v="2026-06-01T14:10:00" u="1"/>
        <d v="2026-06-01T14:17:04" u="1"/>
        <d v="2026-06-01T14:56:26" u="1"/>
        <d v="2026-06-01T15:15:06" u="1"/>
        <d v="2026-06-01T15:15:25" u="1"/>
        <d v="2026-06-01T15:50:45" u="1"/>
        <d v="2026-06-01T17:43:00" u="1"/>
        <d v="2026-06-01T17:43:07" u="1"/>
        <d v="2026-06-01T17:43:17" u="1"/>
        <d v="2026-06-02T11:13:34" u="1"/>
        <d v="2026-06-02T11:59:05" u="1"/>
        <d v="2026-06-02T13:54:47" u="1"/>
        <d v="2026-06-02T14:03:46" u="1"/>
        <d v="2026-06-02T14:12:05" u="1"/>
        <d v="2026-06-02T14:12:13" u="1"/>
        <d v="2026-06-02T14:49:41" u="1"/>
        <d v="2026-06-02T15:05:45" u="1"/>
        <d v="2026-06-02T17:54:04" u="1"/>
        <d v="2026-06-02T17:54:13" u="1"/>
        <d v="2026-06-02T17:54:20" u="1"/>
        <d v="2026-06-02T17:54:26" u="1"/>
        <d v="2026-06-02T17:54:35" u="1"/>
        <d v="2026-06-03T09:30:25" u="1"/>
        <d v="2026-06-03T09:30:42" u="1"/>
        <d v="2026-06-03T12:00:35" u="1"/>
        <d v="2026-06-03T12:00:47" u="1"/>
        <d v="2026-06-04T09:40:17" u="1"/>
        <d v="2026-06-04T10:29:17" u="1"/>
        <d v="2026-06-04T10:57:19" u="1"/>
        <d v="2026-06-04T12:02:41" u="1"/>
        <d v="2026-06-04T12:02:45" u="1"/>
        <d v="2026-06-04T14:28:31" u="1"/>
        <d v="2026-06-04T14:28:45" u="1"/>
        <d v="2026-06-04T14:28:51" u="1"/>
        <d v="2026-06-04T14:29:01" u="1"/>
        <d v="2026-06-04T17:55:55" u="1"/>
        <d v="2026-06-04T17:56:04" u="1"/>
        <d v="2026-06-04T17:56:21" u="1"/>
        <d v="2026-06-05T11:16:18" u="1"/>
        <d v="2026-06-05T11:58:23" u="1"/>
        <d v="2026-06-05T12:44:02" u="1"/>
        <d v="2026-06-05T12:44:11" u="1"/>
        <d v="2026-06-05T12:44:27" u="1"/>
        <d v="2026-06-05T13:48:57" u="1"/>
        <d v="2026-06-05T14:36:55" u="1"/>
        <d v="2026-06-05T14:37:05" u="1"/>
        <d v="2026-06-05T15:10:05" u="1"/>
        <d v="2026-06-06T09:49:55" u="1"/>
        <d v="2026-06-06T11:24:37" u="1"/>
        <d v="2026-06-06T11:53:10" u="1"/>
        <d v="2026-06-08T09:38:59" u="1"/>
        <d v="2026-06-08T09:40:33" u="1"/>
        <d v="2026-06-08T10:21:35" u="1"/>
        <d v="2026-06-08T10:56:00" u="1"/>
        <d v="2026-06-08T11:22:00" u="1"/>
        <d v="2026-06-08T11:23:00" u="1"/>
        <d v="2026-06-08T11:32:00" u="1"/>
        <d v="2026-06-08T11:36:00" u="1"/>
        <d v="2026-06-08T13:42:24" u="1"/>
        <d v="2026-06-08T14:22:33" u="1"/>
        <d v="2026-06-08T14:22:46" u="1"/>
        <d v="2026-06-08T14:47:18" u="1"/>
        <d v="2026-06-08T14:47:25" u="1"/>
        <d v="2026-06-08T14:47:30" u="1"/>
        <d v="2026-06-08T14:47:43" u="1"/>
        <d v="2026-06-08T14:55:53" u="1"/>
        <d v="2026-06-08T14:55:59" u="1"/>
        <d v="2026-06-08T15:21:01" u="1"/>
        <d v="2026-06-08T15:21:04" u="1"/>
        <d v="2026-06-08T17:04:15" u="1"/>
        <d v="2026-06-08T17:30:33" u="1"/>
        <d v="2026-06-08T18:04:44" u="1"/>
        <d v="2026-06-09T09:13:16" u="1"/>
        <d v="2026-06-09T09:13:31" u="1"/>
        <d v="2026-06-09T10:17:06" u="1"/>
        <d v="2026-06-09T11:58:31" u="1"/>
        <d v="2026-06-09T12:41:16" u="1"/>
        <d v="2026-06-09T13:57:26" u="1"/>
        <d v="2026-06-09T13:57:31" u="1"/>
        <d v="2026-06-09T14:20:01" u="1"/>
        <d v="2026-06-09T14:22:59" u="1"/>
        <d v="2026-06-09T14:55:51" u="1"/>
        <d v="2026-06-09T14:56:59" u="1"/>
        <d v="2026-06-11T09:09:27" u="1"/>
        <d v="2026-06-11T09:54:43" u="1"/>
        <d v="2026-06-11T10:06:49" u="1"/>
        <d v="2026-06-11T10:45:07" u="1"/>
        <d v="2026-06-11T10:59:16" u="1"/>
        <d v="2026-06-11T11:13:02" u="1"/>
        <d v="2026-06-11T12:12:21" u="1"/>
        <d v="2026-06-11T12:46:21" u="1"/>
        <d v="2026-06-11T13:21:09" u="1"/>
        <d v="2026-06-11T13:21:29" u="1"/>
        <d v="2026-06-11T13:21:33" u="1"/>
        <d v="2026-06-18T12:14:11" u="1"/>
        <d v="2026-06-18T12:22:37" u="1"/>
        <d v="2026-06-18T15:56:50" u="1"/>
        <d v="2026-06-18T16:51:59" u="1"/>
        <d v="2026-06-18T16:52:23" u="1"/>
        <d v="2026-06-19T09:49:13" u="1"/>
        <d v="2026-06-19T09:49:24" u="1"/>
        <d v="2026-06-19T09:49:52" u="1"/>
        <d v="2026-06-19T11:48:59" u="1"/>
        <d v="2026-06-19T11:50:07" u="1"/>
        <d v="2026-06-19T14:42:07" u="1"/>
        <d v="2026-06-19T17:59:26" u="1"/>
        <d v="2026-06-20T11:43:00" u="1"/>
        <d v="2026-06-20T11:43:07" u="1"/>
        <d v="2026-06-20T11:43:14" u="1"/>
        <d v="2026-06-20T11:43:23" u="1"/>
        <d v="2026-06-22T12:11:59" u="1"/>
        <d v="2026-06-22T12:31:29" u="1"/>
        <d v="2026-06-22T12:44:23" u="1"/>
        <d v="2026-06-22T12:49:27" u="1"/>
        <d v="2026-06-22T12:49:35" u="1"/>
        <d v="2026-06-22T13:01:22" u="1"/>
        <d v="2026-06-22T13:14:27" u="1"/>
        <d v="2026-06-22T13:41:01" u="1"/>
        <d v="2026-06-22T13:55:49" u="1"/>
        <d v="2026-06-22T14:29:17" u="1"/>
        <d v="2026-06-22T14:29:23" u="1"/>
        <d v="2026-06-22T15:29:47" u="1"/>
        <d v="2026-06-22T15:37:24" u="1"/>
        <d v="2026-06-22T15:42:32" u="1"/>
        <d v="2026-06-22T15:55:31" u="1"/>
        <d v="2026-06-25T09:41:36" u="1"/>
        <d v="2026-06-25T10:47:38" u="1"/>
        <d v="2026-06-25T10:48:00" u="1"/>
        <d v="2026-06-25T10:55:16" u="1"/>
        <d v="2026-06-25T12:16:54" u="1"/>
        <d v="2026-06-25T12:17:09" u="1"/>
        <d v="2026-06-25T12:52:15" u="1"/>
        <d v="2026-06-25T13:11:23" u="1"/>
        <d v="2026-06-25T13:33:47" u="1"/>
        <d v="2026-06-25T14:18:59" u="1"/>
        <d v="2026-06-25T14:31:26" u="1"/>
        <d v="2026-06-25T14:31:47" u="1"/>
        <d v="2026-06-25T14:32:08" u="1"/>
        <d v="2026-06-25T14:57:02" u="1"/>
        <d v="2026-06-25T17:41:12" u="1"/>
        <d v="2026-06-25T17:41:28" u="1"/>
        <d v="2026-06-26T09:34:43" u="1"/>
        <d v="2026-06-26T11:10:36" u="1"/>
        <d v="2026-06-26T11:16:06" u="1"/>
        <d v="2026-06-26T13:26:17" u="1"/>
        <d v="2026-06-26T17:52:19" u="1"/>
        <d v="2026-06-26T17:52:49" u="1"/>
        <d v="2026-06-26T17:52:58" u="1"/>
        <d v="2026-06-26T17:53:06" u="1"/>
        <d v="2026-06-26T17:53:15" u="1"/>
        <d v="2026-06-30T11:41:32" u="1"/>
        <d v="2026-06-30T11:41:43" u="1"/>
        <d v="2026-06-30T11:41:56" u="1"/>
        <d v="2026-06-30T12:01:08" u="1"/>
        <d v="2026-06-30T12:01:45" u="1"/>
        <d v="2026-06-30T12:02:37" u="1"/>
        <d v="2026-06-30T12:03:39" u="1"/>
        <d v="2026-06-30T12:03:53" u="1"/>
        <d v="2026-06-30T12:48:52" u="1"/>
        <d v="2026-06-30T12:53:05" u="1"/>
        <d v="2026-06-30T13:55:26" u="1"/>
        <d v="2026-06-30T13:55:37" u="1"/>
        <d v="2026-06-30T14:04:47" u="1"/>
        <d v="2026-06-30T14:29:52" u="1"/>
        <d v="2026-06-30T14:45:28" u="1"/>
        <d v="2026-06-30T14:48:18" u="1"/>
        <d v="2026-06-30T15:13:09" u="1"/>
      </sharedItems>
      <fieldGroup par="13"/>
    </cacheField>
    <cacheField name="horaire finale" numFmtId="0">
      <sharedItems count="9">
        <s v="10h-11h"/>
        <s v="14h-15h"/>
        <s v="15h-16h"/>
        <s v="12h-13h"/>
        <s v="13h-14h"/>
        <s v="9h-10h"/>
        <s v="16h-17h"/>
        <s v="11h-12h"/>
        <s v="17h-18h"/>
      </sharedItems>
    </cacheField>
    <cacheField name="Jour" numFmtId="0">
      <sharedItems count="6">
        <s v="mardi"/>
        <s v="mercredi"/>
        <s v="jeudi"/>
        <s v="vendredi"/>
        <s v="samedi"/>
        <s v="lundi"/>
      </sharedItems>
    </cacheField>
    <cacheField name="typeService" numFmtId="0">
      <sharedItems count="2">
        <s v="en présentiel"/>
        <s v="au téléphone"/>
      </sharedItems>
    </cacheField>
    <cacheField name="langue" numFmtId="0">
      <sharedItems/>
    </cacheField>
    <cacheField name="duree" numFmtId="0">
      <sharedItems count="4">
        <s v="6-15 min"/>
        <s v="moins de 1 min"/>
        <s v="1-5 min"/>
        <s v="15 min et plus"/>
      </sharedItems>
    </cacheField>
    <cacheField name="moyenne" numFmtId="0">
      <sharedItems containsSemiMixedTypes="0" containsString="0" containsNumber="1" minValue="0.5" maxValue="20"/>
    </cacheField>
    <cacheField name="catalogueSwisscoveryAlma" numFmtId="0">
      <sharedItems containsSemiMixedTypes="0" containsString="0" containsNumber="1" containsInteger="1" minValue="0" maxValue="1"/>
    </cacheField>
    <cacheField name="catalogueAutre" numFmtId="0">
      <sharedItems containsSemiMixedTypes="0" containsString="0" containsNumber="1" containsInteger="1" minValue="0" maxValue="1"/>
    </cacheField>
    <cacheField name="remarques" numFmtId="0">
      <sharedItems containsBlank="1" longText="1"/>
    </cacheField>
    <cacheField name="services" numFmtId="0">
      <sharedItems count="9">
        <s v="orientation"/>
        <s v="autreRenseignement"/>
        <s v="rechercheBibliographique"/>
        <s v="inscription"/>
        <s v="mondoPC"/>
        <s v="prêt"/>
        <s v="rechercheDocumentaire"/>
        <s v="modalites"/>
        <s v="bureautique"/>
      </sharedItems>
    </cacheField>
    <cacheField name="Mois (horodatage)" numFmtId="0" databaseField="0">
      <fieldGroup base="0">
        <rangePr groupBy="months" startDate="2025-07-01T10:16:06" endDate="2025-12-24T14:50:10"/>
        <groupItems count="14">
          <s v="&lt;01.07.2025"/>
          <s v="janv"/>
          <s v="févr"/>
          <s v="mars"/>
          <s v="avr"/>
          <s v="mai"/>
          <s v="juin"/>
          <s v="juil"/>
          <s v="août"/>
          <s v="sept"/>
          <s v="oct"/>
          <s v="nov"/>
          <s v="déc"/>
          <s v="&gt;24.12.2025"/>
        </groupItems>
      </fieldGroup>
    </cacheField>
    <cacheField name="Trimestres (horodatage)" numFmtId="0" databaseField="0">
      <fieldGroup base="0">
        <rangePr groupBy="quarters" startDate="2025-07-01T10:16:06" endDate="2025-12-24T14:50:10"/>
        <groupItems count="6">
          <s v="&lt;01.07.2025"/>
          <s v="Trimestre1"/>
          <s v="Trimestre2"/>
          <s v="Trimestre3"/>
          <s v="Trimestre4"/>
          <s v="&gt;24.12.2025"/>
        </groupItems>
      </fieldGroup>
    </cacheField>
    <cacheField name="Années (horodatage)" numFmtId="0" databaseField="0">
      <fieldGroup base="0">
        <rangePr groupBy="years" startDate="2025-07-01T10:16:06" endDate="2025-12-24T14:50:10"/>
        <groupItems count="3">
          <s v="&lt;01.07.2025"/>
          <s v="2025"/>
          <s v="&gt;24.12.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KERBOUL" refreshedDate="46230.436923148147" createdVersion="8" refreshedVersion="8" minRefreshableVersion="3" recordCount="1319" xr:uid="{3B7213CC-5057-4F00-A09D-B6624EB8C8A1}">
  <cacheSource type="worksheet">
    <worksheetSource name="Données"/>
  </cacheSource>
  <cacheFields count="22">
    <cacheField name="horodatage" numFmtId="164">
      <sharedItems containsSemiMixedTypes="0" containsNonDate="0" containsDate="1" containsString="0" minDate="2025-07-01T10:16:06" maxDate="2026-06-30T15:13:09" count="2862">
        <d v="2025-07-01T10:16:06"/>
        <d v="2025-07-01T14:13:04"/>
        <d v="2025-07-01T14:13:13"/>
        <d v="2025-07-01T14:13:27"/>
        <d v="2025-07-01T14:13:32"/>
        <d v="2025-07-01T14:13:41"/>
        <d v="2025-07-01T14:56:57"/>
        <d v="2025-07-01T14:57:05"/>
        <d v="2025-07-01T14:57:32"/>
        <d v="2025-07-01T14:58:15"/>
        <d v="2025-07-01T15:52:59"/>
        <d v="2025-07-01T15:53:24"/>
        <d v="2025-07-02T10:06:17"/>
        <d v="2025-07-02T12:33:04"/>
        <d v="2025-07-02T12:37:23"/>
        <d v="2025-07-02T13:08:54"/>
        <d v="2025-07-02T13:46:47"/>
        <d v="2025-07-02T14:50:22"/>
        <d v="2025-07-02T14:50:33"/>
        <d v="2025-07-02T14:50:38"/>
        <d v="2025-07-03T09:06:01"/>
        <d v="2025-07-03T13:08:13"/>
        <d v="2025-07-03T14:43:42"/>
        <d v="2025-07-03T16:28:41"/>
        <d v="2025-07-03T16:29:02"/>
        <d v="2025-07-04T09:44:54"/>
        <d v="2025-07-04T09:49:26"/>
        <d v="2025-07-04T09:59:38"/>
        <d v="2025-07-04T10:13:11"/>
        <d v="2025-07-04T10:13:26"/>
        <d v="2025-07-04T11:11:43"/>
        <d v="2025-07-04T11:12:33"/>
        <d v="2025-07-04T11:12:41"/>
        <d v="2025-07-04T11:12:48"/>
        <d v="2025-07-04T12:01:26"/>
        <d v="2025-07-04T12:02:07"/>
        <d v="2025-07-04T13:55:19"/>
        <d v="2025-07-04T15:45:09"/>
        <d v="2025-07-04T15:58:54"/>
        <d v="2025-07-05T10:39:31"/>
        <d v="2025-07-05T10:39:38"/>
        <d v="2025-07-05T11:22:23"/>
        <d v="2025-07-05T11:27:01"/>
        <d v="2025-07-05T11:48:54"/>
        <d v="2025-07-05T12:00:42"/>
        <d v="2025-07-08T13:30:16"/>
        <d v="2025-07-08T13:31:05"/>
        <d v="2025-07-08T13:47:12"/>
        <d v="2025-07-08T13:47:18"/>
        <d v="2025-07-08T14:22:06"/>
        <d v="2025-07-08T14:37:29"/>
        <d v="2025-07-08T14:37:57"/>
        <d v="2025-07-08T17:25:25"/>
        <d v="2025-07-08T17:25:47"/>
        <d v="2025-07-08T17:26:05"/>
        <d v="2025-07-09T12:07:02"/>
        <d v="2025-07-09T12:51:57"/>
        <d v="2025-07-09T12:52:46"/>
        <d v="2025-07-09T12:56:54"/>
        <d v="2025-07-09T13:31:08"/>
        <d v="2025-07-09T14:44:42"/>
        <d v="2025-07-09T14:45:14"/>
        <d v="2025-07-09T14:45:25"/>
        <d v="2025-07-09T14:59:18"/>
        <d v="2025-07-10T09:05:43"/>
        <d v="2025-07-10T11:52:30"/>
        <d v="2025-07-10T11:52:47"/>
        <d v="2025-07-10T11:53:09"/>
        <d v="2025-07-10T12:18:31"/>
        <d v="2025-07-10T12:18:45"/>
        <d v="2025-07-10T12:27:52"/>
        <d v="2025-07-10T12:56:01"/>
        <d v="2025-07-10T13:01:49"/>
        <d v="2025-07-10T14:42:58"/>
        <d v="2025-07-10T17:57:00"/>
        <d v="2025-07-10T17:57:10"/>
        <d v="2025-07-10T17:57:21"/>
        <d v="2025-07-10T17:57:27"/>
        <d v="2025-07-11T12:27:40"/>
        <d v="2025-07-11T12:30:03"/>
        <d v="2025-07-11T13:05:28"/>
        <d v="2025-07-11T13:55:22"/>
        <d v="2025-07-11T14:55:55"/>
        <d v="2025-07-11T14:56:14"/>
        <d v="2025-07-12T09:24:25"/>
        <d v="2025-07-12T11:12:58"/>
        <d v="2025-07-12T11:13:23"/>
        <d v="2025-07-12T11:47:38"/>
        <d v="2025-07-12T11:54:20"/>
        <d v="2025-07-15T10:50:55"/>
        <d v="2025-07-15T12:47:58"/>
        <d v="2025-07-15T12:49:27"/>
        <d v="2025-07-15T12:58:33"/>
        <d v="2025-07-15T13:15:45"/>
        <d v="2025-07-15T13:29:50"/>
        <d v="2025-07-15T13:42:37"/>
        <d v="2025-07-15T14:42:48"/>
        <d v="2025-07-15T14:43:06"/>
        <d v="2025-07-15T15:34:58"/>
        <d v="2025-07-15T15:35:07"/>
        <d v="2025-07-15T15:51:26"/>
        <d v="2025-07-15T15:57:40"/>
        <d v="2025-07-16T10:18:23"/>
        <d v="2025-07-16T10:22:20"/>
        <d v="2025-07-16T11:27:07"/>
        <d v="2025-07-16T11:27:22"/>
        <d v="2025-07-16T12:16:49"/>
        <d v="2025-07-16T12:19:40"/>
        <d v="2025-07-16T13:00:15"/>
        <d v="2025-07-16T14:59:03"/>
        <d v="2025-07-16T15:18:31"/>
        <d v="2025-07-16T15:41:47"/>
        <d v="2025-07-16T16:15:19"/>
        <d v="2025-07-16T16:33:40"/>
        <d v="2025-07-16T16:44:25"/>
        <d v="2025-07-16T16:44:34"/>
        <d v="2025-07-17T09:50:17"/>
        <d v="2025-07-17T10:37:33"/>
        <d v="2025-07-17T11:16:11"/>
        <d v="2025-07-17T11:16:27"/>
        <d v="2025-07-17T11:18:54"/>
        <d v="2025-07-17T14:28:22"/>
        <d v="2025-07-17T16:59:58"/>
        <d v="2025-07-18T12:05:38"/>
        <d v="2025-07-18T12:06:21"/>
        <d v="2025-07-18T12:52:27"/>
        <d v="2025-07-18T15:01:54"/>
        <d v="2025-07-18T15:02:37"/>
        <d v="2025-07-18T15:27:01"/>
        <d v="2025-07-18T15:27:30"/>
        <d v="2025-07-18T16:29:47"/>
        <d v="2025-07-19T11:16:14"/>
        <d v="2025-07-22T12:21:51"/>
        <d v="2025-07-22T12:22:05"/>
        <d v="2025-07-22T13:01:24"/>
        <d v="2025-07-22T14:15:50"/>
        <d v="2025-07-22T14:15:58"/>
        <d v="2025-07-22T14:16:07"/>
        <d v="2025-07-22T14:42:57"/>
        <d v="2025-07-22T17:29:12"/>
        <d v="2025-07-22T17:29:22"/>
        <d v="2025-07-22T17:29:38"/>
        <d v="2025-07-22T17:29:54"/>
        <d v="2025-07-22T17:30:10"/>
        <d v="2025-07-22T17:30:26"/>
        <d v="2025-07-23T10:51:48"/>
        <d v="2025-07-23T10:52:06"/>
        <d v="2025-07-24T09:20:11"/>
        <d v="2025-07-24T12:32:03"/>
        <d v="2025-07-24T13:17:50"/>
        <d v="2025-07-24T13:43:11"/>
        <d v="2025-07-24T13:57:00"/>
        <d v="2025-07-25T12:25:06"/>
        <d v="2025-07-25T12:25:14"/>
        <d v="2025-07-25T13:01:25"/>
        <d v="2025-07-25T13:01:43"/>
        <d v="2025-07-25T14:33:58"/>
        <d v="2025-07-25T14:35:28"/>
        <d v="2025-07-25T14:35:41"/>
        <d v="2025-07-25T14:36:01"/>
        <d v="2025-07-25T15:00:56"/>
        <d v="2025-07-25T16:12:12"/>
        <d v="2025-07-25T16:12:22"/>
        <d v="2025-07-25T17:42:16"/>
        <d v="2025-07-25T17:42:30"/>
        <d v="2025-07-25T17:42:38"/>
        <d v="2025-07-25T17:42:47"/>
        <d v="2025-07-25T17:43:02"/>
        <d v="2025-07-26T10:46:56"/>
        <d v="2025-07-26T10:48:23"/>
        <d v="2025-07-26T10:48:37"/>
        <d v="2025-07-29T13:15:49"/>
        <d v="2025-07-29T13:22:29"/>
        <d v="2025-07-29T14:03:31"/>
        <d v="2025-07-29T14:03:37"/>
        <d v="2025-07-29T14:42:33"/>
        <d v="2025-07-30T11:02:47"/>
        <d v="2025-07-30T12:43:37"/>
        <d v="2025-07-30T12:43:55"/>
        <d v="2025-07-30T12:44:14"/>
        <d v="2025-07-30T13:04:14"/>
        <d v="2025-07-30T13:22:33"/>
        <d v="2025-07-30T17:52:32"/>
        <d v="2025-07-30T17:57:03"/>
        <d v="2025-07-30T17:57:23"/>
        <d v="2025-07-30T17:57:33"/>
        <d v="2025-07-30T17:57:53"/>
        <d v="2025-07-30T17:58:42"/>
        <d v="2025-07-31T13:04:48"/>
        <d v="2025-07-31T14:24:45"/>
        <d v="2025-07-31T14:25:00"/>
        <d v="2025-07-31T14:47:22"/>
        <d v="2025-08-05T10:20:21"/>
        <d v="2025-08-05T10:20:33"/>
        <d v="2025-08-05T11:10:09"/>
        <d v="2025-08-05T11:12:05"/>
        <d v="2025-08-05T11:31:12"/>
        <d v="2025-08-05T12:04:02"/>
        <d v="2025-08-05T12:36:21"/>
        <d v="2025-08-05T12:50:28"/>
        <d v="2025-08-05T12:50:55"/>
        <d v="2025-08-05T13:15:08"/>
        <d v="2025-08-05T13:15:12"/>
        <d v="2025-08-05T13:23:54"/>
        <d v="2025-08-05T13:24:07"/>
        <d v="2025-08-05T13:24:12"/>
        <d v="2025-08-05T13:41:22"/>
        <d v="2025-08-05T13:49:30"/>
        <d v="2025-08-05T14:10:08"/>
        <d v="2025-08-05T14:48:09"/>
        <d v="2025-08-05T14:53:08"/>
        <d v="2025-08-05T17:51:02"/>
        <d v="2025-08-05T17:51:08"/>
        <d v="2025-08-05T17:51:20"/>
        <d v="2025-08-05T17:51:31"/>
        <d v="2025-08-05T17:51:40"/>
        <d v="2025-08-05T17:51:57"/>
        <d v="2025-08-06T09:56:41"/>
        <d v="2025-08-06T10:12:59"/>
        <d v="2025-08-06T12:00:28"/>
        <d v="2025-08-06T16:21:05"/>
        <d v="2025-08-06T16:21:15"/>
        <d v="2025-08-06T16:21:29"/>
        <d v="2025-08-06T16:21:40"/>
        <d v="2025-08-06T16:21:53"/>
        <d v="2025-08-06T17:34:18"/>
        <d v="2025-08-06T17:34:25"/>
        <d v="2025-08-07T13:00:37"/>
        <d v="2025-08-07T14:23:28"/>
        <d v="2025-08-07T14:23:49"/>
        <d v="2025-08-07T14:59:15"/>
        <d v="2025-08-08T11:55:16"/>
        <d v="2025-08-08T11:55:27"/>
        <d v="2025-08-08T11:55:39"/>
        <d v="2025-08-08T13:04:30"/>
        <d v="2025-08-08T13:52:26"/>
        <d v="2025-08-08T13:52:48"/>
        <d v="2025-08-08T14:30:33"/>
        <d v="2025-08-08T14:30:54"/>
        <d v="2025-08-09T09:46:11"/>
        <d v="2025-08-09T09:47:02"/>
        <d v="2025-08-09T11:33:34"/>
        <d v="2025-08-11T11:55:00"/>
        <d v="2025-08-11T11:55:39"/>
        <d v="2025-08-11T11:59:13"/>
        <d v="2025-08-11T13:21:46"/>
        <d v="2025-08-11T13:22:00"/>
        <d v="2025-08-11T13:44:02"/>
        <d v="2025-08-11T13:44:48"/>
        <d v="2025-08-11T14:43:10"/>
        <d v="2025-08-11T14:43:24"/>
        <d v="2025-08-11T15:14:10"/>
        <d v="2025-08-11T16:06:03"/>
        <d v="2025-08-11T16:29:16"/>
        <d v="2025-08-11T16:29:33"/>
        <d v="2025-08-13T11:59:59"/>
        <d v="2025-08-13T12:35:45"/>
        <d v="2025-08-13T14:06:11"/>
        <d v="2025-08-13T14:39:57"/>
        <d v="2025-08-13T14:40:02"/>
        <d v="2025-08-13T15:51:08"/>
        <d v="2025-08-13T15:51:25"/>
        <d v="2025-08-14T09:16:15"/>
        <d v="2025-08-14T10:07:58"/>
        <d v="2025-08-14T10:36:49"/>
        <d v="2025-08-14T12:05:57"/>
        <d v="2025-08-14T12:51:05"/>
        <d v="2025-08-14T12:51:56"/>
        <d v="2025-08-14T14:01:24"/>
        <d v="2025-08-14T14:01:50"/>
        <d v="2025-08-14T14:15:49"/>
        <d v="2025-08-14T14:16:20"/>
        <d v="2025-08-14T15:00:27"/>
        <d v="2025-08-14T15:14:17"/>
        <d v="2025-08-14T15:35:27"/>
        <d v="2025-08-15T09:17:10"/>
        <d v="2025-08-15T09:45:00"/>
        <d v="2025-08-15T10:51:32"/>
        <d v="2025-08-15T11:19:03"/>
        <d v="2025-08-15T12:35:31"/>
        <d v="2025-08-15T12:41:07"/>
        <d v="2025-08-15T13:57:23"/>
        <d v="2025-08-15T13:58:10"/>
        <d v="2025-08-15T14:53:20"/>
        <d v="2025-08-15T14:53:36"/>
        <d v="2025-08-15T15:31:41"/>
        <d v="2025-08-15T15:59:47"/>
        <d v="2025-08-16T09:54:05"/>
        <d v="2025-08-16T09:57:39"/>
        <d v="2025-08-16T10:21:54"/>
        <d v="2025-08-16T10:22:05"/>
        <d v="2025-08-16T10:29:17"/>
        <d v="2025-08-16T10:29:37"/>
        <d v="2025-08-16T11:01:06"/>
        <d v="2025-08-16T11:01:14"/>
        <d v="2025-08-16T11:01:35"/>
        <d v="2025-08-18T09:10:27"/>
        <d v="2025-08-18T09:31:29"/>
        <d v="2025-08-18T09:57:16"/>
        <d v="2025-08-18T12:37:52"/>
        <d v="2025-08-18T12:37:59"/>
        <d v="2025-08-18T12:38:16"/>
        <d v="2025-08-18T13:07:07"/>
        <d v="2025-08-18T13:07:10"/>
        <d v="2025-08-18T13:29:09"/>
        <d v="2025-08-18T13:44:20"/>
        <d v="2025-08-18T14:06:24"/>
        <d v="2025-08-18T14:13:58"/>
        <d v="2025-08-18T14:49:14"/>
        <d v="2025-08-18T14:59:48"/>
        <d v="2025-08-18T15:23:17"/>
        <d v="2025-08-18T15:23:35"/>
        <d v="2025-08-18T16:10:57"/>
        <d v="2025-08-18T16:11:12"/>
        <d v="2025-08-19T10:23:21"/>
        <d v="2025-08-19T10:23:40"/>
        <d v="2025-08-19T13:37:59"/>
        <d v="2025-08-19T14:09:21"/>
        <d v="2025-08-19T14:51:28"/>
        <d v="2025-08-19T15:16:12"/>
        <d v="2025-08-19T15:25:50"/>
        <d v="2025-08-19T16:22:12"/>
        <d v="2025-08-19T16:22:38"/>
        <d v="2025-08-19T16:48:40"/>
        <d v="2025-08-19T16:56:01"/>
        <d v="2025-08-19T17:30:20"/>
        <d v="2025-08-19T17:51:14"/>
        <d v="2025-08-20T09:39:34"/>
        <d v="2025-08-20T10:55:34"/>
        <d v="2025-08-20T11:12:07"/>
        <d v="2025-08-20T11:26:32"/>
        <d v="2025-08-20T14:30:24"/>
        <d v="2025-08-20T14:30:44"/>
        <d v="2025-08-20T14:46:25"/>
        <d v="2025-08-20T15:40:30"/>
        <d v="2025-08-20T16:23:53"/>
        <d v="2025-08-20T16:24:02"/>
        <d v="2025-08-20T16:24:11"/>
        <d v="2025-08-20T16:33:31"/>
        <d v="2025-08-20T17:04:46"/>
        <d v="2025-08-20T17:29:30"/>
        <d v="2025-08-21T10:06:54"/>
        <d v="2025-08-21T11:00:13"/>
        <d v="2025-08-21T11:34:15"/>
        <d v="2025-08-21T13:34:25"/>
        <d v="2025-08-21T15:26:00"/>
        <d v="2025-08-21T17:00:14"/>
        <d v="2025-08-21T17:00:28"/>
        <d v="2025-08-21T17:00:56"/>
        <d v="2025-08-22T09:46:02"/>
        <d v="2025-08-22T10:33:38"/>
        <d v="2025-08-22T10:33:49"/>
        <d v="2025-08-22T11:01:18"/>
        <d v="2025-08-22T12:01:34"/>
        <d v="2025-08-22T14:04:02"/>
        <d v="2025-08-22T14:04:30"/>
        <d v="2025-08-22T15:18:44"/>
        <d v="2025-08-22T15:18:54"/>
        <d v="2025-08-22T15:19:06"/>
        <d v="2025-08-22T15:19:22"/>
        <d v="2025-08-22T15:59:12"/>
        <d v="2025-08-22T15:59:20"/>
        <d v="2025-08-22T16:18:14"/>
        <d v="2025-08-22T16:56:12"/>
        <d v="2025-08-22T17:20:31"/>
        <d v="2025-08-22T17:54:33"/>
        <d v="2025-08-22T18:05:39"/>
        <d v="2025-08-23T10:02:57"/>
        <d v="2025-08-23T11:35:05"/>
        <d v="2025-08-25T10:10:29"/>
        <d v="2025-08-25T11:09:23"/>
        <d v="2025-08-25T11:25:11"/>
        <d v="2025-08-25T12:02:43"/>
        <d v="2025-08-25T12:02:54"/>
        <d v="2025-08-25T12:03:01"/>
        <d v="2025-08-25T12:08:16"/>
        <d v="2025-08-25T12:10:00"/>
        <d v="2025-08-25T12:36:51"/>
        <d v="2025-08-25T12:37:01"/>
        <d v="2025-08-25T12:59:30"/>
        <d v="2025-08-25T13:33:59"/>
        <d v="2025-08-25T13:34:03"/>
        <d v="2025-08-25T14:11:22"/>
        <d v="2025-08-25T14:38:15"/>
        <d v="2025-08-25T14:38:24"/>
        <d v="2025-08-25T15:00:41"/>
        <d v="2025-08-25T15:15:21"/>
        <d v="2025-08-25T15:28:27"/>
        <d v="2025-08-25T15:32:25"/>
        <d v="2025-08-25T15:41:22"/>
        <d v="2025-08-25T15:48:02"/>
        <d v="2025-08-25T17:15:06"/>
        <d v="2025-08-25T17:15:22"/>
        <d v="2025-08-25T17:15:30"/>
        <d v="2025-08-25T17:16:11"/>
        <d v="2025-08-26T13:20:56"/>
        <d v="2025-08-26T13:33:42"/>
        <d v="2025-08-26T13:39:03"/>
        <d v="2025-08-26T14:30:52"/>
        <d v="2025-08-27T12:09:30"/>
        <d v="2025-08-27T12:09:44"/>
        <d v="2025-08-27T13:11:57"/>
        <d v="2025-08-27T14:00:40"/>
        <d v="2025-08-27T17:59:40"/>
        <d v="2025-08-27T17:59:48"/>
        <d v="2025-08-27T18:00:54"/>
        <d v="2025-08-28T09:46:45"/>
        <d v="2025-08-28T10:53:35"/>
        <d v="2025-08-28T12:59:37"/>
        <d v="2025-08-28T14:58:51"/>
        <d v="2025-08-28T14:59:19"/>
        <d v="2025-08-28T14:59:31"/>
        <d v="2025-08-28T15:00:05"/>
        <d v="2025-08-29T09:46:02"/>
        <d v="2025-08-29T12:22:29"/>
        <d v="2025-08-29T12:44:35"/>
        <d v="2025-08-29T13:14:27"/>
        <d v="2025-08-29T13:46:39"/>
        <d v="2025-08-29T14:07:37"/>
        <d v="2025-08-29T14:40:17"/>
        <d v="2025-08-29T14:46:49"/>
        <d v="2025-08-29T15:53:15"/>
        <d v="2025-08-29T15:53:49"/>
        <d v="2025-08-29T15:54:36"/>
        <d v="2025-08-29T15:58:06"/>
        <d v="2025-08-30T11:39:58"/>
        <d v="2025-09-01T09:09:29"/>
        <d v="2025-09-01T10:23:00"/>
        <d v="2025-09-01T12:46:38"/>
        <d v="2025-09-01T12:46:52"/>
        <d v="2025-09-01T13:49:40"/>
        <d v="2025-09-01T13:49:51"/>
        <d v="2025-09-01T14:32:36"/>
        <d v="2025-09-01T15:07:25"/>
        <d v="2025-09-01T15:07:38"/>
        <d v="2025-09-01T15:07:49"/>
        <d v="2025-09-01T15:21:21"/>
        <d v="2025-09-01T15:21:32"/>
        <d v="2025-09-01T15:23:44"/>
        <d v="2025-09-01T15:47:37"/>
        <d v="2025-09-01T15:48:43"/>
        <d v="2025-09-01T16:09:13"/>
        <d v="2025-09-01T16:09:25"/>
        <d v="2025-09-01T17:32:01"/>
        <d v="2025-09-01T17:32:09"/>
        <d v="2025-09-01T17:42:24"/>
        <d v="2025-09-02T10:24:28"/>
        <d v="2025-09-02T10:46:36"/>
        <d v="2025-09-02T10:47:45"/>
        <d v="2025-09-02T10:49:27"/>
        <d v="2025-09-02T13:53:32"/>
        <d v="2025-09-02T14:56:51"/>
        <d v="2025-09-03T09:59:40"/>
        <d v="2025-09-03T10:41:25"/>
        <d v="2025-09-03T11:03:19"/>
        <d v="2025-09-03T12:08:08"/>
        <d v="2025-09-03T12:08:45"/>
        <d v="2025-09-03T12:59:07"/>
        <d v="2025-09-03T12:59:28"/>
        <d v="2025-09-03T17:59:39"/>
        <d v="2025-09-03T17:59:45"/>
        <d v="2025-09-03T18:00:00"/>
        <d v="2025-09-03T18:00:19"/>
        <d v="2025-09-04T09:10:22"/>
        <d v="2025-09-04T09:12:16"/>
        <d v="2025-09-04T09:46:14"/>
        <d v="2025-09-04T09:46:44"/>
        <d v="2025-09-04T12:59:27"/>
        <d v="2025-09-04T12:59:39"/>
        <d v="2025-09-05T14:03:00"/>
        <d v="2025-09-05T14:07:13"/>
        <d v="2025-09-05T14:07:40"/>
        <d v="2025-09-05T15:00:31"/>
        <d v="2025-09-05T15:00:53"/>
        <d v="2025-09-05T15:01:14"/>
        <d v="2025-09-05T16:00:25"/>
        <d v="2025-09-05T18:06:58"/>
        <d v="2025-09-05T18:07:08"/>
        <d v="2025-09-05T18:07:16"/>
        <d v="2025-09-05T18:07:23"/>
        <d v="2025-09-05T18:07:33"/>
        <d v="2025-09-05T18:07:44"/>
        <d v="2025-09-06T09:47:22"/>
        <d v="2025-09-06T09:47:44"/>
        <d v="2025-09-06T09:47:56"/>
        <d v="2025-09-06T10:51:24"/>
        <d v="2025-09-06T10:51:45"/>
        <d v="2025-09-06T11:25:36"/>
        <d v="2025-09-08T10:05:26"/>
        <d v="2025-09-08T10:26:05"/>
        <d v="2025-09-08T11:33:17"/>
        <d v="2025-09-08T12:27:14"/>
        <d v="2025-09-08T13:11:31"/>
        <d v="2025-09-08T13:12:43"/>
        <d v="2025-09-08T13:30:59"/>
        <d v="2025-09-08T13:31:09"/>
        <d v="2025-09-08T13:38:51"/>
        <d v="2025-09-08T14:37:35"/>
        <d v="2025-09-08T15:03:29"/>
        <d v="2025-09-08T15:25:33"/>
        <d v="2025-09-08T15:25:41"/>
        <d v="2025-09-08T15:25:46"/>
        <d v="2025-09-08T16:12:52"/>
        <d v="2025-09-08T16:45:44"/>
        <d v="2025-09-08T16:46:01"/>
        <d v="2025-09-08T17:03:01"/>
        <d v="2025-09-08T17:47:07"/>
        <d v="2025-09-09T12:17:12"/>
        <d v="2025-09-09T17:44:34"/>
        <d v="2025-09-09T17:44:40"/>
        <d v="2025-09-09T17:44:48"/>
        <d v="2025-09-09T17:44:56"/>
        <d v="2025-09-09T17:45:05"/>
        <d v="2025-09-09T17:45:12"/>
        <d v="2025-09-09T17:45:25"/>
        <d v="2025-09-10T10:17:08"/>
        <d v="2025-09-10T10:57:45"/>
        <d v="2025-09-10T11:07:06"/>
        <d v="2025-09-10T13:00:59"/>
        <d v="2025-09-10T14:30:41"/>
        <d v="2025-09-10T14:55:17"/>
        <d v="2025-09-12T10:09:43"/>
        <d v="2025-09-12T10:09:52"/>
        <d v="2025-09-12T12:11:18"/>
        <d v="2025-09-12T12:12:40"/>
        <d v="2025-09-12T12:26:44"/>
        <d v="2025-09-12T12:48:39"/>
        <d v="2025-09-12T14:04:59"/>
        <d v="2025-09-12T14:59:00"/>
        <d v="2025-09-12T14:59:07"/>
        <d v="2025-09-12T14:59:29"/>
        <d v="2025-09-12T14:59:46"/>
        <d v="2025-09-12T15:00:14"/>
        <d v="2025-09-12T15:48:49"/>
        <d v="2025-09-12T16:03:38"/>
        <d v="2025-09-12T16:04:18"/>
        <d v="2025-09-12T18:14:17"/>
        <d v="2025-09-12T18:14:44"/>
        <d v="2025-09-12T18:14:51"/>
        <d v="2025-09-12T18:15:02"/>
        <d v="2025-09-15T12:18:05"/>
        <d v="2025-09-15T12:31:22"/>
        <d v="2025-09-15T13:45:45"/>
        <d v="2025-09-15T14:33:09"/>
        <d v="2025-09-15T14:33:16"/>
        <d v="2025-09-15T15:08:38"/>
        <d v="2025-09-15T15:08:42"/>
        <d v="2025-09-15T15:25:29"/>
        <d v="2025-09-15T15:52:58"/>
        <d v="2025-09-15T16:01:26"/>
        <d v="2025-09-15T17:56:15"/>
        <d v="2025-09-15T17:57:14"/>
        <d v="2025-09-15T17:57:31"/>
        <d v="2025-09-15T17:57:53"/>
        <d v="2025-09-16T12:13:08"/>
        <d v="2025-09-16T12:26:54"/>
        <d v="2025-09-16T13:37:29"/>
        <d v="2025-09-16T14:14:28"/>
        <d v="2025-09-16T14:14:32"/>
        <d v="2025-09-16T14:55:06"/>
        <d v="2025-09-16T15:05:59"/>
        <d v="2025-09-16T17:57:14"/>
        <d v="2025-09-16T17:57:20"/>
        <d v="2025-09-16T17:57:29"/>
        <d v="2025-09-16T17:57:38"/>
        <d v="2025-09-16T17:57:46"/>
        <d v="2025-09-17T10:40:25"/>
        <d v="2025-09-17T10:40:44"/>
        <d v="2025-09-17T14:00:54"/>
        <d v="2025-09-17T14:28:09"/>
        <d v="2025-09-17T17:51:59"/>
        <d v="2025-09-17T17:52:31"/>
        <d v="2025-09-17T17:52:39"/>
        <d v="2025-09-18T09:22:54"/>
        <d v="2025-09-18T10:58:18"/>
        <d v="2025-09-18T12:46:58"/>
        <d v="2025-09-18T12:47:11"/>
        <d v="2025-09-18T12:55:32"/>
        <d v="2025-09-19T09:55:30"/>
        <d v="2025-09-19T12:32:05"/>
        <d v="2025-09-19T12:32:21"/>
        <d v="2025-09-19T14:09:19"/>
        <d v="2025-09-19T16:01:12"/>
        <d v="2025-09-20T11:02:54"/>
        <d v="2025-09-22T11:37:07"/>
        <d v="2025-09-22T11:37:26"/>
        <d v="2025-09-22T11:37:42"/>
        <d v="2025-09-22T11:37:54"/>
        <d v="2025-09-22T11:38:13"/>
        <d v="2025-09-22T11:59:38"/>
        <d v="2025-09-22T11:59:48"/>
        <d v="2025-09-22T12:04:30"/>
        <d v="2025-09-22T12:15:41"/>
        <d v="2025-09-22T12:15:49"/>
        <d v="2025-09-22T13:00:56"/>
        <d v="2025-09-22T13:38:14"/>
        <d v="2025-09-22T13:38:35"/>
        <d v="2025-09-22T13:40:15"/>
        <d v="2025-09-22T13:46:02"/>
        <d v="2025-09-22T14:03:01"/>
        <d v="2025-09-22T14:20:00"/>
        <d v="2025-09-22T14:55:26"/>
        <d v="2025-09-23T12:43:42"/>
        <d v="2025-09-23T12:43:53"/>
        <d v="2025-09-23T12:44:05"/>
        <d v="2025-09-23T12:50:07"/>
        <d v="2025-09-24T12:08:04"/>
        <d v="2025-09-24T12:08:19"/>
        <d v="2025-09-24T12:08:34"/>
        <d v="2025-09-24T13:00:24"/>
        <d v="2025-09-24T14:11:17"/>
        <d v="2025-09-24T14:49:45"/>
        <d v="2025-09-24T17:54:54"/>
        <d v="2025-09-24T17:55:01"/>
        <d v="2025-09-24T17:55:16"/>
        <d v="2025-09-24T17:55:39"/>
        <d v="2025-09-24T17:56:38"/>
        <d v="2025-09-25T11:25:23"/>
        <d v="2025-09-25T11:25:35"/>
        <d v="2025-09-25T11:55:21"/>
        <d v="2025-09-25T12:57:40"/>
        <d v="2025-09-25T13:48:53"/>
        <d v="2025-09-25T15:01:05"/>
        <d v="2025-09-25T17:53:28"/>
        <d v="2025-09-25T17:53:36"/>
        <d v="2025-09-25T17:53:43"/>
        <d v="2025-09-25T17:53:49"/>
        <d v="2025-09-25T17:54:11"/>
        <d v="2025-09-26T09:33:06"/>
        <d v="2025-09-26T11:13:03"/>
        <d v="2025-09-26T13:50:47"/>
        <d v="2025-09-26T17:55:36"/>
        <d v="2025-09-26T17:55:47"/>
        <d v="2025-09-26T17:55:57"/>
        <d v="2025-09-26T17:56:23"/>
        <d v="2025-09-26T17:56:36"/>
        <d v="2025-09-26T17:56:44"/>
        <d v="2025-09-26T17:56:56"/>
        <d v="2025-09-27T10:17:51"/>
        <d v="2025-09-27T10:18:39"/>
        <d v="2025-09-27T10:36:06"/>
        <d v="2025-09-27T10:42:24"/>
        <d v="2025-09-27T11:32:55"/>
        <d v="2025-09-29T12:33:35"/>
        <d v="2025-09-29T13:55:41"/>
        <d v="2025-09-29T13:55:46"/>
        <d v="2025-09-29T14:34:42"/>
        <d v="2025-09-29T14:48:40"/>
        <d v="2025-09-29T15:04:30"/>
        <d v="2025-09-29T15:57:14"/>
        <d v="2025-09-29T15:57:50"/>
        <d v="2025-09-29T15:58:02"/>
        <d v="2025-09-29T16:05:31"/>
        <d v="2025-09-29T16:36:38"/>
        <d v="2025-09-29T16:37:04"/>
        <d v="2025-09-30T12:14:00"/>
        <d v="2025-09-30T14:18:13"/>
        <d v="2025-09-30T14:36:40"/>
        <d v="2025-10-01T10:41:02"/>
        <d v="2025-10-01T10:55:10"/>
        <d v="2025-10-01T12:36:46"/>
        <d v="2025-10-01T12:37:13"/>
        <d v="2025-10-01T12:37:29"/>
        <d v="2025-10-01T14:38:25"/>
        <d v="2025-10-01T14:38:30"/>
        <d v="2025-10-01T15:01:25"/>
        <d v="2025-10-01T18:00:06"/>
        <d v="2025-10-01T18:00:12"/>
        <d v="2025-10-01T18:00:38"/>
        <d v="2025-10-01T18:00:50"/>
        <d v="2025-10-01T18:01:11"/>
        <d v="2025-10-02T09:24:51"/>
        <d v="2025-10-02T09:25:11"/>
        <d v="2025-10-02T09:53:50"/>
        <d v="2025-10-02T12:36:34"/>
        <d v="2025-10-02T12:36:54"/>
        <d v="2025-10-02T12:49:10"/>
        <d v="2025-10-02T14:23:35"/>
        <d v="2025-10-02T14:42:18"/>
        <d v="2025-10-02T14:56:38"/>
        <d v="2025-10-03T10:06:28"/>
        <d v="2025-10-03T11:59:53"/>
        <d v="2025-10-03T13:13:30"/>
        <d v="2025-10-03T14:07:08"/>
        <d v="2025-10-03T17:53:56"/>
        <d v="2025-10-03T17:54:02"/>
        <d v="2025-10-03T17:54:10"/>
        <d v="2025-10-03T17:54:25"/>
        <d v="2025-10-03T17:54:31"/>
        <d v="2025-10-03T17:54:38"/>
        <d v="2025-10-03T17:54:48"/>
        <d v="2025-10-03T17:55:02"/>
        <d v="2025-10-04T09:41:41"/>
        <d v="2025-10-04T11:04:31"/>
        <d v="2025-10-04T11:05:01"/>
        <d v="2025-10-04T12:15:51"/>
        <d v="2025-10-06T12:58:31"/>
        <d v="2025-10-06T13:09:09"/>
        <d v="2025-10-06T14:14:13"/>
        <d v="2025-10-06T14:14:48"/>
        <d v="2025-10-06T14:37:13"/>
        <d v="2025-10-06T14:53:27"/>
        <d v="2025-10-06T15:02:58"/>
        <d v="2025-10-06T15:13:24"/>
        <d v="2025-10-07T14:16:12"/>
        <d v="2025-10-07T14:17:01"/>
        <d v="2025-10-07T14:34:35"/>
        <d v="2025-10-07T14:58:11"/>
        <d v="2025-10-07T17:48:53"/>
        <d v="2025-10-07T17:49:07"/>
        <d v="2025-10-07T17:49:37"/>
        <d v="2025-10-08T11:36:28"/>
        <d v="2025-10-08T14:59:03"/>
        <d v="2025-10-08T17:52:49"/>
        <d v="2025-10-08T17:52:58"/>
        <d v="2025-10-08T17:53:09"/>
        <d v="2025-10-08T17:53:31"/>
        <d v="2025-10-09T09:14:53"/>
        <d v="2025-10-09T09:30:51"/>
        <d v="2025-10-09T09:30:58"/>
        <d v="2025-10-09T09:55:36"/>
        <d v="2025-10-09T10:03:52"/>
        <d v="2025-10-09T10:40:43"/>
        <d v="2025-10-09T14:20:26"/>
        <d v="2025-10-09T15:04:01"/>
        <d v="2025-10-10T09:54:08"/>
        <d v="2025-10-10T11:56:51"/>
        <d v="2025-10-10T12:40:18"/>
        <d v="2025-10-10T13:08:53"/>
        <d v="2025-10-10T16:01:34"/>
        <d v="2025-10-10T16:01:45"/>
        <d v="2025-10-10T16:01:53"/>
        <d v="2025-10-11T11:58:10"/>
        <d v="2025-10-11T11:58:18"/>
        <d v="2025-10-11T11:58:29"/>
        <d v="2025-10-13T10:42:09"/>
        <d v="2025-10-13T10:42:25"/>
        <d v="2025-10-13T10:58:48"/>
        <d v="2025-10-13T11:31:28"/>
        <d v="2025-10-13T12:07:42"/>
        <d v="2025-10-13T12:07:59"/>
        <d v="2025-10-13T12:08:18"/>
        <d v="2025-10-13T13:28:46"/>
        <d v="2025-10-13T13:28:52"/>
        <d v="2025-10-13T13:37:59"/>
        <d v="2025-10-13T13:40:42"/>
        <d v="2025-10-13T14:03:35"/>
        <d v="2025-10-13T14:26:11"/>
        <d v="2025-10-13T14:59:33"/>
        <d v="2025-10-13T15:06:53"/>
        <d v="2025-10-13T15:29:54"/>
        <d v="2025-10-13T15:42:46"/>
        <d v="2025-10-13T15:42:58"/>
        <d v="2025-10-13T15:54:21"/>
        <d v="2025-10-13T17:05:44"/>
        <d v="2025-10-14T14:22:27"/>
        <d v="2025-10-14T14:40:05"/>
        <d v="2025-10-14T14:40:13"/>
        <d v="2025-10-14T15:18:15"/>
        <d v="2025-10-14T17:56:02"/>
        <d v="2025-10-14T17:56:09"/>
        <d v="2025-10-14T17:56:16"/>
        <d v="2025-10-15T10:02:00"/>
        <d v="2025-10-15T10:45:57"/>
        <d v="2025-10-15T12:00:57"/>
        <d v="2025-10-15T12:01:33"/>
        <d v="2025-10-15T13:59:27"/>
        <d v="2025-10-15T13:59:41"/>
        <d v="2025-10-15T14:28:06"/>
        <d v="2025-10-15T14:28:53"/>
        <d v="2025-10-15T14:35:14"/>
        <d v="2025-10-15T17:58:16"/>
        <d v="2025-10-15T17:58:23"/>
        <d v="2025-10-15T17:58:30"/>
        <d v="2025-10-15T17:58:42"/>
        <d v="2025-10-15T17:58:53"/>
        <d v="2025-10-16T09:24:39"/>
        <d v="2025-10-16T11:57:24"/>
        <d v="2025-10-16T11:57:35"/>
        <d v="2025-10-16T11:57:49"/>
        <d v="2025-10-16T11:58:08"/>
        <d v="2025-10-16T11:58:32"/>
        <d v="2025-10-16T12:56:20"/>
        <d v="2025-10-16T15:09:15"/>
        <d v="2025-10-17T14:05:34"/>
        <d v="2025-10-17T14:05:49"/>
        <d v="2025-10-17T15:32:27"/>
        <d v="2025-10-17T15:32:55"/>
        <d v="2025-10-17T15:33:36"/>
        <d v="2025-10-17T15:59:23"/>
        <d v="2025-10-17T17:59:32"/>
        <d v="2025-10-17T17:59:38"/>
        <d v="2025-10-17T17:59:46"/>
        <d v="2025-10-17T17:59:55"/>
        <d v="2025-10-17T18:00:00"/>
        <d v="2025-10-20T10:54:36"/>
        <d v="2025-10-20T10:54:57"/>
        <d v="2025-10-20T10:55:25"/>
        <d v="2025-10-20T10:56:11"/>
        <d v="2025-10-20T11:05:16"/>
        <d v="2025-10-20T12:35:49"/>
        <d v="2025-10-20T14:38:10"/>
        <d v="2025-10-20T14:38:18"/>
        <d v="2025-10-20T14:38:25"/>
        <d v="2025-10-20T14:52:54"/>
        <d v="2025-10-20T15:02:32"/>
        <d v="2025-10-20T15:06:06"/>
        <d v="2025-10-20T15:25:38"/>
        <d v="2025-10-20T15:25:51"/>
        <d v="2025-10-20T15:47:27"/>
        <d v="2025-10-20T15:47:35"/>
        <d v="2025-10-21T16:17:40"/>
        <d v="2025-10-21T16:17:54"/>
        <d v="2025-10-21T16:27:12"/>
        <d v="2025-10-22T10:31:42"/>
        <d v="2025-10-22T12:55:18"/>
        <d v="2025-10-22T12:59:18"/>
        <d v="2025-10-22T13:36:03"/>
        <d v="2025-10-22T13:36:29"/>
        <d v="2025-10-22T14:38:57"/>
        <d v="2025-10-22T14:39:02"/>
        <d v="2025-10-22T14:57:04"/>
        <d v="2025-10-24T09:45:10"/>
        <d v="2025-10-24T09:45:33"/>
        <d v="2025-10-24T09:53:10"/>
        <d v="2025-10-24T10:10:36"/>
        <d v="2025-10-24T10:10:46"/>
        <d v="2025-10-24T11:15:34"/>
        <d v="2025-10-24T11:22:21"/>
        <d v="2025-10-24T11:22:29"/>
        <d v="2025-10-24T11:41:07"/>
        <d v="2025-10-24T12:28:38"/>
        <d v="2025-10-24T12:55:02"/>
        <d v="2025-10-24T14:20:24"/>
        <d v="2025-10-24T14:27:00"/>
        <d v="2025-10-24T14:56:12"/>
        <d v="2025-10-25T09:21:59"/>
        <d v="2025-10-25T09:31:46"/>
        <d v="2025-10-25T11:15:48"/>
        <d v="2025-10-25T11:15:54"/>
        <d v="2025-10-25T11:25:40"/>
        <d v="2025-10-25T11:26:19"/>
        <d v="2025-10-27T09:45:25"/>
        <d v="2025-10-27T09:46:30"/>
        <d v="2025-10-27T11:52:05"/>
        <d v="2025-10-27T11:52:16"/>
        <d v="2025-10-27T12:01:28"/>
        <d v="2025-10-27T12:15:15"/>
        <d v="2025-10-27T12:36:26"/>
        <d v="2025-10-27T14:00:16"/>
        <d v="2025-10-27T14:00:24"/>
        <d v="2025-10-27T14:00:29"/>
        <d v="2025-10-27T15:01:02"/>
        <d v="2025-10-27T15:01:35"/>
        <d v="2025-10-27T15:19:25"/>
        <d v="2025-10-27T15:32:42"/>
        <d v="2025-10-27T15:32:51"/>
        <d v="2025-10-27T15:35:53"/>
        <d v="2025-10-27T15:43:47"/>
        <d v="2025-10-27T15:44:01"/>
        <d v="2025-10-27T15:44:07"/>
        <d v="2025-10-27T15:44:19"/>
        <d v="2025-10-27T15:53:11"/>
        <d v="2025-10-27T16:25:38"/>
        <d v="2025-10-27T17:57:59"/>
        <d v="2025-10-27T17:58:06"/>
        <d v="2025-10-27T17:58:17"/>
        <d v="2025-10-27T17:58:31"/>
        <d v="2025-10-27T17:58:38"/>
        <d v="2025-10-27T17:58:56"/>
        <d v="2025-10-28T09:39:13"/>
        <d v="2025-10-28T11:53:34"/>
        <d v="2025-10-28T11:54:16"/>
        <d v="2025-10-28T13:09:10"/>
        <d v="2025-10-28T13:34:29"/>
        <d v="2025-10-28T13:55:58"/>
        <d v="2025-10-28T13:56:17"/>
        <d v="2025-10-28T14:12:42"/>
        <d v="2025-10-28T14:12:50"/>
        <d v="2025-10-28T14:13:11"/>
        <d v="2025-10-28T14:20:12"/>
        <d v="2025-10-28T14:57:30"/>
        <d v="2025-10-28T16:04:10"/>
        <d v="2025-10-28T16:05:03"/>
        <d v="2025-10-29T09:12:49"/>
        <d v="2025-10-29T09:24:23"/>
        <d v="2025-10-29T12:40:18"/>
        <d v="2025-10-29T12:49:41"/>
        <d v="2025-10-29T12:57:57"/>
        <d v="2025-10-29T13:44:39"/>
        <d v="2025-10-29T14:27:19"/>
        <d v="2025-10-29T14:27:38"/>
        <d v="2025-10-29T17:17:59"/>
        <d v="2025-10-29T17:18:05"/>
        <d v="2025-10-29T17:18:12"/>
        <d v="2025-10-29T17:18:31"/>
        <d v="2025-10-30T10:41:53"/>
        <d v="2025-10-30T10:42:23"/>
        <d v="2025-10-30T11:30:44"/>
        <d v="2025-10-30T14:33:17"/>
        <d v="2025-10-30T14:45:15"/>
        <d v="2025-10-30T14:57:27"/>
        <d v="2025-10-30T18:00:14"/>
        <d v="2025-10-30T18:00:20"/>
        <d v="2025-10-31T09:00:57"/>
        <d v="2025-10-31T09:54:33"/>
        <d v="2025-10-31T10:05:34"/>
        <d v="2025-10-31T11:32:01"/>
        <d v="2025-10-31T12:51:25"/>
        <d v="2025-10-31T14:55:03"/>
        <d v="2025-10-31T15:56:43"/>
        <d v="2025-10-31T15:58:28"/>
        <d v="2025-10-31T17:54:58"/>
        <d v="2025-10-31T17:55:06"/>
        <d v="2025-10-31T17:55:12"/>
        <d v="2025-11-01T10:21:20"/>
        <d v="2025-11-03T11:29:45"/>
        <d v="2025-11-03T11:29:56"/>
        <d v="2025-11-03T11:30:22"/>
        <d v="2025-11-03T11:30:35"/>
        <d v="2025-11-03T11:38:01"/>
        <d v="2025-11-03T13:41:55"/>
        <d v="2025-11-03T13:48:49"/>
        <d v="2025-11-03T14:10:34"/>
        <d v="2025-11-03T14:12:58"/>
        <d v="2025-11-03T14:58:48"/>
        <d v="2025-11-03T15:13:12"/>
        <d v="2025-11-03T15:23:29"/>
        <d v="2025-11-03T15:56:20"/>
        <d v="2025-11-03T16:49:25"/>
        <d v="2025-11-03T18:18:46"/>
        <d v="2025-11-04T11:17:47"/>
        <d v="2025-11-04T11:18:06"/>
        <d v="2025-11-04T11:18:27"/>
        <d v="2025-11-04T11:31:52"/>
        <d v="2025-11-04T13:41:56"/>
        <d v="2025-11-04T14:00:35"/>
        <d v="2025-11-04T14:17:29"/>
        <d v="2025-11-04T15:01:34"/>
        <d v="2025-11-04T17:59:20"/>
        <d v="2025-11-04T17:59:25"/>
        <d v="2025-11-04T17:59:34"/>
        <d v="2025-11-04T17:59:43"/>
        <d v="2025-11-05T10:21:50"/>
        <d v="2025-11-05T10:26:18"/>
        <d v="2025-11-05T11:03:46"/>
        <d v="2025-11-05T11:55:35"/>
        <d v="2025-11-05T12:55:17"/>
        <d v="2025-11-05T12:55:57"/>
        <d v="2025-11-05T12:56:24"/>
        <d v="2025-11-05T14:49:16"/>
        <d v="2025-11-05T14:49:27"/>
        <d v="2025-11-05T14:49:30"/>
        <d v="2025-11-05T15:02:09"/>
        <d v="2025-11-05T16:54:31"/>
        <d v="2025-11-05T16:54:57"/>
        <d v="2025-11-05T17:39:37"/>
        <d v="2025-11-06T09:56:57"/>
        <d v="2025-11-06T10:59:16"/>
        <d v="2025-11-06T10:59:26"/>
        <d v="2025-11-06T11:28:25"/>
        <d v="2025-11-06T11:29:16"/>
        <d v="2025-11-06T12:03:27"/>
        <d v="2025-11-06T13:54:56"/>
        <d v="2025-11-06T14:05:18"/>
        <d v="2025-11-06T14:14:57"/>
        <d v="2025-11-06T17:47:29"/>
        <d v="2025-11-06T17:47:35"/>
        <d v="2025-11-06T17:47:43"/>
        <d v="2025-11-06T17:47:49"/>
        <d v="2025-11-06T17:48:54"/>
        <d v="2025-11-06T17:49:07"/>
        <d v="2025-11-07T11:58:06"/>
        <d v="2025-11-07T11:58:14"/>
        <d v="2025-11-07T12:12:20"/>
        <d v="2025-11-07T14:56:25"/>
        <d v="2025-11-07T14:56:37"/>
        <d v="2025-11-07T14:56:59"/>
        <d v="2025-11-07T14:57:18"/>
        <d v="2025-11-07T15:03:32"/>
        <d v="2025-11-07T15:13:11"/>
        <d v="2025-11-07T15:43:04"/>
        <d v="2025-11-07T15:43:12"/>
        <d v="2025-11-07T18:00:39"/>
        <d v="2025-11-07T18:00:49"/>
        <d v="2025-11-08T10:37:41"/>
        <d v="2025-11-08T10:38:49"/>
        <d v="2025-11-08T11:11:42"/>
        <d v="2025-11-10T11:39:44"/>
        <d v="2025-11-10T13:04:35"/>
        <d v="2025-11-10T13:47:00"/>
        <d v="2025-11-10T13:48:23"/>
        <d v="2025-11-10T14:11:01"/>
        <d v="2025-11-10T14:56:29"/>
        <d v="2025-11-10T14:56:52"/>
        <d v="2025-11-10T14:56:59"/>
        <d v="2025-11-10T15:18:13"/>
        <d v="2025-11-10T15:36:46"/>
        <d v="2025-11-10T15:43:35"/>
        <d v="2025-11-11T10:45:27"/>
        <d v="2025-11-11T10:59:38"/>
        <d v="2025-11-11T12:18:14"/>
        <d v="2025-11-11T12:18:23"/>
        <d v="2025-11-11T12:52:41"/>
        <d v="2025-11-11T16:46:07"/>
        <d v="2025-11-11T16:46:20"/>
        <d v="2025-11-11T16:46:28"/>
        <d v="2025-11-11T16:46:35"/>
        <d v="2025-11-12T12:52:27"/>
        <d v="2025-11-12T14:02:41"/>
        <d v="2025-11-12T15:01:14"/>
        <d v="2025-11-12T18:08:15"/>
        <d v="2025-11-12T18:08:25"/>
        <d v="2025-11-12T18:08:35"/>
        <d v="2025-11-12T18:08:40"/>
        <d v="2025-11-12T18:08:46"/>
        <d v="2025-11-13T09:28:50"/>
        <d v="2025-11-13T09:31:33"/>
        <d v="2025-11-13T09:47:52"/>
        <d v="2025-11-13T09:48:00"/>
        <d v="2025-11-13T09:48:24"/>
        <d v="2025-11-13T10:52:23"/>
        <d v="2025-11-13T10:52:35"/>
        <d v="2025-11-13T10:52:48"/>
        <d v="2025-11-13T14:09:43"/>
        <d v="2025-11-13T14:12:46"/>
        <d v="2025-11-13T14:31:00"/>
        <d v="2025-11-13T14:42:45"/>
        <d v="2025-11-13T14:52:38"/>
        <d v="2025-11-13T17:55:20"/>
        <d v="2025-11-13T17:55:30"/>
        <d v="2025-11-13T17:55:36"/>
        <d v="2025-11-13T17:55:42"/>
        <d v="2025-11-13T17:55:52"/>
        <d v="2025-11-14T09:43:58"/>
        <d v="2025-11-14T12:13:30"/>
        <d v="2025-11-14T12:13:40"/>
        <d v="2025-11-14T13:52:31"/>
        <d v="2025-11-14T14:14:44"/>
        <d v="2025-11-14T14:17:23"/>
        <d v="2025-11-14T15:25:13"/>
        <d v="2025-11-14T15:25:21"/>
        <d v="2025-11-14T15:25:30"/>
        <d v="2025-11-17T09:46:31"/>
        <d v="2025-11-17T09:46:37"/>
        <d v="2025-11-17T09:46:57"/>
        <d v="2025-11-17T10:01:33"/>
        <d v="2025-11-17T10:34:58"/>
        <d v="2025-11-17T13:01:46"/>
        <d v="2025-11-17T13:02:01"/>
        <d v="2025-11-17T13:27:51"/>
        <d v="2025-11-17T14:00:46"/>
        <d v="2025-11-17T14:06:58"/>
        <d v="2025-11-17T14:27:48"/>
        <d v="2025-11-17T14:57:12"/>
        <d v="2025-11-17T15:29:45"/>
        <d v="2025-11-19T11:06:24"/>
        <d v="2025-11-19T14:53:09"/>
        <d v="2025-11-19T14:53:25"/>
        <d v="2025-11-19T14:53:34"/>
        <d v="2025-11-19T14:53:44"/>
        <d v="2025-11-19T14:54:00"/>
        <d v="2025-11-20T10:56:27"/>
        <d v="2025-11-20T10:56:42"/>
        <d v="2025-11-20T12:09:25"/>
        <d v="2025-11-20T13:04:57"/>
        <d v="2025-11-20T14:03:13"/>
        <d v="2025-11-20T14:09:49"/>
        <d v="2025-11-20T14:42:35"/>
        <d v="2025-11-20T14:42:55"/>
        <d v="2025-11-20T14:43:05"/>
        <d v="2025-11-21T09:25:38"/>
        <d v="2025-11-21T09:25:55"/>
        <d v="2025-11-21T09:35:58"/>
        <d v="2025-11-21T11:38:21"/>
        <d v="2025-11-21T11:38:42"/>
        <d v="2025-11-21T11:38:51"/>
        <d v="2025-11-21T12:00:41"/>
        <d v="2025-11-21T15:58:41"/>
        <d v="2025-11-21T15:58:51"/>
        <d v="2025-11-21T15:59:03"/>
        <d v="2025-11-21T15:59:10"/>
        <d v="2025-11-24T10:41:18"/>
        <d v="2025-11-24T11:55:14"/>
        <d v="2025-11-24T11:55:34"/>
        <d v="2025-11-24T11:55:48"/>
        <d v="2025-11-24T13:17:54"/>
        <d v="2025-11-24T13:33:26"/>
        <d v="2025-11-24T14:19:52"/>
        <d v="2025-11-24T14:20:18"/>
        <d v="2025-11-24T15:11:59"/>
        <d v="2025-11-24T15:12:14"/>
        <d v="2025-11-24T15:21:53"/>
        <d v="2025-11-24T15:39:10"/>
        <d v="2025-11-24T15:53:42"/>
        <d v="2025-11-25T12:16:17"/>
        <d v="2025-11-25T13:00:59"/>
        <d v="2025-11-25T14:03:57"/>
        <d v="2025-11-25T14:31:54"/>
        <d v="2025-11-25T14:39:50"/>
        <d v="2025-11-25T14:47:04"/>
        <d v="2025-11-25T14:59:13"/>
        <d v="2025-11-25T14:59:23"/>
        <d v="2025-11-25T18:07:15"/>
        <d v="2025-11-25T18:07:22"/>
        <d v="2025-11-25T18:07:32"/>
        <d v="2025-11-25T18:07:44"/>
        <d v="2025-11-26T11:37:14"/>
        <d v="2025-11-26T12:16:10"/>
        <d v="2025-11-26T12:44:00"/>
        <d v="2025-11-26T12:56:28"/>
        <d v="2025-11-26T14:32:36"/>
        <d v="2025-11-26T18:02:13"/>
        <d v="2025-11-26T18:02:18"/>
        <d v="2025-11-26T18:02:24"/>
        <d v="2025-11-26T18:02:30"/>
        <d v="2025-11-27T09:07:11"/>
        <d v="2025-11-27T10:59:30"/>
        <d v="2025-11-27T14:14:58"/>
        <d v="2025-11-28T11:05:20"/>
        <d v="2025-11-28T11:09:05"/>
        <d v="2025-11-28T11:12:30"/>
        <d v="2025-11-28T11:49:21"/>
        <d v="2025-11-28T12:13:27"/>
        <d v="2025-11-28T12:22:10"/>
        <d v="2025-11-28T12:27:55"/>
        <d v="2025-11-28T13:55:03"/>
        <d v="2025-11-28T15:58:10"/>
        <d v="2025-11-28T15:58:39"/>
        <d v="2025-11-28T15:58:56"/>
        <d v="2025-11-29T11:28:17"/>
        <d v="2025-11-29T11:28:29"/>
        <d v="2025-12-01T09:09:34"/>
        <d v="2025-12-01T09:24:39"/>
        <d v="2025-12-01T10:12:33"/>
        <d v="2025-12-01T10:58:16"/>
        <d v="2025-12-01T11:00:58"/>
        <d v="2025-12-01T11:09:39"/>
        <d v="2025-12-01T11:09:53"/>
        <d v="2025-12-01T11:18:21"/>
        <d v="2025-12-01T11:30:17"/>
        <d v="2025-12-01T12:33:38"/>
        <d v="2025-12-01T12:36:13"/>
        <d v="2025-12-01T13:24:18"/>
        <d v="2025-12-01T13:51:27"/>
        <d v="2025-12-01T14:15:28"/>
        <d v="2025-12-01T15:43:38"/>
        <d v="2025-12-01T16:08:20"/>
        <d v="2025-12-01T16:31:06"/>
        <d v="2025-12-01T16:44:00"/>
        <d v="2025-12-01T16:44:18"/>
        <d v="2025-12-01T16:59:50"/>
        <d v="2025-12-02T13:10:54"/>
        <d v="2025-12-02T14:15:18"/>
        <d v="2025-12-02T14:50:52"/>
        <d v="2025-12-02T15:04:51"/>
        <d v="2025-12-02T17:19:10"/>
        <d v="2025-12-02T17:19:59"/>
        <d v="2025-12-02T17:20:11"/>
        <d v="2025-12-02T17:21:39"/>
        <d v="2025-12-02T17:26:33"/>
        <d v="2025-12-03T09:35:24"/>
        <d v="2025-12-03T14:02:46"/>
        <d v="2025-12-03T14:58:27"/>
        <d v="2025-12-03T14:58:58"/>
        <d v="2025-12-03T17:14:58"/>
        <d v="2025-12-03T17:15:26"/>
        <d v="2025-12-03T17:15:46"/>
        <d v="2025-12-03T17:15:54"/>
        <d v="2025-12-03T17:16:02"/>
        <d v="2025-12-04T10:31:10"/>
        <d v="2025-12-04T10:31:18"/>
        <d v="2025-12-04T12:00:26"/>
        <d v="2025-12-04T12:43:41"/>
        <d v="2025-12-04T12:51:21"/>
        <d v="2025-12-04T13:12:00"/>
        <d v="2025-12-04T13:12:13"/>
        <d v="2025-12-04T13:42:48"/>
        <d v="2025-12-04T14:46:34"/>
        <d v="2025-12-04T15:17:24"/>
        <d v="2025-12-04T15:17:51"/>
        <d v="2025-12-04T15:18:01"/>
        <d v="2025-12-04T15:25:03"/>
        <d v="2025-12-04T15:27:46"/>
        <d v="2025-12-04T17:01:55"/>
        <d v="2025-12-04T17:33:14"/>
        <d v="2025-12-05T10:31:48"/>
        <d v="2025-12-05T10:55:43"/>
        <d v="2025-12-05T11:41:36"/>
        <d v="2025-12-05T12:06:52"/>
        <d v="2025-12-05T12:26:15"/>
        <d v="2025-12-05T13:14:20"/>
        <d v="2025-12-05T13:39:10"/>
        <d v="2025-12-05T14:28:53"/>
        <d v="2025-12-05T16:23:52"/>
        <d v="2025-12-05T16:24:00"/>
        <d v="2025-12-05T16:24:23"/>
        <d v="2025-12-05T16:24:38"/>
        <d v="2025-12-05T17:28:24"/>
        <d v="2025-12-05T17:28:31"/>
        <d v="2025-12-05T17:28:38"/>
        <d v="2025-12-08T09:29:55"/>
        <d v="2025-12-08T10:15:11"/>
        <d v="2025-12-08T10:17:11"/>
        <d v="2025-12-08T11:12:25"/>
        <d v="2025-12-08T11:20:27"/>
        <d v="2025-12-08T12:27:53"/>
        <d v="2025-12-08T12:45:44"/>
        <d v="2025-12-08T12:59:28"/>
        <d v="2025-12-08T14:08:23"/>
        <d v="2025-12-08T14:42:50"/>
        <d v="2025-12-08T14:43:07"/>
        <d v="2025-12-08T14:50:32"/>
        <d v="2025-12-08T14:52:48"/>
        <d v="2025-12-08T15:05:34"/>
        <d v="2025-12-08T15:13:52"/>
        <d v="2025-12-08T16:46:06"/>
        <d v="2025-12-08T16:53:22"/>
        <d v="2025-12-08T17:18:56"/>
        <d v="2025-12-08T17:19:34"/>
        <d v="2025-12-09T12:04:38"/>
        <d v="2025-12-09T12:09:41"/>
        <d v="2025-12-09T12:40:57"/>
        <d v="2025-12-09T17:44:27"/>
        <d v="2025-12-09T17:44:40"/>
        <d v="2025-12-09T17:45:17"/>
        <d v="2025-12-10T11:56:20"/>
        <d v="2025-12-10T11:56:30"/>
        <d v="2025-12-10T12:15:07"/>
        <d v="2025-12-10T12:33:41"/>
        <d v="2025-12-10T14:19:11"/>
        <d v="2025-12-10T14:44:34"/>
        <d v="2025-12-10T14:57:48"/>
        <d v="2025-12-10T17:54:29"/>
        <d v="2025-12-10T17:54:41"/>
        <d v="2025-12-10T17:54:46"/>
        <d v="2025-12-10T17:54:56"/>
        <d v="2025-12-11T10:08:01"/>
        <d v="2025-12-11T12:01:22"/>
        <d v="2025-12-11T12:31:37"/>
        <d v="2025-12-11T12:45:26"/>
        <d v="2025-12-11T12:55:10"/>
        <d v="2025-12-11T15:10:28"/>
        <d v="2025-12-11T15:10:31"/>
        <d v="2025-12-11T15:10:51"/>
        <d v="2025-12-11T15:27:48"/>
        <d v="2025-12-11T15:27:53"/>
        <d v="2025-12-11T15:57:56"/>
        <d v="2025-12-12T11:00:27"/>
        <d v="2025-12-12T11:36:33"/>
        <d v="2025-12-12T12:31:52"/>
        <d v="2025-12-12T12:32:01"/>
        <d v="2025-12-12T12:35:00"/>
        <d v="2025-12-12T17:54:16"/>
        <d v="2025-12-12T17:54:31"/>
        <d v="2025-12-12T17:54:39"/>
        <d v="2025-12-12T17:54:57"/>
        <d v="2025-12-12T17:55:03"/>
        <d v="2025-12-12T17:55:13"/>
        <d v="2025-12-12T17:55:24"/>
        <d v="2025-12-13T09:28:41"/>
        <d v="2025-12-13T10:27:11"/>
        <d v="2025-12-13T10:27:22"/>
        <d v="2025-12-13T11:27:52"/>
        <d v="2025-12-13T11:28:18"/>
        <d v="2025-12-15T13:17:30"/>
        <d v="2025-12-15T13:17:35"/>
        <d v="2025-12-15T13:22:14"/>
        <d v="2025-12-15T13:36:32"/>
        <d v="2025-12-15T14:15:47"/>
        <d v="2025-12-15T14:28:47"/>
        <d v="2025-12-15T14:28:55"/>
        <d v="2025-12-15T15:37:51"/>
        <d v="2025-12-15T15:51:21"/>
        <d v="2025-12-15T15:51:34"/>
        <d v="2025-12-16T12:23:07"/>
        <d v="2025-12-16T12:25:04"/>
        <d v="2025-12-16T13:19:19"/>
        <d v="2025-12-16T13:19:22"/>
        <d v="2025-12-16T14:40:28"/>
        <d v="2025-12-16T14:40:48"/>
        <d v="2025-12-17T10:08:20"/>
        <d v="2025-12-17T10:36:37"/>
        <d v="2025-12-17T10:53:39"/>
        <d v="2025-12-17T14:00:50"/>
        <d v="2025-12-18T09:28:14"/>
        <d v="2025-12-18T12:49:33"/>
        <d v="2025-12-18T12:54:57"/>
        <d v="2025-12-18T12:55:32"/>
        <d v="2025-12-18T13:59:19"/>
        <d v="2025-12-18T15:00:19"/>
        <d v="2025-12-19T14:58:13"/>
        <d v="2025-12-19T14:58:29"/>
        <d v="2025-12-19T14:58:41"/>
        <d v="2025-12-19T14:59:03"/>
        <d v="2025-12-19T14:59:23"/>
        <d v="2025-12-19T14:59:36"/>
        <d v="2025-12-19T15:18:55"/>
        <d v="2025-12-19T15:41:36"/>
        <d v="2025-12-19T15:42:00"/>
        <d v="2025-12-22T12:26:26"/>
        <d v="2025-12-22T14:01:12"/>
        <d v="2025-12-22T15:43:13"/>
        <d v="2025-12-22T15:43:22"/>
        <d v="2025-12-22T16:24:15"/>
        <d v="2025-12-22T16:24:40"/>
        <d v="2025-12-22T16:48:27"/>
        <d v="2025-12-23T13:23:50"/>
        <d v="2025-12-23T13:40:47"/>
        <d v="2025-12-23T14:41:53"/>
        <d v="2025-12-23T14:57:18"/>
        <d v="2025-12-24T09:06:55"/>
        <d v="2025-12-24T09:14:30"/>
        <d v="2025-12-24T09:57:48"/>
        <d v="2025-12-24T12:20:46"/>
        <d v="2025-12-24T12:57:43"/>
        <d v="2025-12-24T14:05:33"/>
        <d v="2025-12-24T14:34:00"/>
        <d v="2025-12-24T14:50:10"/>
        <d v="2026-01-02T09:46:42" u="1"/>
        <d v="2026-01-02T09:49:34" u="1"/>
        <d v="2026-01-02T12:32:16" u="1"/>
        <d v="2026-01-02T13:06:05" u="1"/>
        <d v="2026-01-02T13:30:45" u="1"/>
        <d v="2026-01-02T13:30:55" u="1"/>
        <d v="2026-01-02T14:25:24" u="1"/>
        <d v="2026-01-02T16:57:56" u="1"/>
        <d v="2026-01-02T16:58:04" u="1"/>
        <d v="2026-01-03T10:20:35" u="1"/>
        <d v="2026-01-03T10:21:13" u="1"/>
        <d v="2026-01-03T10:21:58" u="1"/>
        <d v="2026-01-03T11:53:27" u="1"/>
        <d v="2026-01-05T09:43:55" u="1"/>
        <d v="2026-01-05T09:44:04" u="1"/>
        <d v="2026-01-05T10:20:05" u="1"/>
        <d v="2026-01-05T10:55:40" u="1"/>
        <d v="2026-01-05T11:06:56" u="1"/>
        <d v="2026-01-05T13:19:51" u="1"/>
        <d v="2026-01-05T13:41:36" u="1"/>
        <d v="2026-01-05T14:50:02" u="1"/>
        <d v="2026-01-05T15:38:14" u="1"/>
        <d v="2026-01-05T15:58:42" u="1"/>
        <d v="2026-01-05T16:51:18" u="1"/>
        <d v="2026-01-05T16:52:54" u="1"/>
        <d v="2026-01-06T12:02:46" u="1"/>
        <d v="2026-01-06T12:03:12" u="1"/>
        <d v="2026-01-06T12:19:27" u="1"/>
        <d v="2026-01-06T12:22:25" u="1"/>
        <d v="2026-01-06T12:57:23" u="1"/>
        <d v="2026-01-06T14:59:43" u="1"/>
        <d v="2026-01-06T14:59:49" u="1"/>
        <d v="2026-01-07T09:33:04" u="1"/>
        <d v="2026-01-07T10:16:46" u="1"/>
        <d v="2026-01-07T10:46:21" u="1"/>
        <d v="2026-01-07T10:47:39" u="1"/>
        <d v="2026-01-07T14:01:41" u="1"/>
        <d v="2026-01-07T14:01:52" u="1"/>
        <d v="2026-01-07T14:25:02" u="1"/>
        <d v="2026-01-08T09:17:34" u="1"/>
        <d v="2026-01-08T11:10:00" u="1"/>
        <d v="2026-01-08T12:05:34" u="1"/>
        <d v="2026-01-08T12:06:27" u="1"/>
        <d v="2026-01-08T12:45:04" u="1"/>
        <d v="2026-01-08T12:45:29" u="1"/>
        <d v="2026-01-08T12:47:39" u="1"/>
        <d v="2026-01-08T13:37:32" u="1"/>
        <d v="2026-01-08T14:52:45" u="1"/>
        <d v="2026-01-08T14:53:00" u="1"/>
        <d v="2026-01-08T14:53:14" u="1"/>
        <d v="2026-01-08T14:53:21" u="1"/>
        <d v="2026-01-08T14:59:19" u="1"/>
        <d v="2026-01-09T12:52:11" u="1"/>
        <d v="2026-01-09T12:52:18" u="1"/>
        <d v="2026-01-09T13:56:45" u="1"/>
        <d v="2026-01-09T13:56:49" u="1"/>
        <d v="2026-01-09T13:57:55" u="1"/>
        <d v="2026-01-09T13:59:10" u="1"/>
        <d v="2026-01-09T15:22:06" u="1"/>
        <d v="2026-01-09T14:45:04" u="1"/>
        <d v="2026-01-09T15:50:36" u="1"/>
        <d v="2026-01-09T15:56:21" u="1"/>
        <d v="2026-01-09T17:03:01" u="1"/>
        <d v="2026-01-09T17:03:09" u="1"/>
        <d v="2026-01-09T17:03:19" u="1"/>
        <d v="2026-01-09T17:53:01" u="1"/>
        <d v="2026-01-10T09:21:52" u="1"/>
        <d v="2026-01-12T10:36:06" u="1"/>
        <d v="2026-01-12T10:36:12" u="1"/>
        <d v="2026-01-12T11:44:26" u="1"/>
        <d v="2026-01-12T11:44:39" u="1"/>
        <d v="2026-01-12T11:51:38" u="1"/>
        <d v="2026-01-12T12:36:41" u="1"/>
        <d v="2026-01-12T12:57:37" u="1"/>
        <d v="2026-01-12T14:34:33" u="1"/>
        <d v="2026-01-12T14:34:36" u="1"/>
        <d v="2026-01-12T14:34:38" u="1"/>
        <d v="2026-01-12T14:34:48" u="1"/>
        <d v="2026-01-12T15:25:18" u="1"/>
        <d v="2026-01-12T15:25:21" u="1"/>
        <d v="2026-01-12T15:39:36" u="1"/>
        <d v="2026-01-12T15:39:40" u="1"/>
        <d v="2026-01-12T17:43:26" u="1"/>
        <d v="2026-01-12T17:43:33" u="1"/>
        <d v="2026-01-12T17:43:41" u="1"/>
        <d v="2026-01-12T17:43:49" u="1"/>
        <d v="2026-01-12T17:44:04" u="1"/>
        <d v="2026-01-12T17:44:43" u="1"/>
        <d v="2026-01-12T17:44:52" u="1"/>
        <d v="2026-01-12T18:05:37" u="1"/>
        <d v="2026-01-13T10:08:53" u="1"/>
        <d v="2026-01-13T12:06:39" u="1"/>
        <d v="2026-01-13T12:48:02" u="1"/>
        <d v="2026-01-13T13:20:59" u="1"/>
        <d v="2026-01-13T13:21:26" u="1"/>
        <d v="2026-01-13T13:22:20" u="1"/>
        <d v="2026-01-13T13:37:44" u="1"/>
        <d v="2026-01-13T13:53:09" u="1"/>
        <d v="2026-01-13T14:01:36" u="1"/>
        <d v="2026-01-13T14:16:37" u="1"/>
        <d v="2026-01-13T14:57:39" u="1"/>
        <d v="2026-01-13T14:57:44" u="1"/>
        <d v="2026-01-13T15:04:43" u="1"/>
        <d v="2026-01-14T10:12:05" u="1"/>
        <d v="2026-01-14T12:09:31" u="1"/>
        <d v="2026-01-14T12:18:43" u="1"/>
        <d v="2026-01-14T12:40:58" u="1"/>
        <d v="2026-01-14T13:15:27" u="1"/>
        <d v="2026-01-14T13:15:31" u="1"/>
        <d v="2026-01-14T13:24:29" u="1"/>
        <d v="2026-01-14T13:38:21" u="1"/>
        <d v="2026-01-14T13:38:49" u="1"/>
        <d v="2026-01-14T14:31:24" u="1"/>
        <d v="2026-01-14T15:04:02" u="1"/>
        <d v="2026-01-15T09:07:32" u="1"/>
        <d v="2026-01-15T09:47:56" u="1"/>
        <d v="2026-01-15T09:54:37" u="1"/>
        <d v="2026-01-15T10:47:13" u="1"/>
        <d v="2026-01-15T12:06:04" u="1"/>
        <d v="2026-01-15T12:39:20" u="1"/>
        <d v="2026-01-15T12:55:47" u="1"/>
        <d v="2026-01-15T13:42:02" u="1"/>
        <d v="2026-01-15T14:30:37" u="1"/>
        <d v="2026-01-15T14:30:48" u="1"/>
        <d v="2026-01-15T14:58:08" u="1"/>
        <d v="2026-01-15T15:55:25" u="1"/>
        <d v="2026-01-15T17:24:56" u="1"/>
        <d v="2026-01-15T17:25:06" u="1"/>
        <d v="2026-01-16T15:27:17" u="1"/>
        <d v="2026-01-16T15:27:45" u="1"/>
        <d v="2026-01-16T15:27:59" u="1"/>
        <d v="2026-01-16T16:34:43" u="1"/>
        <d v="2026-01-16T17:51:15" u="1"/>
        <d v="2026-01-16T17:51:22" u="1"/>
        <d v="2026-01-16T17:51:29" u="1"/>
        <d v="2026-01-16T17:51:43" u="1"/>
        <d v="2026-01-17T10:11:15" u="1"/>
        <d v="2026-01-17T10:11:22" u="1"/>
        <d v="2026-01-17T10:42:06" u="1"/>
        <d v="2026-01-17T10:42:38" u="1"/>
        <d v="2026-01-17T11:46:50" u="1"/>
        <d v="2026-01-17T11:46:58" u="1"/>
        <d v="2026-01-19T10:20:11" u="1"/>
        <d v="2026-01-19T12:07:27" u="1"/>
        <d v="2026-01-19T14:55:40" u="1"/>
        <d v="2026-01-19T14:56:02" u="1"/>
        <d v="2026-01-19T15:25:33" u="1"/>
        <d v="2026-01-19T15:25:36" u="1"/>
        <d v="2026-01-19T15:33:31" u="1"/>
        <d v="2026-01-19T15:33:37" u="1"/>
        <d v="2026-01-19T15:34:31" u="1"/>
        <d v="2026-01-19T15:34:43" u="1"/>
        <d v="2026-01-19T15:47:25" u="1"/>
        <d v="2026-01-19T15:47:49" u="1"/>
        <d v="2026-01-19T16:01:41" u="1"/>
        <d v="2026-01-19T16:01:48" u="1"/>
        <d v="2026-01-19T16:12:56" u="1"/>
        <d v="2026-01-19T16:15:47" u="1"/>
        <d v="2026-01-19T18:11:07" u="1"/>
        <d v="2026-01-20T10:12:21" u="1"/>
        <d v="2026-01-20T13:03:13" u="1"/>
        <d v="2026-01-20T13:53:51" u="1"/>
        <d v="2026-01-20T13:53:58" u="1"/>
        <d v="2026-01-20T13:58:58" u="1"/>
        <d v="2026-01-21T12:14:35" u="1"/>
        <d v="2026-01-21T13:06:52" u="1"/>
        <d v="2026-01-21T13:18:29" u="1"/>
        <d v="2026-01-21T13:22:53" u="1"/>
        <d v="2026-01-21T16:35:08" u="1"/>
        <d v="2026-01-21T16:35:17" u="1"/>
        <d v="2026-01-21T17:55:53" u="1"/>
        <d v="2026-01-21T17:56:05" u="1"/>
        <d v="2026-01-22T12:56:02" u="1"/>
        <d v="2026-01-22T12:57:28" u="1"/>
        <d v="2026-01-22T13:29:58" u="1"/>
        <d v="2026-01-22T13:38:37" u="1"/>
        <d v="2026-01-22T14:09:39" u="1"/>
        <d v="2026-01-22T14:10:01" u="1"/>
        <d v="2026-01-22T14:51:28" u="1"/>
        <d v="2026-01-22T14:51:49" u="1"/>
        <d v="2026-01-22T14:52:12" u="1"/>
        <d v="2026-01-22T17:58:06" u="1"/>
        <d v="2026-01-22T17:58:11" u="1"/>
        <d v="2026-01-22T17:58:18" u="1"/>
        <d v="2026-01-22T17:58:24" u="1"/>
        <d v="2026-01-22T17:58:30" u="1"/>
        <d v="2026-01-22T17:58:41" u="1"/>
        <d v="2026-01-22T17:58:48" u="1"/>
        <d v="2026-01-23T12:26:19" u="1"/>
        <d v="2026-01-23T12:41:24" u="1"/>
        <d v="2026-01-23T12:55:09" u="1"/>
        <d v="2026-01-23T13:16:17" u="1"/>
        <d v="2026-01-23T13:41:14" u="1"/>
        <d v="2026-01-23T13:45:19" u="1"/>
        <d v="2026-01-23T14:29:28" u="1"/>
        <d v="2026-01-23T15:27:55" u="1"/>
        <d v="2026-01-24T11:08:25" u="1"/>
        <d v="2026-01-24T11:21:57" u="1"/>
        <d v="2026-01-24T11:22:37" u="1"/>
        <d v="2026-01-26T10:43:56" u="1"/>
        <d v="2026-01-26T10:44:55" u="1"/>
        <d v="2026-01-26T11:05:22" u="1"/>
        <d v="2026-01-26T14:33:50" u="1"/>
        <d v="2026-01-26T15:04:22" u="1"/>
        <d v="2026-01-26T15:17:53" u="1"/>
        <d v="2026-01-26T15:23:39" u="1"/>
        <d v="2026-01-26T16:13:40" u="1"/>
        <d v="2026-01-26T16:27:13" u="1"/>
        <d v="2026-01-26T17:08:07" u="1"/>
        <d v="2026-01-26T17:18:54" u="1"/>
        <d v="2026-01-26T18:20:23" u="1"/>
        <d v="2026-01-26T18:20:35" u="1"/>
        <d v="2026-01-27T10:38:41" u="1"/>
        <d v="2026-01-27T12:34:02" u="1"/>
        <d v="2026-01-27T12:56:17" u="1"/>
        <d v="2026-01-27T13:33:04" u="1"/>
        <d v="2026-01-27T13:33:19" u="1"/>
        <d v="2026-01-27T14:12:36" u="1"/>
        <d v="2026-01-27T17:18:45" u="1"/>
        <d v="2026-01-27T17:28:00" u="1"/>
        <d v="2026-01-27T17:36:20" u="1"/>
        <d v="2026-01-27T17:42:42" u="1"/>
        <d v="2026-01-28T12:21:20" u="1"/>
        <d v="2026-01-28T12:37:01" u="1"/>
        <d v="2026-01-28T12:37:07" u="1"/>
        <d v="2026-01-28T12:38:28" u="1"/>
        <d v="2026-01-28T12:38:40" u="1"/>
        <d v="2026-01-28T12:53:16" u="1"/>
        <d v="2026-01-28T13:55:21" u="1"/>
        <d v="2026-01-28T14:58:15" u="1"/>
        <d v="2026-01-28T15:09:51" u="1"/>
        <d v="2026-01-28T15:09:59" u="1"/>
        <d v="2026-01-28T16:46:32" u="1"/>
        <d v="2026-01-28T17:26:49" u="1"/>
        <d v="2026-01-28T17:39:41" u="1"/>
        <d v="2026-01-29T10:09:32" u="1"/>
        <d v="2026-01-29T11:00:21" u="1"/>
        <d v="2026-01-29T11:43:30" u="1"/>
        <d v="2026-01-29T11:43:43" u="1"/>
        <d v="2026-01-29T11:46:50" u="1"/>
        <d v="2026-01-29T12:10:56" u="1"/>
        <d v="2026-01-29T12:30:02" u="1"/>
        <d v="2026-01-29T13:32:10" u="1"/>
        <d v="2026-01-29T13:32:28" u="1"/>
        <d v="2026-01-29T14:47:15" u="1"/>
        <d v="2026-01-29T14:47:23" u="1"/>
        <d v="2026-01-29T14:51:10" u="1"/>
        <d v="2026-01-29T15:19:56" u="1"/>
        <d v="2026-01-29T15:20:04" u="1"/>
        <d v="2026-01-29T15:53:51" u="1"/>
        <d v="2026-01-29T17:51:09" u="1"/>
        <d v="2026-01-29T17:51:20" u="1"/>
        <d v="2026-01-29T17:51:28" u="1"/>
        <d v="2026-01-29T17:51:40" u="1"/>
        <d v="2026-01-29T17:51:48" u="1"/>
        <d v="2026-01-30T11:16:32" u="1"/>
        <d v="2026-01-30T11:17:30" u="1"/>
        <d v="2026-01-30T11:25:30" u="1"/>
        <d v="2026-01-30T12:13:24" u="1"/>
        <d v="2026-01-30T12:21:00" u="1"/>
        <d v="2026-01-30T13:26:29" u="1"/>
        <d v="2026-01-30T13:26:32" u="1"/>
        <d v="2026-01-30T14:32:15" u="1"/>
        <d v="2026-01-30T14:33:22" u="1"/>
        <d v="2026-01-30T15:44:47" u="1"/>
        <d v="2026-01-30T15:45:01" u="1"/>
        <d v="2026-01-30T15:58:41" u="1"/>
        <d v="2026-01-30T16:28:46" u="1"/>
        <d v="2026-01-30T17:53:59" u="1"/>
        <d v="2026-01-30T17:54:09" u="1"/>
        <d v="2026-01-30T17:54:19" u="1"/>
        <d v="2026-01-31T11:17:14" u="1"/>
        <d v="2026-01-31T11:17:28" u="1"/>
        <d v="2026-01-31T11:39:00" u="1"/>
        <d v="2026-02-02T10:47:19" u="1"/>
        <d v="2026-02-02T10:47:24" u="1"/>
        <d v="2026-02-02T10:47:32" u="1"/>
        <d v="2026-02-02T10:48:03" u="1"/>
        <d v="2026-02-02T10:48:30" u="1"/>
        <d v="2026-02-02T11:42:04" u="1"/>
        <d v="2026-02-02T11:42:12" u="1"/>
        <d v="2026-02-02T11:42:26" u="1"/>
        <d v="2026-02-02T11:42:42" u="1"/>
        <d v="2026-02-02T12:59:11" u="1"/>
        <d v="2026-02-02T13:09:15" u="1"/>
        <d v="2026-02-02T15:04:13" u="1"/>
        <d v="2026-02-02T15:04:21" u="1"/>
        <d v="2026-02-02T15:13:06" u="1"/>
        <d v="2026-02-02T15:21:40" u="1"/>
        <d v="2026-02-02T15:40:30" u="1"/>
        <d v="2026-02-02T15:40:41" u="1"/>
        <d v="2026-02-02T16:08:36" u="1"/>
        <d v="2026-02-02T16:29:04" u="1"/>
        <d v="2026-02-02T16:56:41" u="1"/>
        <d v="2026-02-02T16:57:32" u="1"/>
        <d v="2026-02-02T17:00:56" u="1"/>
        <d v="2026-02-02T17:35:57" u="1"/>
        <d v="2026-02-02T17:43:24" u="1"/>
        <d v="2026-02-03T14:21:47" u="1"/>
        <d v="2026-02-03T17:59:43" u="1"/>
        <d v="2026-02-03T17:59:52" u="1"/>
        <d v="2026-02-03T17:59:59" u="1"/>
        <d v="2026-02-03T18:00:12" u="1"/>
        <d v="2026-02-03T18:00:21" u="1"/>
        <d v="2026-02-04T10:03:00" u="1"/>
        <d v="2026-02-04T11:00:42" u="1"/>
        <d v="2026-02-05T09:19:20" u="1"/>
        <d v="2026-02-05T10:25:45" u="1"/>
        <d v="2026-02-05T10:25:56" u="1"/>
        <d v="2026-02-05T10:55:13" u="1"/>
        <d v="2026-02-05T12:03:04" u="1"/>
        <d v="2026-02-05T12:25:45" u="1"/>
        <d v="2026-02-05T13:57:48" u="1"/>
        <d v="2026-02-05T13:58:08" u="1"/>
        <d v="2026-02-05T13:58:16" u="1"/>
        <d v="2026-02-05T13:58:48" u="1"/>
        <d v="2026-02-05T14:22:21" u="1"/>
        <d v="2026-02-06T11:26:03" u="1"/>
        <d v="2026-02-06T11:34:39" u="1"/>
        <d v="2026-02-06T14:28:45" u="1"/>
        <d v="2026-02-06T14:28:53" u="1"/>
        <d v="2026-02-06T15:41:41" u="1"/>
        <d v="2026-02-06T17:50:33" u="1"/>
        <d v="2026-02-06T17:51:12" u="1"/>
        <d v="2026-02-06T17:51:28" u="1"/>
        <d v="2026-02-06T17:59:40" u="1"/>
        <d v="2026-02-06T17:59:46" u="1"/>
        <d v="2026-02-06T17:59:55" u="1"/>
        <d v="2026-02-06T18:08:26" u="1"/>
        <d v="2026-02-07T09:39:40" u="1"/>
        <d v="2026-02-07T10:24:04" u="1"/>
        <d v="2026-02-07T10:24:40" u="1"/>
        <d v="2026-02-07T10:34:02" u="1"/>
        <d v="2026-02-07T11:06:11" u="1"/>
        <d v="2026-02-07T11:06:29" u="1"/>
        <d v="2026-02-07T11:33:37" u="1"/>
        <d v="2026-02-07T11:39:55" u="1"/>
        <d v="2026-02-07T11:50:30" u="1"/>
        <d v="2026-02-09T09:46:46" u="1"/>
        <d v="2026-02-09T12:01:44" u="1"/>
        <d v="2026-02-09T12:01:55" u="1"/>
        <d v="2026-02-09T12:02:05" u="1"/>
        <d v="2026-02-09T12:02:12" u="1"/>
        <d v="2026-02-09T12:02:30" u="1"/>
        <d v="2026-02-09T12:02:44" u="1"/>
        <d v="2026-02-09T12:02:56" u="1"/>
        <d v="2026-02-09T12:29:41" u="1"/>
        <d v="2026-02-09T13:34:24" u="1"/>
        <d v="2026-02-09T13:41:48" u="1"/>
        <d v="2026-02-09T13:41:56" u="1"/>
        <d v="2026-02-09T13:42:03" u="1"/>
        <d v="2026-02-09T13:45:17" u="1"/>
        <d v="2026-02-09T14:54:59" u="1"/>
        <d v="2026-02-09T15:07:10" u="1"/>
        <d v="2026-02-09T15:07:45" u="1"/>
        <d v="2026-02-09T15:34:26" u="1"/>
        <d v="2026-02-09T15:58:49" u="1"/>
        <d v="2026-02-09T16:00:15" u="1"/>
        <d v="2026-02-09T16:03:24" u="1"/>
        <d v="2026-02-09T18:05:58" u="1"/>
        <d v="2026-02-10T12:47:49" u="1"/>
        <d v="2026-02-10T12:59:39" u="1"/>
        <d v="2026-02-10T14:00:36" u="1"/>
        <d v="2026-02-10T14:00:53" u="1"/>
        <d v="2026-02-10T14:25:40" u="1"/>
        <d v="2026-02-10T14:58:00" u="1"/>
        <d v="2026-02-10T14:59:10" u="1"/>
        <d v="2026-02-10T15:16:00" u="1"/>
        <d v="2026-02-10T18:00:07" u="1"/>
        <d v="2026-02-10T18:00:18" u="1"/>
        <d v="2026-02-10T18:00:32" u="1"/>
        <d v="2026-02-11T09:58:06" u="1"/>
        <d v="2026-02-11T10:26:53" u="1"/>
        <d v="2026-02-11T12:36:41" u="1"/>
        <d v="2026-02-11T12:36:51" u="1"/>
        <d v="2026-02-11T12:37:05" u="1"/>
        <d v="2026-02-11T12:37:13" u="1"/>
        <d v="2026-02-11T12:37:23" u="1"/>
        <d v="2026-02-11T13:51:53" u="1"/>
        <d v="2026-02-11T14:05:03" u="1"/>
        <d v="2026-02-12T12:55:44" u="1"/>
        <d v="2026-02-12T12:56:03" u="1"/>
        <d v="2026-02-12T13:31:53" u="1"/>
        <d v="2026-02-12T13:43:25" u="1"/>
        <d v="2026-02-12T13:43:29" u="1"/>
        <d v="2026-02-12T13:44:32" u="1"/>
        <d v="2026-02-12T17:54:21" u="1"/>
        <d v="2026-02-12T17:54:27" u="1"/>
        <d v="2026-02-12T17:54:55" u="1"/>
        <d v="2026-02-12T17:55:03" u="1"/>
        <d v="2026-02-12T17:55:09" u="1"/>
        <d v="2026-02-13T09:44:03" u="1"/>
        <d v="2026-02-13T09:44:17" u="1"/>
        <d v="2026-02-13T09:44:29" u="1"/>
        <d v="2026-02-13T12:28:14" u="1"/>
        <d v="2026-02-13T12:28:58" u="1"/>
        <d v="2026-02-13T12:51:22" u="1"/>
        <d v="2026-02-13T13:07:13" u="1"/>
        <d v="2026-02-13T13:26:03" u="1"/>
        <d v="2026-02-13T13:31:17" u="1"/>
        <d v="2026-02-13T14:28:50" u="1"/>
        <d v="2026-02-13T15:08:26" u="1"/>
        <d v="2026-02-13T15:08:48" u="1"/>
        <d v="2026-02-13T15:32:57" u="1"/>
        <d v="2026-02-13T15:34:06" u="1"/>
        <d v="2026-02-13T15:42:48" u="1"/>
        <d v="2026-02-14T11:57:56" u="1"/>
        <d v="2026-02-14T11:58:23" u="1"/>
        <d v="2026-02-16T09:08:35" u="1"/>
        <d v="2026-02-16T12:04:55" u="1"/>
        <d v="2026-02-16T13:02:14" u="1"/>
        <d v="2026-02-16T13:06:16" u="1"/>
        <d v="2026-02-16T13:08:35" u="1"/>
        <d v="2026-02-16T14:01:03" u="1"/>
        <d v="2026-02-16T14:07:44" u="1"/>
        <d v="2026-02-16T14:35:21" u="1"/>
        <d v="2026-02-16T14:35:39" u="1"/>
        <d v="2026-02-16T14:35:46" u="1"/>
        <d v="2026-02-16T15:27:16" u="1"/>
        <d v="2026-02-16T15:27:25" u="1"/>
        <d v="2026-02-16T15:27:31" u="1"/>
        <d v="2026-02-16T15:29:19" u="1"/>
        <d v="2026-02-16T15:30:43" u="1"/>
        <d v="2026-02-16T15:45:55" u="1"/>
        <d v="2026-02-16T16:12:48" u="1"/>
        <d v="2026-02-16T16:16:16" u="1"/>
        <d v="2026-02-16T16:32:03" u="1"/>
        <d v="2026-02-16T17:46:56" u="1"/>
        <d v="2026-02-17T09:40:22" u="1"/>
        <d v="2026-02-17T10:39:57" u="1"/>
        <d v="2026-02-17T11:02:32" u="1"/>
        <d v="2026-02-17T11:27:56" u="1"/>
        <d v="2026-02-17T12:14:54" u="1"/>
        <d v="2026-02-17T14:28:33" u="1"/>
        <d v="2026-02-17T14:50:49" u="1"/>
        <d v="2026-02-17T14:50:58" u="1"/>
        <d v="2026-02-17T14:51:07" u="1"/>
        <d v="2026-02-17T15:08:34" u="1"/>
        <d v="2026-02-17T17:54:18" u="1"/>
        <d v="2026-02-17T17:54:25" u="1"/>
        <d v="2026-02-17T17:54:40" u="1"/>
        <d v="2026-02-17T17:54:48" u="1"/>
        <d v="2026-02-17T17:54:57" u="1"/>
        <d v="2026-02-17T17:55:05" u="1"/>
        <d v="2026-02-18T10:43:32" u="1"/>
        <d v="2026-02-18T10:43:48" u="1"/>
        <d v="2026-02-18T10:50:05" u="1"/>
        <d v="2026-02-18T10:50:16" u="1"/>
        <d v="2026-02-18T10:50:24" u="1"/>
        <d v="2026-02-18T11:28:19" u="1"/>
        <d v="2026-02-18T12:12:41" u="1"/>
        <d v="2026-02-18T12:12:53" u="1"/>
        <d v="2026-02-18T12:13:03" u="1"/>
        <d v="2026-02-18T17:51:18" u="1"/>
        <d v="2026-02-18T17:51:24" u="1"/>
        <d v="2026-02-18T17:51:30" u="1"/>
        <d v="2026-02-18T17:51:38" u="1"/>
        <d v="2026-02-18T17:51:45" u="1"/>
        <d v="2026-02-19T10:20:25" u="1"/>
        <d v="2026-02-19T10:23:55" u="1"/>
        <d v="2026-02-19T10:54:08" u="1"/>
        <d v="2026-02-19T10:59:24" u="1"/>
        <d v="2026-02-19T10:59:34" u="1"/>
        <d v="2026-02-19T13:25:08" u="1"/>
        <d v="2026-02-19T14:27:04" u="1"/>
        <d v="2026-02-19T14:27:22" u="1"/>
        <d v="2026-02-19T14:37:30" u="1"/>
        <d v="2026-02-19T14:37:41" u="1"/>
        <d v="2026-02-20T12:09:15" u="1"/>
        <d v="2026-02-20T12:09:53" u="1"/>
        <d v="2026-02-20T12:25:35" u="1"/>
        <d v="2026-02-20T12:59:48" u="1"/>
        <d v="2026-02-20T14:55:00" u="1"/>
        <d v="2026-02-20T14:55:27" u="1"/>
        <d v="2026-02-20T15:57:17" u="1"/>
        <d v="2026-02-20T15:57:36" u="1"/>
        <d v="2026-02-20T15:57:43" u="1"/>
        <d v="2026-02-20T15:57:52" u="1"/>
        <d v="2026-02-20T15:58:06" u="1"/>
        <d v="2026-02-20T15:58:14" u="1"/>
        <d v="2026-02-20T16:12:17" u="1"/>
        <d v="2026-02-20T16:12:24" u="1"/>
        <d v="2026-02-20T17:09:26" u="1"/>
        <d v="2026-02-20T17:09:33" u="1"/>
        <d v="2026-02-20T17:58:27" u="1"/>
        <d v="2026-02-20T17:58:36" u="1"/>
        <d v="2026-02-20T17:58:44" u="1"/>
        <d v="2026-02-23T10:13:53" u="1"/>
        <d v="2026-02-23T10:14:01" u="1"/>
        <d v="2026-02-23T10:22:27" u="1"/>
        <d v="2026-02-23T10:22:40" u="1"/>
        <d v="2026-02-23T10:23:48" u="1"/>
        <d v="2026-02-23T11:40:42" u="1"/>
        <d v="2026-02-23T11:40:59" u="1"/>
        <d v="2026-02-23T11:41:22" u="1"/>
        <d v="2026-02-23T11:59:21" u="1"/>
        <d v="2026-02-23T13:02:43" u="1"/>
        <d v="2026-02-23T13:20:28" u="1"/>
        <d v="2026-02-23T13:20:33" u="1"/>
        <d v="2026-02-23T14:00:12" u="1"/>
        <d v="2026-02-23T14:34:43" u="1"/>
        <d v="2026-02-23T15:37:14" u="1"/>
        <d v="2026-02-23T15:37:21" u="1"/>
        <d v="2026-02-23T15:48:22" u="1"/>
        <d v="2026-02-23T16:26:27" u="1"/>
        <d v="2026-02-23T16:26:38" u="1"/>
        <d v="2026-02-23T16:26:51" u="1"/>
        <d v="2026-02-23T17:20:50" u="1"/>
        <d v="2026-02-23T17:35:43" u="1"/>
        <d v="2026-02-23T17:52:17" u="1"/>
        <d v="2026-02-24T09:12:08" u="1"/>
        <d v="2026-02-24T11:39:41" u="1"/>
        <d v="2026-02-24T13:49:56" u="1"/>
        <d v="2026-02-24T14:15:53" u="1"/>
        <d v="2026-02-24T14:45:44" u="1"/>
        <d v="2026-02-24T14:45:47" u="1"/>
        <d v="2026-02-24T16:28:25" u="1"/>
        <d v="2026-02-24T17:30:26" u="1"/>
        <d v="2026-02-25T12:33:48" u="1"/>
        <d v="2026-02-25T12:33:59" u="1"/>
        <d v="2026-02-25T12:34:44" u="1"/>
        <d v="2026-02-25T14:02:17" u="1"/>
        <d v="2026-02-25T14:14:57" u="1"/>
        <d v="2026-02-25T14:58:45" u="1"/>
        <d v="2026-02-25T17:54:24" u="1"/>
        <d v="2026-02-25T17:55:03" u="1"/>
        <d v="2026-02-25T17:57:44" u="1"/>
        <d v="2026-02-25T17:57:57" u="1"/>
        <d v="2026-02-25T17:58:08" u="1"/>
        <d v="2026-02-26T11:23:02" u="1"/>
        <d v="2026-02-26T11:23:11" u="1"/>
        <d v="2026-02-26T13:39:54" u="1"/>
        <d v="2026-02-26T13:40:29" u="1"/>
        <d v="2026-02-26T13:40:40" u="1"/>
        <d v="2026-02-26T13:40:58" u="1"/>
        <d v="2026-02-26T13:41:14" u="1"/>
        <d v="2026-02-26T13:56:01" u="1"/>
        <d v="2026-02-26T13:56:28" u="1"/>
        <d v="2026-02-26T14:14:35" u="1"/>
        <d v="2026-02-26T14:30:20" u="1"/>
        <d v="2026-02-27T12:05:51" u="1"/>
        <d v="2026-02-27T13:08:29" u="1"/>
        <d v="2026-02-27T13:40:29" u="1"/>
        <d v="2026-02-27T14:38:56" u="1"/>
        <d v="2026-02-27T14:40:51" u="1"/>
        <d v="2026-02-27T15:22:07" u="1"/>
        <d v="2026-02-27T15:43:21" u="1"/>
        <d v="2026-02-27T17:56:28" u="1"/>
        <d v="2026-02-27T17:56:41" u="1"/>
        <d v="2026-02-28T10:29:44" u="1"/>
        <d v="2026-02-28T11:11:25" u="1"/>
        <d v="2026-02-28T11:53:42" u="1"/>
        <d v="2026-03-02T10:11:22" u="1"/>
        <d v="2026-03-02T11:28:00" u="1"/>
        <d v="2026-03-02T11:58:09" u="1"/>
        <d v="2026-03-02T13:45:40" u="1"/>
        <d v="2026-03-02T13:45:50" u="1"/>
        <d v="2026-03-02T14:31:11" u="1"/>
        <d v="2026-03-02T14:31:36" u="1"/>
        <d v="2026-03-02T14:45:37" u="1"/>
        <d v="2026-03-02T16:13:35" u="1"/>
        <d v="2026-03-02T16:13:45" u="1"/>
        <d v="2026-03-02T17:36:10" u="1"/>
        <d v="2026-03-02T17:36:21" u="1"/>
        <d v="2026-03-02T17:36:29" u="1"/>
        <d v="2026-03-02T17:43:51" u="1"/>
        <d v="2026-03-02T18:21:52" u="1"/>
        <d v="2026-03-02T18:22:02" u="1"/>
        <d v="2026-03-02T18:22:10" u="1"/>
        <d v="2026-03-02T18:22:34" u="1"/>
        <d v="2026-03-02T18:22:43" u="1"/>
        <d v="2026-03-03T09:11:28" u="1"/>
        <d v="2026-03-03T10:40:11" u="1"/>
        <d v="2026-03-03T10:57:25" u="1"/>
        <d v="2026-03-03T11:31:39" u="1"/>
        <d v="2026-03-03T11:32:41" u="1"/>
        <d v="2026-03-03T13:55:38" u="1"/>
        <d v="2026-03-03T13:55:53" u="1"/>
        <d v="2026-03-03T13:56:04" u="1"/>
        <d v="2026-03-03T15:10:46" u="1"/>
        <d v="2026-03-03T15:12:35" u="1"/>
        <d v="2026-03-03T15:14:50" u="1"/>
        <d v="2026-03-03T15:15:05" u="1"/>
        <d v="2026-03-03T15:52:26" u="1"/>
        <d v="2026-03-03T15:52:45" u="1"/>
        <d v="2026-03-03T16:51:05" u="1"/>
        <d v="2026-03-03T16:51:17" u="1"/>
        <d v="2026-03-04T09:26:04" u="1"/>
        <d v="2026-03-04T09:26:21" u="1"/>
        <d v="2026-03-04T09:39:40" u="1"/>
        <d v="2026-03-04T13:56:30" u="1"/>
        <d v="2026-03-04T14:37:07" u="1"/>
        <d v="2026-03-04T14:53:26" u="1"/>
        <d v="2026-03-05T09:57:25" u="1"/>
        <d v="2026-03-05T12:15:57" u="1"/>
        <d v="2026-03-05T12:16:08" u="1"/>
        <d v="2026-03-05T12:26:26" u="1"/>
        <d v="2026-03-05T12:52:55" u="1"/>
        <d v="2026-03-05T14:44:52" u="1"/>
        <d v="2026-03-05T14:45:42" u="1"/>
        <d v="2026-03-06T11:42:20" u="1"/>
        <d v="2026-03-06T12:28:05" u="1"/>
        <d v="2026-03-06T12:35:19" u="1"/>
        <d v="2026-03-06T13:44:35" u="1"/>
        <d v="2026-03-06T13:45:23" u="1"/>
        <d v="2026-03-06T14:07:04" u="1"/>
        <d v="2026-03-06T14:07:16" u="1"/>
        <d v="2026-03-06T15:33:42" u="1"/>
        <d v="2026-03-06T15:46:35" u="1"/>
        <d v="2026-03-06T15:52:28" u="1"/>
        <d v="2026-03-09T10:57:19" u="1"/>
        <d v="2026-03-09T10:57:25" u="1"/>
        <d v="2026-03-09T11:18:29" u="1"/>
        <d v="2026-03-09T12:28:31" u="1"/>
        <d v="2026-03-09T12:38:29" u="1"/>
        <d v="2026-03-09T14:12:42" u="1"/>
        <d v="2026-03-09T14:12:48" u="1"/>
        <d v="2026-03-09T14:53:19" u="1"/>
        <d v="2026-03-09T14:55:10" u="1"/>
        <d v="2026-03-09T15:20:06" u="1"/>
        <d v="2026-03-09T15:20:19" u="1"/>
        <d v="2026-03-09T15:37:09" u="1"/>
        <d v="2026-03-09T15:37:17" u="1"/>
        <d v="2026-03-09T15:43:14" u="1"/>
        <d v="2026-03-09T15:48:27" u="1"/>
        <d v="2026-03-09T15:48:38" u="1"/>
        <d v="2026-03-09T16:17:21" u="1"/>
        <d v="2026-03-09T16:33:57" u="1"/>
        <d v="2026-03-09T16:34:11" u="1"/>
        <d v="2026-03-09T17:11:57" u="1"/>
        <d v="2026-03-09T17:12:06" u="1"/>
        <d v="2026-03-09T17:31:45" u="1"/>
        <d v="2026-03-10T11:32:58" u="1"/>
        <d v="2026-03-10T11:37:18" u="1"/>
        <d v="2026-03-10T12:01:42" u="1"/>
        <d v="2026-03-10T12:55:05" u="1"/>
        <d v="2026-03-10T13:16:09" u="1"/>
        <d v="2026-03-10T13:20:15" u="1"/>
        <d v="2026-03-10T13:49:43" u="1"/>
        <d v="2026-03-10T13:59:39" u="1"/>
        <d v="2026-03-11T10:38:50" u="1"/>
        <d v="2026-03-11T10:39:18" u="1"/>
        <d v="2026-03-11T12:36:06" u="1"/>
        <d v="2026-03-11T12:57:36" u="1"/>
        <d v="2026-03-11T13:13:30" u="1"/>
        <d v="2026-03-11T14:25:15" u="1"/>
        <d v="2026-03-11T14:26:40" u="1"/>
        <d v="2026-03-11T14:48:28" u="1"/>
        <d v="2026-03-11T14:52:25" u="1"/>
        <d v="2026-03-11T14:58:48" u="1"/>
        <d v="2026-03-11T15:00:28" u="1"/>
        <d v="2026-03-11T17:56:55" u="1"/>
        <d v="2026-03-11T17:57:05" u="1"/>
        <d v="2026-03-11T17:57:14" u="1"/>
        <d v="2026-03-11T17:57:24" u="1"/>
        <d v="2026-03-11T17:57:34" u="1"/>
        <d v="2026-03-11T17:57:41" u="1"/>
        <d v="2026-03-12T10:16:03" u="1"/>
        <d v="2026-03-12T11:00:42" u="1"/>
        <d v="2026-03-12T13:16:03" u="1"/>
        <d v="2026-03-12T14:54:20" u="1"/>
        <d v="2026-03-12T17:55:46" u="1"/>
        <d v="2026-03-12T17:55:56" u="1"/>
        <d v="2026-03-12T17:56:03" u="1"/>
        <d v="2026-03-12T17:56:09" u="1"/>
        <d v="2026-03-12T17:56:18" u="1"/>
        <d v="2026-03-12T17:56:24" u="1"/>
        <d v="2026-03-13T09:59:31" u="1"/>
        <d v="2026-03-13T09:59:41" u="1"/>
        <d v="2026-03-13T11:00:08" u="1"/>
        <d v="2026-03-13T11:06:02" u="1"/>
        <d v="2026-03-13T11:21:58" u="1"/>
        <d v="2026-03-13T11:23:41" u="1"/>
        <d v="2026-03-13T11:40:49" u="1"/>
        <d v="2026-03-13T12:41:56" u="1"/>
        <d v="2026-03-13T13:47:20" u="1"/>
        <d v="2026-03-13T13:47:47" u="1"/>
        <d v="2026-03-13T13:48:05" u="1"/>
        <d v="2026-03-13T15:00:05" u="1"/>
        <d v="2026-03-13T15:00:20" u="1"/>
        <d v="2026-03-13T15:18:27" u="1"/>
        <d v="2026-03-13T16:01:36" u="1"/>
        <d v="2026-03-13T18:08:24" u="1"/>
        <d v="2026-03-13T18:08:35" u="1"/>
        <d v="2026-03-13T18:08:42" u="1"/>
        <d v="2026-03-14T11:53:56" u="1"/>
        <d v="2026-03-16T12:57:05" u="1"/>
        <d v="2026-03-16T13:17:07" u="1"/>
        <d v="2026-03-16T13:45:42" u="1"/>
        <d v="2026-03-16T14:13:33" u="1"/>
        <d v="2026-03-16T14:13:53" u="1"/>
        <d v="2026-03-16T16:16:16" u="1"/>
        <d v="2026-03-16T16:43:32" u="1"/>
        <d v="2026-03-16T16:43:43" u="1"/>
        <d v="2026-03-16T16:43:50" u="1"/>
        <d v="2026-03-17T09:04:53" u="1"/>
        <d v="2026-03-17T09:06:58" u="1"/>
        <d v="2026-03-17T12:19:01" u="1"/>
        <d v="2026-03-17T12:19:10" u="1"/>
        <d v="2026-03-17T14:03:33" u="1"/>
        <d v="2026-03-17T14:26:46" u="1"/>
        <d v="2026-03-17T14:38:56" u="1"/>
        <d v="2026-03-17T16:00:57" u="1"/>
        <d v="2026-03-18T10:06:18" u="1"/>
        <d v="2026-03-18T10:06:28" u="1"/>
        <d v="2026-03-18T10:10:58" u="1"/>
        <d v="2026-03-18T10:18:59" u="1"/>
        <d v="2026-03-18T13:31:39" u="1"/>
        <d v="2026-03-18T13:31:48" u="1"/>
        <d v="2026-03-19T09:56:08" u="1"/>
        <d v="2026-03-19T09:56:12" u="1"/>
        <d v="2026-03-19T10:36:24" u="1"/>
        <d v="2026-03-19T10:58:49" u="1"/>
        <d v="2026-03-19T13:00:46" u="1"/>
        <d v="2026-03-19T13:37:38" u="1"/>
        <d v="2026-03-19T13:37:46" u="1"/>
        <d v="2026-03-19T14:26:49" u="1"/>
        <d v="2026-03-19T14:56:33" u="1"/>
        <d v="2026-03-20T09:12:39" u="1"/>
        <d v="2026-03-20T12:46:48" u="1"/>
        <d v="2026-03-20T13:03:07" u="1"/>
        <d v="2026-03-20T13:03:40" u="1"/>
        <d v="2026-03-20T13:52:37" u="1"/>
        <d v="2026-03-20T13:52:56" u="1"/>
        <d v="2026-03-20T14:28:06" u="1"/>
        <d v="2026-03-21T12:05:36" u="1"/>
        <d v="2026-03-21T12:05:50" u="1"/>
        <d v="2026-03-21T12:06:00" u="1"/>
        <d v="2026-03-23T09:39:11" u="1"/>
        <d v="2026-03-23T09:39:45" u="1"/>
        <d v="2026-03-23T09:40:53" u="1"/>
        <d v="2026-03-23T10:02:04" u="1"/>
        <d v="2026-03-23T10:02:26" u="1"/>
        <d v="2026-03-23T11:22:29" u="1"/>
        <d v="2026-03-23T11:38:54" u="1"/>
        <d v="2026-03-23T11:39:12" u="1"/>
        <d v="2026-03-23T11:39:30" u="1"/>
        <d v="2026-03-23T11:47:16" u="1"/>
        <d v="2026-03-23T13:51:02" u="1"/>
        <d v="2026-03-23T14:17:22" u="1"/>
        <d v="2026-03-23T14:17:47" u="1"/>
        <d v="2026-03-23T14:33:13" u="1"/>
        <d v="2026-03-23T14:57:12" u="1"/>
        <d v="2026-03-23T15:18:26" u="1"/>
        <d v="2026-03-23T15:18:30" u="1"/>
        <d v="2026-03-23T15:50:05" u="1"/>
        <d v="2026-03-23T15:50:09" u="1"/>
        <d v="2026-03-23T16:01:07" u="1"/>
        <d v="2026-03-23T16:01:20" u="1"/>
        <d v="2026-03-23T16:27:50" u="1"/>
        <d v="2026-03-23T16:38:31" u="1"/>
        <d v="2026-03-23T17:00:26" u="1"/>
        <d v="2026-03-23T17:45:07" u="1"/>
        <d v="2026-03-24T09:28:07" u="1"/>
        <d v="2026-03-24T09:28:31" u="1"/>
        <d v="2026-03-24T09:45:46" u="1"/>
        <d v="2026-03-24T11:13:25" u="1"/>
        <d v="2026-03-24T14:10:35" u="1"/>
        <d v="2026-03-24T14:36:10" u="1"/>
        <d v="2026-03-24T14:56:14" u="1"/>
        <d v="2026-03-25T09:32:04" u="1"/>
        <d v="2026-03-25T10:37:34" u="1"/>
        <d v="2026-03-25T12:58:22" u="1"/>
        <d v="2026-03-25T12:58:38" u="1"/>
        <d v="2026-03-26T10:37:37" u="1"/>
        <d v="2026-03-26T10:58:56" u="1"/>
        <d v="2026-03-26T10:59:06" u="1"/>
        <d v="2026-03-26T12:05:26" u="1"/>
        <d v="2026-03-26T13:59:59" u="1"/>
        <d v="2026-03-26T14:00:05" u="1"/>
        <d v="2026-03-26T14:40:32" u="1"/>
        <d v="2026-03-26T14:41:15" u="1"/>
        <d v="2026-03-26T14:42:30" u="1"/>
        <d v="2026-03-26T14:57:57" u="1"/>
        <d v="2026-03-27T11:27:14" u="1"/>
        <d v="2026-03-27T11:27:57" u="1"/>
        <d v="2026-03-27T11:43:11" u="1"/>
        <d v="2026-03-27T11:43:32" u="1"/>
        <d v="2026-03-27T11:45:58" u="1"/>
        <d v="2026-03-27T12:22:37" u="1"/>
        <d v="2026-03-27T12:28:23" u="1"/>
        <d v="2026-03-27T12:50:57" u="1"/>
        <d v="2026-03-27T13:47:38" u="1"/>
        <d v="2026-03-27T13:47:57" u="1"/>
        <d v="2026-03-27T15:09:31" u="1"/>
        <d v="2026-03-27T15:10:02" u="1"/>
        <d v="2026-03-27T15:27:15" u="1"/>
        <d v="2026-03-28T10:09:27" u="1"/>
        <d v="2026-03-30T12:28:34" u="1"/>
        <d v="2026-03-30T14:07:48" u="1"/>
        <d v="2026-03-30T14:19:42" u="1"/>
        <d v="2026-03-30T14:22:15" u="1"/>
        <d v="2026-03-30T14:24:32" u="1"/>
        <d v="2026-03-30T14:43:14" u="1"/>
        <d v="2026-03-30T15:01:34" u="1"/>
        <d v="2026-03-30T15:01:38" u="1"/>
        <d v="2026-03-30T15:09:27" u="1"/>
        <d v="2026-03-30T15:46:16" u="1"/>
        <d v="2026-03-30T15:46:23" u="1"/>
        <d v="2026-03-30T16:08:55" u="1"/>
        <d v="2026-03-30T16:09:07" u="1"/>
        <d v="2026-03-30T17:14:49" u="1"/>
        <d v="2026-03-30T17:14:58" u="1"/>
        <d v="2026-03-31T09:27:38" u="1"/>
        <d v="2026-03-31T11:16:45" u="1"/>
        <d v="2026-03-31T11:32:31" u="1"/>
        <d v="2026-03-31T12:13:15" u="1"/>
        <d v="2026-03-31T12:17:41" u="1"/>
        <d v="2026-03-31T12:42:34" u="1"/>
        <d v="2026-03-31T13:12:08" u="1"/>
        <d v="2026-03-31T13:44:40" u="1"/>
        <d v="2026-03-31T14:07:08" u="1"/>
        <d v="2026-03-31T14:35:06" u="1"/>
        <d v="2026-03-31T17:24:26" u="1"/>
        <d v="2026-03-31T18:02:57" u="1"/>
        <d v="2026-03-31T18:04:48" u="1"/>
        <d v="2026-03-31T18:04:53" u="1"/>
        <d v="2026-03-31T18:04:57" u="1"/>
        <d v="2026-03-31T18:05:06" u="1"/>
        <d v="2026-03-31T18:05:17" u="1"/>
        <d v="2026-03-31T18:05:25" u="1"/>
        <d v="2026-04-01T12:34:28" u="1"/>
        <d v="2026-04-01T12:35:08" u="1"/>
        <d v="2026-04-01T13:14:07" u="1"/>
        <d v="2026-04-01T13:30:43" u="1"/>
        <d v="2026-04-02T09:18:15" u="1"/>
        <d v="2026-04-02T12:34:35" u="1"/>
        <d v="2026-04-02T13:02:34" u="1"/>
        <d v="2026-04-02T13:25:37" u="1"/>
        <d v="2026-04-02T14:15:52" u="1"/>
        <d v="2026-04-02T17:53:55" u="1"/>
        <d v="2026-04-02T17:54:04" u="1"/>
        <d v="2026-04-02T17:54:10" u="1"/>
        <d v="2026-04-02T17:54:17" u="1"/>
        <d v="2026-04-02T17:54:30" u="1"/>
        <d v="2026-04-07T11:00:56" u="1"/>
        <d v="2026-04-07T11:01:30" u="1"/>
        <d v="2026-04-07T11:01:42" u="1"/>
        <d v="2026-04-07T11:01:50" u="1"/>
        <d v="2026-04-07T11:48:32" u="1"/>
        <d v="2026-04-07T12:14:01" u="1"/>
        <d v="2026-04-07T13:08:34" u="1"/>
        <d v="2026-04-07T13:08:39" u="1"/>
        <d v="2026-04-07T13:12:41" u="1"/>
        <d v="2026-04-07T13:59:32" u="1"/>
        <d v="2026-04-07T13:59:35" u="1"/>
        <d v="2026-04-07T13:59:37" u="1"/>
        <d v="2026-04-07T14:32:12" u="1"/>
        <d v="2026-04-07T14:47:02" u="1"/>
        <d v="2026-04-07T15:04:41" u="1"/>
        <d v="2026-04-08T10:24:27" u="1"/>
        <d v="2026-04-08T10:24:38" u="1"/>
        <d v="2026-04-08T12:16:05" u="1"/>
        <d v="2026-04-08T12:16:15" u="1"/>
        <d v="2026-04-08T13:00:42" u="1"/>
        <d v="2026-04-08T14:24:21" u="1"/>
        <d v="2026-04-08T14:26:22" u="1"/>
        <d v="2026-04-08T14:26:35" u="1"/>
        <d v="2026-04-08T14:44:04" u="1"/>
        <d v="2026-04-08T14:44:13" u="1"/>
        <d v="2026-04-09T12:38:01" u="1"/>
        <d v="2026-04-09T12:38:07" u="1"/>
        <d v="2026-04-09T13:14:00" u="1"/>
        <d v="2026-04-09T13:26:32" u="1"/>
        <d v="2026-04-09T14:30:24" u="1"/>
        <d v="2026-04-09T17:50:45" u="1"/>
        <d v="2026-04-09T17:50:52" u="1"/>
        <d v="2026-04-09T17:51:01" u="1"/>
        <d v="2026-04-09T17:51:12" u="1"/>
        <d v="2026-04-10T09:59:36" u="1"/>
        <d v="2026-04-10T09:59:46" u="1"/>
        <d v="2026-04-10T09:59:52" u="1"/>
        <d v="2026-04-10T11:58:20" u="1"/>
        <d v="2026-04-10T11:58:26" u="1"/>
        <d v="2026-04-10T12:24:46" u="1"/>
        <d v="2026-04-10T14:35:46" u="1"/>
        <d v="2026-04-10T14:35:53" u="1"/>
        <d v="2026-04-10T17:54:38" u="1"/>
        <d v="2026-04-10T17:54:44" u="1"/>
        <d v="2026-04-10T17:54:55" u="1"/>
        <d v="2026-04-11T11:00:02" u="1"/>
        <d v="2026-04-11T11:00:24" u="1"/>
        <d v="2026-04-11T12:05:17" u="1"/>
        <d v="2026-04-13T09:18:37" u="1"/>
        <d v="2026-04-13T09:49:10" u="1"/>
        <d v="2026-04-13T10:05:00" u="1"/>
        <d v="2026-04-13T11:02:05" u="1"/>
        <d v="2026-04-13T11:02:30" u="1"/>
        <d v="2026-04-13T11:02:55" u="1"/>
        <d v="2026-04-13T11:53:05" u="1"/>
        <d v="2026-04-13T12:36:50" u="1"/>
        <d v="2026-04-13T12:36:57" u="1"/>
        <d v="2026-04-13T12:44:01" u="1"/>
        <d v="2026-04-13T12:44:06" u="1"/>
        <d v="2026-04-13T13:19:17" u="1"/>
        <d v="2026-04-13T13:52:10" u="1"/>
        <d v="2026-04-13T13:52:17" u="1"/>
        <d v="2026-04-13T13:52:24" u="1"/>
        <d v="2026-04-13T13:56:51" u="1"/>
        <d v="2026-04-13T14:16:31" u="1"/>
        <d v="2026-04-13T14:56:07" u="1"/>
        <d v="2026-04-13T14:56:18" u="1"/>
        <d v="2026-04-13T14:56:38" u="1"/>
        <d v="2026-04-13T14:57:39" u="1"/>
        <d v="2026-04-13T15:29:58" u="1"/>
        <d v="2026-04-13T15:57:52" u="1"/>
        <d v="2026-04-13T16:01:42" u="1"/>
        <d v="2026-04-13T16:08:24" u="1"/>
        <d v="2026-04-13T16:44:51" u="1"/>
        <d v="2026-04-13T16:55:44" u="1"/>
        <d v="2026-04-13T17:03:39" u="1"/>
        <d v="2026-04-13T17:15:45" u="1"/>
        <d v="2026-04-13T17:21:27" u="1"/>
        <d v="2026-04-14T11:25:40" u="1"/>
        <d v="2026-04-14T11:26:07" u="1"/>
        <d v="2026-04-14T11:26:18" u="1"/>
        <d v="2026-04-14T12:21:40" u="1"/>
        <d v="2026-04-14T12:21:48" u="1"/>
        <d v="2026-04-14T12:53:45" u="1"/>
        <d v="2026-04-14T13:10:34" u="1"/>
        <d v="2026-04-14T13:12:04" u="1"/>
        <d v="2026-04-14T13:14:26" u="1"/>
        <d v="2026-04-14T13:18:32" u="1"/>
        <d v="2026-04-14T13:51:53" u="1"/>
        <d v="2026-04-14T13:51:56" u="1"/>
        <d v="2026-04-14T14:08:15" u="1"/>
        <d v="2026-04-14T14:33:49" u="1"/>
        <d v="2026-04-14T14:35:06" u="1"/>
        <d v="2026-04-14T14:36:06" u="1"/>
        <d v="2026-04-15T09:51:45" u="1"/>
        <d v="2026-04-15T09:51:55" u="1"/>
        <d v="2026-04-15T12:33:29" u="1"/>
        <d v="2026-04-15T12:57:33" u="1"/>
        <d v="2026-04-15T12:59:33" u="1"/>
        <d v="2026-04-15T14:34:56" u="1"/>
        <d v="2026-04-15T14:35:02" u="1"/>
        <d v="2026-04-15T14:35:08" u="1"/>
        <d v="2026-04-15T17:56:09" u="1"/>
        <d v="2026-04-15T17:56:18" u="1"/>
        <d v="2026-04-15T17:56:26" u="1"/>
        <d v="2026-04-15T17:56:36" u="1"/>
        <d v="2026-04-16T09:18:14" u="1"/>
        <d v="2026-04-16T09:44:20" u="1"/>
        <d v="2026-04-16T10:00:35" u="1"/>
        <d v="2026-04-16T10:35:45" u="1"/>
        <d v="2026-04-16T11:39:15" u="1"/>
        <d v="2026-04-16T11:39:32" u="1"/>
        <d v="2026-04-16T11:39:55" u="1"/>
        <d v="2026-04-16T11:44:49" u="1"/>
        <d v="2026-04-16T12:09:54" u="1"/>
        <d v="2026-04-16T13:06:51" u="1"/>
        <d v="2026-04-16T13:46:33" u="1"/>
        <d v="2026-04-16T13:46:42" u="1"/>
        <d v="2026-04-16T15:08:13" u="1"/>
        <d v="2026-04-16T15:34:05" u="1"/>
        <d v="2026-04-16T15:44:30" u="1"/>
        <d v="2026-04-16T16:07:12" u="1"/>
        <d v="2026-04-16T16:37:08" u="1"/>
        <d v="2026-04-16T17:19:23" u="1"/>
        <d v="2026-04-16T17:19:33" u="1"/>
        <d v="2026-04-17T09:03:39" u="1"/>
        <d v="2026-04-17T09:55:26" u="1"/>
        <d v="2026-04-17T09:57:18" u="1"/>
        <d v="2026-04-17T11:41:16" u="1"/>
        <d v="2026-04-17T15:20:49" u="1"/>
        <d v="2026-04-17T15:20:58" u="1"/>
        <d v="2026-04-17T15:21:05" u="1"/>
        <d v="2026-04-17T15:21:10" u="1"/>
        <d v="2026-04-17T15:21:21" u="1"/>
        <d v="2026-04-17T15:32:10" u="1"/>
        <d v="2026-04-17T15:32:18" u="1"/>
        <d v="2026-04-17T16:26:09" u="1"/>
        <d v="2026-04-17T16:41:29" u="1"/>
        <d v="2026-04-18T10:24:55" u="1"/>
        <d v="2026-04-18T10:25:05" u="1"/>
        <d v="2026-04-18T10:34:38" u="1"/>
        <d v="2026-04-18T12:09:38" u="1"/>
        <d v="2026-04-18T12:09:56" u="1"/>
        <d v="2026-04-18T12:10:14" u="1"/>
        <d v="2026-04-20T11:30:52" u="1"/>
        <d v="2026-04-20T11:31:06" u="1"/>
        <d v="2026-04-20T11:31:27" u="1"/>
        <d v="2026-04-20T12:58:38" u="1"/>
        <d v="2026-04-20T12:59:02" u="1"/>
        <d v="2026-04-20T14:05:15" u="1"/>
        <d v="2026-04-20T14:33:40" u="1"/>
        <d v="2026-04-20T14:34:26" u="1"/>
        <d v="2026-04-20T15:21:06" u="1"/>
        <d v="2026-04-20T16:40:57" u="1"/>
        <d v="2026-04-20T16:41:22" u="1"/>
        <d v="2026-04-20T17:00:56" u="1"/>
        <d v="2026-04-21T09:16:12" u="1"/>
        <d v="2026-04-21T10:01:21" u="1"/>
        <d v="2026-04-21T10:51:49" u="1"/>
        <d v="2026-04-21T10:52:03" u="1"/>
        <d v="2026-04-21T10:59:06" u="1"/>
        <d v="2026-04-21T12:09:13" u="1"/>
        <d v="2026-04-21T13:34:12" u="1"/>
        <d v="2026-04-21T13:49:26" u="1"/>
        <d v="2026-04-21T13:49:30" u="1"/>
        <d v="2026-04-21T14:28:07" u="1"/>
        <d v="2026-04-21T14:28:13" u="1"/>
        <d v="2026-04-21T14:36:39" u="1"/>
        <d v="2026-04-21T15:03:46" u="1"/>
        <d v="2026-04-21T17:48:14" u="1"/>
        <d v="2026-04-21T17:48:25" u="1"/>
        <d v="2026-04-21T17:48:57" u="1"/>
        <d v="2026-04-21T17:49:13" u="1"/>
        <d v="2026-04-22T09:36:17" u="1"/>
        <d v="2026-04-22T09:47:20" u="1"/>
        <d v="2026-04-22T09:47:55" u="1"/>
        <d v="2026-04-22T10:40:24" u="1"/>
        <d v="2026-04-22T10:48:23" u="1"/>
        <d v="2026-04-22T10:53:35" u="1"/>
        <d v="2026-04-22T12:28:18" u="1"/>
        <d v="2026-04-22T13:14:22" u="1"/>
        <d v="2026-04-22T13:56:53" u="1"/>
        <d v="2026-04-23T09:54:51" u="1"/>
        <d v="2026-04-23T10:24:47" u="1"/>
        <d v="2026-04-23T10:25:07" u="1"/>
        <d v="2026-04-23T10:25:25" u="1"/>
        <d v="2026-04-23T13:59:17" u="1"/>
        <d v="2026-04-23T13:59:25" u="1"/>
        <d v="2026-04-23T15:05:20" u="1"/>
        <d v="2026-04-24T12:20:01" u="1"/>
        <d v="2026-04-24T12:56:23" u="1"/>
        <d v="2026-04-24T13:02:36" u="1"/>
        <d v="2026-04-24T13:04:49" u="1"/>
        <d v="2026-04-24T13:04:56" u="1"/>
        <d v="2026-04-24T13:05:16" u="1"/>
        <d v="2026-04-24T13:41:52" u="1"/>
        <d v="2026-04-24T14:16:31" u="1"/>
        <d v="2026-04-24T14:16:39" u="1"/>
        <d v="2026-04-24T15:31:53" u="1"/>
        <d v="2026-04-24T15:32:03" u="1"/>
        <d v="2026-04-24T15:32:09" u="1"/>
        <d v="2026-04-24T15:32:16" u="1"/>
        <d v="2026-04-24T15:32:25" u="1"/>
        <d v="2026-04-24T15:32:33" u="1"/>
        <d v="2026-04-24T15:32:56" u="1"/>
        <d v="2026-04-24T16:00:21" u="1"/>
        <d v="2026-04-24T16:00:27" u="1"/>
        <d v="2026-04-27T09:55:10" u="1"/>
        <d v="2026-04-27T09:55:25" u="1"/>
        <d v="2026-04-27T11:20:21" u="1"/>
        <d v="2026-04-27T11:20:24" u="1"/>
        <d v="2026-04-27T12:12:42" u="1"/>
        <d v="2026-04-27T12:12:52" u="1"/>
        <d v="2026-04-27T12:40:58" u="1"/>
        <d v="2026-04-27T13:18:38" u="1"/>
        <d v="2026-04-27T13:58:07" u="1"/>
        <d v="2026-04-27T14:49:35" u="1"/>
        <d v="2026-04-27T15:00:10" u="1"/>
        <d v="2026-04-27T15:00:14" u="1"/>
        <d v="2026-04-27T15:00:30" u="1"/>
        <d v="2026-04-27T15:04:32" u="1"/>
        <d v="2026-04-27T15:19:11" u="1"/>
        <d v="2026-04-27T15:29:35" u="1"/>
        <d v="2026-04-27T15:29:47" u="1"/>
        <d v="2026-04-27T15:34:29" u="1"/>
        <d v="2026-04-27T15:48:26" u="1"/>
        <d v="2026-04-27T17:44:46" u="1"/>
        <d v="2026-04-27T17:44:59" u="1"/>
        <d v="2026-04-28T09:33:36" u="1"/>
        <d v="2026-04-28T09:57:05" u="1"/>
        <d v="2026-04-28T10:11:59" u="1"/>
        <d v="2026-04-28T10:12:19" u="1"/>
        <d v="2026-04-28T10:16:35" u="1"/>
        <d v="2026-04-28T10:23:15" u="1"/>
        <d v="2026-04-28T10:55:28" u="1"/>
        <d v="2026-04-28T12:09:38" u="1"/>
        <d v="2026-04-28T12:18:37" u="1"/>
        <d v="2026-04-28T12:30:11" u="1"/>
        <d v="2026-04-28T12:40:29" u="1"/>
        <d v="2026-04-28T13:04:32" u="1"/>
        <d v="2026-04-28T14:37:54" u="1"/>
        <d v="2026-04-28T14:38:00" u="1"/>
        <d v="2026-04-28T14:44:59" u="1"/>
        <d v="2026-04-29T12:18:12" u="1"/>
        <d v="2026-04-29T12:55:56" u="1"/>
        <d v="2026-04-29T12:56:12" u="1"/>
        <d v="2026-04-29T13:53:52" u="1"/>
        <d v="2026-04-29T13:54:03" u="1"/>
        <d v="2026-04-29T14:04:23" u="1"/>
        <d v="2026-04-30T14:58:53" u="1"/>
        <d v="2026-04-30T14:59:01" u="1"/>
        <d v="2026-04-30T15:06:07" u="1"/>
        <d v="2026-04-30T18:00:45" u="1"/>
        <d v="2026-04-30T18:00:52" u="1"/>
        <d v="2026-04-30T18:01:03" u="1"/>
        <d v="2026-05-02T09:51:20" u="1"/>
        <d v="2026-05-02T09:51:29" u="1"/>
        <d v="2026-05-02T10:18:28" u="1"/>
        <d v="2026-05-02T10:27:03" u="1"/>
        <d v="2026-05-02T11:53:14" u="1"/>
        <d v="2026-05-02T11:53:19" u="1"/>
        <d v="2026-05-02T11:53:26" u="1"/>
        <d v="2026-05-04T10:01:19" u="1"/>
        <d v="2026-05-04T10:01:26" u="1"/>
        <d v="2026-05-04T11:37:07" u="1"/>
        <d v="2026-05-04T11:37:14" u="1"/>
        <d v="2026-05-04T11:49:33" u="1"/>
        <d v="2026-05-04T12:02:58" u="1"/>
        <d v="2026-05-04T12:24:30" u="1"/>
        <d v="2026-05-04T12:59:56" u="1"/>
        <d v="2026-05-04T13:04:50" u="1"/>
        <d v="2026-05-04T13:30:39" u="1"/>
        <d v="2026-05-04T13:30:50" u="1"/>
        <d v="2026-05-04T13:54:15" u="1"/>
        <d v="2026-05-04T14:17:48" u="1"/>
        <d v="2026-05-04T14:18:08" u="1"/>
        <d v="2026-05-04T15:13:00" u="1"/>
        <d v="2026-05-04T15:13:24" u="1"/>
        <d v="2026-05-04T17:21:07" u="1"/>
        <d v="2026-05-04T17:33:39" u="1"/>
        <d v="2026-05-04T17:34:04" u="1"/>
        <d v="2026-05-04T17:34:15" u="1"/>
        <d v="2026-05-04T17:36:08" u="1"/>
        <d v="2026-05-04T17:54:45" u="1"/>
        <d v="2026-05-05T11:14:57" u="1"/>
        <d v="2026-05-05T11:15:13" u="1"/>
        <d v="2026-05-05T13:34:08" u="1"/>
        <d v="2026-05-05T14:51:50" u="1"/>
        <d v="2026-05-05T14:51:52" u="1"/>
        <d v="2026-05-05T14:52:08" u="1"/>
        <d v="2026-05-05T15:00:46" u="1"/>
        <d v="2026-05-05T18:02:51" u="1"/>
        <d v="2026-05-05T18:02:56" u="1"/>
        <d v="2026-05-05T18:03:02" u="1"/>
        <d v="2026-05-05T18:03:08" u="1"/>
        <d v="2026-05-05T18:03:14" u="1"/>
        <d v="2026-05-06T09:34:46" u="1"/>
        <d v="2026-05-06T10:39:47" u="1"/>
        <d v="2026-05-06T10:10:38" u="1"/>
        <d v="2026-05-06T10:13:10" u="1"/>
        <d v="2026-05-06T12:46:18" u="1"/>
        <d v="2026-05-06T13:07:12" u="1"/>
        <d v="2026-05-06T13:48:05" u="1"/>
        <d v="2026-05-06T14:24:10" u="1"/>
        <d v="2026-05-07T10:54:47" u="1"/>
        <d v="2026-05-07T10:54:54" u="1"/>
        <d v="2026-05-07T12:09:49" u="1"/>
        <d v="2026-05-07T12:58:59" u="1"/>
        <d v="2026-05-07T13:46:47" u="1"/>
        <d v="2026-05-07T13:46:55" u="1"/>
        <d v="2026-05-07T13:48:01" u="1"/>
        <d v="2026-05-07T13:48:08" u="1"/>
        <d v="2026-05-07T13:56:24" u="1"/>
        <d v="2026-05-07T14:09:55" u="1"/>
        <d v="2026-05-07T14:20:34" u="1"/>
        <d v="2026-05-07T14:37:16" u="1"/>
        <d v="2026-05-07T14:45:07" u="1"/>
        <d v="2026-05-07T14:49:45" u="1"/>
        <d v="2026-05-07T14:53:51" u="1"/>
        <d v="2026-05-08T09:16:40" u="1"/>
        <d v="2026-05-08T09:22:19" u="1"/>
        <d v="2026-05-08T11:38:07" u="1"/>
        <d v="2026-05-08T11:38:16" u="1"/>
        <d v="2026-05-08T11:58:36" u="1"/>
        <d v="2026-05-08T12:19:40" u="1"/>
        <d v="2026-05-08T12:31:36" u="1"/>
        <d v="2026-05-08T16:59:33" u="1"/>
        <d v="2026-05-08T16:59:40" u="1"/>
        <d v="2026-05-08T16:59:49" u="1"/>
        <d v="2026-05-09T09:38:32" u="1"/>
        <d v="2026-05-09T09:57:51" u="1"/>
        <d v="2026-05-09T10:24:38" u="1"/>
        <d v="2026-05-09T10:35:57" u="1"/>
        <d v="2026-05-09T11:23:21" u="1"/>
        <d v="2026-05-09T11:23:25" u="1"/>
        <d v="2026-05-09T11:54:28" u="1"/>
        <d v="2026-05-09T11:55:12" u="1"/>
        <d v="2026-05-11T09:10:31" u="1"/>
        <d v="2026-05-11T11:21:49" u="1"/>
        <d v="2026-05-11T11:21:56" u="1"/>
        <d v="2026-05-11T11:55:34" u="1"/>
        <d v="2026-05-11T12:01:22" u="1"/>
        <d v="2026-05-11T12:08:09" u="1"/>
        <d v="2026-05-11T12:24:58" u="1"/>
        <d v="2026-05-11T13:04:46" u="1"/>
        <d v="2026-05-11T14:34:00" u="1"/>
        <d v="2026-05-11T14:44:15" u="1"/>
        <d v="2026-05-11T15:12:34" u="1"/>
        <d v="2026-05-11T15:17:30" u="1"/>
        <d v="2026-05-11T15:58:18" u="1"/>
        <d v="2026-05-11T17:13:18" u="1"/>
        <d v="2026-05-11T17:13:26" u="1"/>
        <d v="2026-05-12T10:53:41" u="1"/>
        <d v="2026-05-12T10:54:11" u="1"/>
        <d v="2026-05-12T10:56:17" u="1"/>
        <d v="2026-05-12T11:09:44" u="1"/>
        <d v="2026-05-12T11:42:28" u="1"/>
        <d v="2026-05-12T13:16:02" u="1"/>
        <d v="2026-05-12T13:16:08" u="1"/>
        <d v="2026-05-12T13:54:11" u="1"/>
        <d v="2026-05-12T14:20:46" u="1"/>
        <d v="2026-05-12T14:20:56" u="1"/>
        <d v="2026-05-13T09:12:30" u="1"/>
        <d v="2026-05-13T10:48:32" u="1"/>
        <d v="2026-05-13T10:48:43" u="1"/>
        <d v="2026-05-13T10:48:54" u="1"/>
        <d v="2026-05-13T11:00:03" u="1"/>
        <d v="2026-05-13T12:28:25" u="1"/>
        <d v="2026-05-13T12:28:59" u="1"/>
        <d v="2026-05-13T12:42:40" u="1"/>
        <d v="2026-05-13T12:58:51" u="1"/>
        <d v="2026-05-13T13:45:31" u="1"/>
        <d v="2026-05-15T12:43:44" u="1"/>
        <d v="2026-05-15T12:43:52" u="1"/>
        <d v="2026-05-15T12:44:11" u="1"/>
        <d v="2026-05-15T13:20:04" u="1"/>
        <d v="2026-05-15T13:20:07" u="1"/>
        <d v="2026-05-15T13:22:31" u="1"/>
        <d v="2026-05-15T13:47:58" u="1"/>
        <d v="2026-05-15T13:48:01" u="1"/>
        <d v="2026-05-15T13:48:04" u="1"/>
        <d v="2026-05-15T13:48:09" u="1"/>
        <d v="2026-05-15T14:02:21" u="1"/>
        <d v="2026-05-15T14:17:37" u="1"/>
        <d v="2026-05-15T14:17:45" u="1"/>
        <d v="2026-05-15T14:17:55" u="1"/>
        <d v="2026-05-15T14:18:02" u="1"/>
        <d v="2026-05-15T14:44:15" u="1"/>
        <d v="2026-05-15T14:54:27" u="1"/>
        <d v="2026-05-15T14:54:32" u="1"/>
        <d v="2026-05-15T15:27:51" u="1"/>
        <d v="2026-05-15T15:35:56" u="1"/>
        <d v="2026-05-15T16:00:39" u="1"/>
        <d v="2026-05-16T10:42:28" u="1"/>
        <d v="2026-05-16T10:42:35" u="1"/>
        <d v="2026-05-16T10:42:44" u="1"/>
        <d v="2026-05-16T11:10:13" u="1"/>
        <d v="2026-05-16T11:48:53" u="1"/>
        <d v="2026-05-18T09:22:11" u="1"/>
        <d v="2026-05-18T10:23:04" u="1"/>
        <d v="2026-05-18T13:01:50" u="1"/>
        <d v="2026-05-18T13:02:01" u="1"/>
        <d v="2026-05-18T12:12:38" u="1"/>
        <d v="2026-05-18T12:12:50" u="1"/>
        <d v="2026-05-18T13:33:21" u="1"/>
        <d v="2026-05-18T13:33:27" u="1"/>
        <d v="2026-05-18T13:33:31" u="1"/>
        <d v="2026-05-18T13:33:51" u="1"/>
        <d v="2026-05-18T13:59:09" u="1"/>
        <d v="2026-05-18T14:12:46" u="1"/>
        <d v="2026-05-18T14:23:10" u="1"/>
        <d v="2026-05-18T15:02:11" u="1"/>
        <d v="2026-05-18T16:01:13" u="1"/>
        <d v="2026-05-18T16:01:23" u="1"/>
        <d v="2026-05-18T16:01:30" u="1"/>
        <d v="2026-05-18T16:47:52" u="1"/>
        <d v="2026-05-18T16:48:24" u="1"/>
        <d v="2026-05-18T16:50:45" u="1"/>
        <d v="2026-05-18T17:16:19" u="1"/>
        <d v="2026-05-18T17:16:26" u="1"/>
        <d v="2026-05-18T17:31:59" u="1"/>
        <d v="2026-05-18T17:32:18" u="1"/>
        <d v="2026-05-18T17:35:12" u="1"/>
        <d v="2026-05-19T09:29:47" u="1"/>
        <d v="2026-05-19T11:31:28" u="1"/>
        <d v="2026-05-19T11:31:53" u="1"/>
        <d v="2026-05-19T11:55:03" u="1"/>
        <d v="2026-05-19T13:20:06" u="1"/>
        <d v="2026-05-19T14:51:42" u="1"/>
        <d v="2026-05-19T15:01:28" u="1"/>
        <d v="2026-05-19T15:10:03" u="1"/>
        <d v="2026-05-19T15:13:00" u="1"/>
        <d v="2026-05-19T15:21:15" u="1"/>
        <d v="2026-05-19T15:28:30" u="1"/>
        <d v="2026-05-19T15:39:31" u="1"/>
        <d v="2026-05-19T16:29:23" u="1"/>
        <d v="2026-05-19T16:29:34" u="1"/>
        <d v="2026-05-19T16:29:43" u="1"/>
        <d v="2026-05-19T18:25:09" u="1"/>
        <d v="2026-05-20T12:20:38" u="1"/>
        <d v="2026-05-20T12:40:10" u="1"/>
        <d v="2026-05-20T13:07:54" u="1"/>
        <d v="2026-05-20T13:12:30" u="1"/>
        <d v="2026-05-20T14:58:08" u="1"/>
        <d v="2026-05-20T14:58:21" u="1"/>
        <d v="2026-05-20T14:58:29" u="1"/>
        <d v="2026-05-20T15:29:09" u="1"/>
        <d v="2026-05-20T15:29:20" u="1"/>
        <d v="2026-05-20T16:27:14" u="1"/>
        <d v="2026-05-20T16:27:24" u="1"/>
        <d v="2026-05-20T16:41:06" u="1"/>
        <d v="2026-05-20T17:19:31" u="1"/>
        <d v="2026-05-21T10:22:46" u="1"/>
        <d v="2026-05-21T11:34:06" u="1"/>
        <d v="2026-05-21T11:34:17" u="1"/>
        <d v="2026-05-21T13:49:31" u="1"/>
        <d v="2026-05-21T13:49:39" u="1"/>
        <d v="2026-05-21T14:31:22" u="1"/>
        <d v="2026-05-21T15:27:10" u="1"/>
        <d v="2026-05-21T15:41:19" u="1"/>
        <d v="2026-05-21T17:42:09" u="1"/>
        <d v="2026-05-22T09:07:50" u="1"/>
        <d v="2026-05-22T10:55:16" u="1"/>
        <d v="2026-05-22T10:55:27" u="1"/>
        <d v="2026-05-22T11:15:17" u="1"/>
        <d v="2026-05-22T11:49:08" u="1"/>
        <d v="2026-05-22T13:00:41" u="1"/>
        <d v="2026-05-22T13:00:55" u="1"/>
        <d v="2026-05-22T13:51:53" u="1"/>
        <d v="2026-05-22T14:34:02" u="1"/>
        <d v="2026-05-22T16:36:44" u="1"/>
        <d v="2026-05-22T17:52:52" u="1"/>
        <d v="2026-05-26T09:29:45" u="1"/>
        <d v="2026-05-26T09:55:03" u="1"/>
        <d v="2026-05-26T10:19:13" u="1"/>
        <d v="2026-05-26T10:19:23" u="1"/>
        <d v="2026-05-26T11:07:47" u="1"/>
        <d v="2026-05-26T11:07:54" u="1"/>
        <d v="2026-05-26T11:20:19" u="1"/>
        <d v="2026-05-26T11:50:15" u="1"/>
        <d v="2026-05-26T11:55:11" u="1"/>
        <d v="2026-05-26T12:24:51" u="1"/>
        <d v="2026-05-26T12:50:18" u="1"/>
        <d v="2026-05-26T13:16:05" u="1"/>
        <d v="2026-05-26T14:19:33" u="1"/>
        <d v="2026-05-26T14:19:41" u="1"/>
        <d v="2026-05-26T15:52:11" u="1"/>
        <d v="2026-05-26T16:40:33" u="1"/>
        <d v="2026-05-26T16:40:46" u="1"/>
        <d v="2026-05-26T17:45:51" u="1"/>
        <d v="2026-05-26T17:46:04" u="1"/>
        <d v="2026-05-27T10:01:48" u="1"/>
        <d v="2026-05-27T10:01:58" u="1"/>
        <d v="2026-05-27T10:02:16" u="1"/>
        <d v="2026-05-27T11:57:25" u="1"/>
        <d v="2026-05-27T12:39:14" u="1"/>
        <d v="2026-05-27T12:39:33" u="1"/>
        <d v="2026-05-27T12:39:39" u="1"/>
        <d v="2026-05-27T17:14:39" u="1"/>
        <d v="2026-05-27T17:14:44" u="1"/>
        <d v="2026-05-28T10:52:20" u="1"/>
        <d v="2026-05-28T10:52:30" u="1"/>
        <d v="2026-05-28T11:00:46" u="1"/>
        <d v="2026-05-28T11:58:30" u="1"/>
        <d v="2026-05-28T13:29:45" u="1"/>
        <d v="2026-05-28T14:41:31" u="1"/>
        <d v="2026-05-28T14:41:38" u="1"/>
        <d v="2026-05-28T14:41:52" u="1"/>
        <d v="2026-05-28T14:41:58" u="1"/>
        <d v="2026-05-28T17:09:58" u="1"/>
        <d v="2026-05-29T09:38:34" u="1"/>
        <d v="2026-05-29T10:07:32" u="1"/>
        <d v="2026-05-29T12:08:26" u="1"/>
        <d v="2026-05-29T12:15:52" u="1"/>
        <d v="2026-05-29T12:17:59" u="1"/>
        <d v="2026-05-29T12:29:25" u="1"/>
        <d v="2026-05-29T16:32:34" u="1"/>
        <d v="2026-05-29T16:32:49" u="1"/>
        <d v="2026-05-29T16:33:05" u="1"/>
        <d v="2026-05-29T17:14:18" u="1"/>
        <d v="2026-05-29T17:23:39" u="1"/>
        <d v="2026-05-29T17:58:48" u="1"/>
        <d v="2026-05-30T11:08:25" u="1"/>
        <d v="2026-05-30T11:08:37" u="1"/>
        <d v="2026-05-30T11:08:44" u="1"/>
        <d v="2026-05-30T11:09:32" u="1"/>
        <d v="2026-06-01T09:38:33" u="1"/>
        <d v="2026-06-01T11:41:47" u="1"/>
        <d v="2026-06-01T11:41:53" u="1"/>
        <d v="2026-06-01T11:42:00" u="1"/>
        <d v="2026-06-01T13:02:25" u="1"/>
        <d v="2026-06-01T13:17:02" u="1"/>
        <d v="2026-06-01T13:57:04" u="1"/>
        <d v="2026-06-01T14:09:47" u="1"/>
        <d v="2026-06-01T14:10:00" u="1"/>
        <d v="2026-06-01T14:17:04" u="1"/>
        <d v="2026-06-01T14:31:21" u="1"/>
        <d v="2026-06-01T14:56:26" u="1"/>
        <d v="2026-06-01T14:57:29" u="1"/>
        <d v="2026-06-01T15:15:06" u="1"/>
        <d v="2026-06-01T15:15:25" u="1"/>
        <d v="2026-06-01T15:50:45" u="1"/>
        <d v="2026-06-01T17:43:00" u="1"/>
        <d v="2026-06-01T17:43:07" u="1"/>
        <d v="2026-06-01T17:43:17" u="1"/>
        <d v="2026-06-01T17:43:33" u="1"/>
        <d v="2026-06-02T11:13:34" u="1"/>
        <d v="2026-06-02T11:59:05" u="1"/>
        <d v="2026-06-02T13:54:47" u="1"/>
        <d v="2026-06-02T14:03:46" u="1"/>
        <d v="2026-06-02T14:12:05" u="1"/>
        <d v="2026-06-02T14:12:13" u="1"/>
        <d v="2026-06-02T14:49:41" u="1"/>
        <d v="2026-06-02T15:05:45" u="1"/>
        <d v="2026-06-02T17:54:04" u="1"/>
        <d v="2026-06-02T17:54:13" u="1"/>
        <d v="2026-06-02T17:54:20" u="1"/>
        <d v="2026-06-02T17:54:26" u="1"/>
        <d v="2026-06-02T17:54:35" u="1"/>
        <d v="2026-06-03T09:30:25" u="1"/>
        <d v="2026-06-03T09:30:42" u="1"/>
        <d v="2026-06-03T12:00:35" u="1"/>
        <d v="2026-06-03T12:00:47" u="1"/>
        <d v="2026-06-03T12:00:54" u="1"/>
        <d v="2026-06-04T09:40:17" u="1"/>
        <d v="2026-06-04T10:29:17" u="1"/>
        <d v="2026-06-04T10:57:19" u="1"/>
        <d v="2026-06-04T12:02:41" u="1"/>
        <d v="2026-06-04T12:02:45" u="1"/>
        <d v="2026-06-04T14:28:31" u="1"/>
        <d v="2026-06-04T14:28:45" u="1"/>
        <d v="2026-06-04T14:28:51" u="1"/>
        <d v="2026-06-04T14:29:01" u="1"/>
        <d v="2026-06-04T17:55:55" u="1"/>
        <d v="2026-06-04T17:56:04" u="1"/>
        <d v="2026-06-04T17:56:21" u="1"/>
        <d v="2026-06-05T11:16:18" u="1"/>
        <d v="2026-06-05T11:58:23" u="1"/>
        <d v="2026-06-05T12:44:02" u="1"/>
        <d v="2026-06-05T12:44:11" u="1"/>
        <d v="2026-06-05T12:44:27" u="1"/>
        <d v="2026-06-05T13:48:57" u="1"/>
        <d v="2026-06-05T14:36:55" u="1"/>
        <d v="2026-06-05T14:37:05" u="1"/>
        <d v="2026-06-05T15:10:05" u="1"/>
        <d v="2026-06-06T09:49:55" u="1"/>
        <d v="2026-06-06T11:24:37" u="1"/>
        <d v="2026-06-06T11:53:10" u="1"/>
        <d v="2026-06-08T09:38:59" u="1"/>
        <d v="2026-06-08T09:40:33" u="1"/>
        <d v="2026-06-08T10:21:35" u="1"/>
        <d v="2026-06-08T10:56:00" u="1"/>
        <d v="2026-06-08T11:22:00" u="1"/>
        <d v="2026-06-08T11:23:00" u="1"/>
        <d v="2026-06-08T11:32:00" u="1"/>
        <d v="2026-06-08T11:36:00" u="1"/>
        <d v="2026-06-08T13:42:24" u="1"/>
        <d v="2026-06-08T14:22:33" u="1"/>
        <d v="2026-06-08T14:22:46" u="1"/>
        <d v="2026-06-08T14:47:18" u="1"/>
        <d v="2026-06-08T14:47:25" u="1"/>
        <d v="2026-06-08T14:47:30" u="1"/>
        <d v="2026-06-08T14:47:43" u="1"/>
        <d v="2026-06-08T14:55:53" u="1"/>
        <d v="2026-06-08T14:55:59" u="1"/>
        <d v="2026-06-08T15:21:01" u="1"/>
        <d v="2026-06-08T15:21:04" u="1"/>
        <d v="2026-06-08T17:04:15" u="1"/>
        <d v="2026-06-08T17:30:33" u="1"/>
        <d v="2026-06-08T18:04:44" u="1"/>
        <d v="2026-06-09T09:13:16" u="1"/>
        <d v="2026-06-09T09:13:31" u="1"/>
        <d v="2026-06-09T10:17:06" u="1"/>
        <d v="2026-06-09T11:58:31" u="1"/>
        <d v="2026-06-09T12:41:16" u="1"/>
        <d v="2026-06-09T13:19:14" u="1"/>
        <d v="2026-06-09T13:57:26" u="1"/>
        <d v="2026-06-09T13:57:31" u="1"/>
        <d v="2026-06-09T14:20:01" u="1"/>
        <d v="2026-06-09T14:22:59" u="1"/>
        <d v="2026-06-09T14:55:51" u="1"/>
        <d v="2026-06-09T14:56:59" u="1"/>
        <d v="2026-06-11T09:09:27" u="1"/>
        <d v="2026-06-11T09:54:43" u="1"/>
        <d v="2026-06-11T10:06:49" u="1"/>
        <d v="2026-06-11T10:45:07" u="1"/>
        <d v="2026-06-11T10:59:16" u="1"/>
        <d v="2026-06-11T11:13:02" u="1"/>
        <d v="2026-06-11T12:12:21" u="1"/>
        <d v="2026-06-11T12:46:21" u="1"/>
        <d v="2026-06-11T13:21:09" u="1"/>
        <d v="2026-06-11T13:21:29" u="1"/>
        <d v="2026-06-11T13:21:33" u="1"/>
        <d v="2026-06-11T13:53:01" u="1"/>
        <d v="2026-06-18T12:14:11" u="1"/>
        <d v="2026-06-18T12:22:37" u="1"/>
        <d v="2026-06-18T15:56:50" u="1"/>
        <d v="2026-06-18T16:51:59" u="1"/>
        <d v="2026-06-18T16:52:23" u="1"/>
        <d v="2026-06-19T09:49:13" u="1"/>
        <d v="2026-06-19T09:49:24" u="1"/>
        <d v="2026-06-19T09:49:52" u="1"/>
        <d v="2026-06-19T11:48:59" u="1"/>
        <d v="2026-06-19T11:50:07" u="1"/>
        <d v="2026-06-19T14:42:07" u="1"/>
        <d v="2026-06-19T17:59:26" u="1"/>
        <d v="2026-06-20T11:43:00" u="1"/>
        <d v="2026-06-20T11:43:07" u="1"/>
        <d v="2026-06-20T11:43:14" u="1"/>
        <d v="2026-06-20T11:43:23" u="1"/>
        <d v="2026-06-22T12:11:59" u="1"/>
        <d v="2026-06-22T12:31:29" u="1"/>
        <d v="2026-06-22T12:44:23" u="1"/>
        <d v="2026-06-22T12:49:27" u="1"/>
        <d v="2026-06-22T12:49:35" u="1"/>
        <d v="2026-06-22T13:01:22" u="1"/>
        <d v="2026-06-22T13:14:27" u="1"/>
        <d v="2026-06-22T13:41:01" u="1"/>
        <d v="2026-06-22T13:55:49" u="1"/>
        <d v="2026-06-22T14:29:17" u="1"/>
        <d v="2026-06-22T14:29:23" u="1"/>
        <d v="2026-06-22T15:29:47" u="1"/>
        <d v="2026-06-22T15:37:24" u="1"/>
        <d v="2026-06-22T15:42:32" u="1"/>
        <d v="2026-06-22T15:55:31" u="1"/>
        <d v="2026-06-22T18:10:40" u="1"/>
        <d v="2026-06-25T09:41:36" u="1"/>
        <d v="2026-06-25T10:47:38" u="1"/>
        <d v="2026-06-25T10:48:00" u="1"/>
        <d v="2026-06-25T10:55:16" u="1"/>
        <d v="2026-06-25T12:16:54" u="1"/>
        <d v="2026-06-25T12:17:09" u="1"/>
        <d v="2026-06-25T12:52:15" u="1"/>
        <d v="2026-06-25T13:11:23" u="1"/>
        <d v="2026-06-25T13:33:47" u="1"/>
        <d v="2026-06-25T14:18:59" u="1"/>
        <d v="2026-06-25T14:31:26" u="1"/>
        <d v="2026-06-25T14:31:47" u="1"/>
        <d v="2026-06-25T14:32:08" u="1"/>
        <d v="2026-06-25T14:57:02" u="1"/>
        <d v="2026-06-25T17:41:12" u="1"/>
        <d v="2026-06-25T17:41:28" u="1"/>
        <d v="2026-06-26T09:34:43" u="1"/>
        <d v="2026-06-26T11:10:36" u="1"/>
        <d v="2026-06-26T11:16:06" u="1"/>
        <d v="2026-06-26T13:26:17" u="1"/>
        <d v="2026-06-26T17:52:19" u="1"/>
        <d v="2026-06-26T17:52:49" u="1"/>
        <d v="2026-06-26T17:52:58" u="1"/>
        <d v="2026-06-26T17:53:06" u="1"/>
        <d v="2026-06-26T17:53:15" u="1"/>
        <d v="2026-06-30T11:41:32" u="1"/>
        <d v="2026-06-30T11:41:43" u="1"/>
        <d v="2026-06-30T11:41:56" u="1"/>
        <d v="2026-06-30T12:01:08" u="1"/>
        <d v="2026-06-30T12:01:45" u="1"/>
        <d v="2026-06-30T12:02:37" u="1"/>
        <d v="2026-06-30T12:03:39" u="1"/>
        <d v="2026-06-30T12:03:53" u="1"/>
        <d v="2026-06-30T12:48:52" u="1"/>
        <d v="2026-06-30T12:53:05" u="1"/>
        <d v="2026-06-30T13:55:26" u="1"/>
        <d v="2026-06-30T13:55:37" u="1"/>
        <d v="2026-06-30T14:04:47" u="1"/>
        <d v="2026-06-30T14:29:52" u="1"/>
        <d v="2026-06-30T14:45:28" u="1"/>
        <d v="2026-06-30T14:48:18" u="1"/>
        <d v="2026-06-30T15:13:09" u="1"/>
      </sharedItems>
      <fieldGroup par="21"/>
    </cacheField>
    <cacheField name="horaire finale" numFmtId="0">
      <sharedItems count="9">
        <s v="10h-11h"/>
        <s v="14h-15h"/>
        <s v="15h-16h"/>
        <s v="12h-13h"/>
        <s v="13h-14h"/>
        <s v="9h-10h"/>
        <s v="16h-17h"/>
        <s v="11h-12h"/>
        <s v="17h-18h"/>
      </sharedItems>
    </cacheField>
    <cacheField name="Jour" numFmtId="0">
      <sharedItems count="6">
        <s v="mardi"/>
        <s v="mercredi"/>
        <s v="jeudi"/>
        <s v="vendredi"/>
        <s v="samedi"/>
        <s v="lundi"/>
      </sharedItems>
    </cacheField>
    <cacheField name="typeService" numFmtId="0">
      <sharedItems count="2">
        <s v="en présentiel"/>
        <s v="au téléphone"/>
      </sharedItems>
    </cacheField>
    <cacheField name="langue" numFmtId="0">
      <sharedItems/>
    </cacheField>
    <cacheField name="duree" numFmtId="0">
      <sharedItems count="4">
        <s v="6-15 min"/>
        <s v="moins de 1 min"/>
        <s v="1-5 min"/>
        <s v="15 min et plus"/>
      </sharedItems>
    </cacheField>
    <cacheField name="moyenne" numFmtId="0">
      <sharedItems containsSemiMixedTypes="0" containsString="0" containsNumber="1" minValue="0.5" maxValue="20"/>
    </cacheField>
    <cacheField name="rechercheBibliographique" numFmtId="0">
      <sharedItems containsSemiMixedTypes="0" containsString="0" containsNumber="1" containsInteger="1" minValue="0" maxValue="1"/>
    </cacheField>
    <cacheField name="rechercheDocumentaire" numFmtId="0">
      <sharedItems containsSemiMixedTypes="0" containsString="0" containsNumber="1" containsInteger="1" minValue="0" maxValue="1"/>
    </cacheField>
    <cacheField name="catalogueSwisscoveryAlma" numFmtId="0">
      <sharedItems containsSemiMixedTypes="0" containsString="0" containsNumber="1" containsInteger="1" minValue="0" maxValue="1"/>
    </cacheField>
    <cacheField name="catalogueAutre" numFmtId="0">
      <sharedItems containsSemiMixedTypes="0" containsString="0" containsNumber="1" containsInteger="1" minValue="0" maxValue="1"/>
    </cacheField>
    <cacheField name="inscription" numFmtId="0">
      <sharedItems containsSemiMixedTypes="0" containsString="0" containsNumber="1" containsInteger="1" minValue="0" maxValue="1"/>
    </cacheField>
    <cacheField name="prêt" numFmtId="0">
      <sharedItems containsSemiMixedTypes="0" containsString="0" containsNumber="1" containsInteger="1" minValue="0" maxValue="1"/>
    </cacheField>
    <cacheField name="mondoPC" numFmtId="0">
      <sharedItems containsSemiMixedTypes="0" containsString="0" containsNumber="1" containsInteger="1" minValue="0" maxValue="1"/>
    </cacheField>
    <cacheField name="bureautique" numFmtId="0">
      <sharedItems containsSemiMixedTypes="0" containsString="0" containsNumber="1" containsInteger="1" minValue="0" maxValue="1"/>
    </cacheField>
    <cacheField name="modalites" numFmtId="0">
      <sharedItems containsSemiMixedTypes="0" containsString="0" containsNumber="1" containsInteger="1" minValue="0" maxValue="1"/>
    </cacheField>
    <cacheField name="orientation" numFmtId="0">
      <sharedItems containsSemiMixedTypes="0" containsString="0" containsNumber="1" containsInteger="1" minValue="0" maxValue="1"/>
    </cacheField>
    <cacheField name="autreRenseignement" numFmtId="0">
      <sharedItems containsSemiMixedTypes="0" containsString="0" containsNumber="1" containsInteger="1" minValue="0" maxValue="1"/>
    </cacheField>
    <cacheField name="remarques" numFmtId="0">
      <sharedItems containsBlank="1" longText="1"/>
    </cacheField>
    <cacheField name="Mois (horodatage)" numFmtId="0" databaseField="0">
      <fieldGroup base="0">
        <rangePr groupBy="months" startDate="2025-07-01T10:16:06" endDate="2025-12-24T14:50:10"/>
        <groupItems count="14">
          <s v="&lt;01.07.2025"/>
          <s v="janv"/>
          <s v="févr"/>
          <s v="mars"/>
          <s v="avr"/>
          <s v="mai"/>
          <s v="juin"/>
          <s v="juil"/>
          <s v="août"/>
          <s v="sept"/>
          <s v="oct"/>
          <s v="nov"/>
          <s v="déc"/>
          <s v="&gt;24.12.2025"/>
        </groupItems>
      </fieldGroup>
    </cacheField>
    <cacheField name="Trimestres (horodatage)" numFmtId="0" databaseField="0">
      <fieldGroup base="0">
        <rangePr groupBy="quarters" startDate="2025-07-01T10:16:06" endDate="2025-12-24T14:50:10"/>
        <groupItems count="6">
          <s v="&lt;01.07.2025"/>
          <s v="Trimestre1"/>
          <s v="Trimestre2"/>
          <s v="Trimestre3"/>
          <s v="Trimestre4"/>
          <s v="&gt;24.12.2025"/>
        </groupItems>
      </fieldGroup>
    </cacheField>
    <cacheField name="Années (horodatage)" numFmtId="0" databaseField="0">
      <fieldGroup base="0">
        <rangePr groupBy="years" startDate="2025-07-01T10:16:06" endDate="2025-12-24T14:50:10"/>
        <groupItems count="3">
          <s v="&lt;01.07.2025"/>
          <s v="2025"/>
          <s v="&gt;24.12.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1">
  <r>
    <x v="0"/>
    <x v="0"/>
    <x v="0"/>
    <x v="0"/>
    <s v="français"/>
    <x v="0"/>
    <n v="10.5"/>
    <n v="0"/>
    <n v="0"/>
    <s v="A des vieux documents, affiches et partitions, entre autre sur l'Escalade, et voudrait savoir leur prix."/>
    <x v="0"/>
  </r>
  <r>
    <x v="0"/>
    <x v="0"/>
    <x v="0"/>
    <x v="0"/>
    <s v="français"/>
    <x v="0"/>
    <n v="10.5"/>
    <n v="0"/>
    <n v="0"/>
    <s v="A des vieux documents, affiches et partitions, entre autre sur l'Escalade, et voudrait savoir leur prix."/>
    <x v="1"/>
  </r>
  <r>
    <x v="1"/>
    <x v="1"/>
    <x v="0"/>
    <x v="0"/>
    <s v="français"/>
    <x v="0"/>
    <n v="10.5"/>
    <n v="1"/>
    <n v="0"/>
    <m/>
    <x v="2"/>
  </r>
  <r>
    <x v="2"/>
    <x v="1"/>
    <x v="0"/>
    <x v="0"/>
    <s v="français"/>
    <x v="0"/>
    <n v="10.5"/>
    <n v="1"/>
    <n v="0"/>
    <m/>
    <x v="2"/>
  </r>
  <r>
    <x v="3"/>
    <x v="1"/>
    <x v="0"/>
    <x v="0"/>
    <s v="français"/>
    <x v="0"/>
    <n v="10.5"/>
    <n v="0"/>
    <n v="0"/>
    <m/>
    <x v="3"/>
  </r>
  <r>
    <x v="4"/>
    <x v="1"/>
    <x v="0"/>
    <x v="0"/>
    <s v="français"/>
    <x v="1"/>
    <n v="0.5"/>
    <n v="0"/>
    <n v="0"/>
    <m/>
    <x v="4"/>
  </r>
  <r>
    <x v="5"/>
    <x v="1"/>
    <x v="0"/>
    <x v="0"/>
    <s v="français"/>
    <x v="2"/>
    <n v="3"/>
    <n v="0"/>
    <n v="0"/>
    <m/>
    <x v="2"/>
  </r>
  <r>
    <x v="5"/>
    <x v="1"/>
    <x v="0"/>
    <x v="0"/>
    <s v="français"/>
    <x v="2"/>
    <n v="3"/>
    <n v="0"/>
    <n v="0"/>
    <m/>
    <x v="5"/>
  </r>
  <r>
    <x v="6"/>
    <x v="1"/>
    <x v="0"/>
    <x v="0"/>
    <s v="français"/>
    <x v="1"/>
    <n v="0.5"/>
    <n v="0"/>
    <n v="0"/>
    <m/>
    <x v="0"/>
  </r>
  <r>
    <x v="7"/>
    <x v="1"/>
    <x v="0"/>
    <x v="0"/>
    <s v="français"/>
    <x v="2"/>
    <n v="3"/>
    <n v="1"/>
    <n v="0"/>
    <m/>
    <x v="6"/>
  </r>
  <r>
    <x v="8"/>
    <x v="1"/>
    <x v="0"/>
    <x v="0"/>
    <s v="français"/>
    <x v="2"/>
    <n v="3"/>
    <n v="1"/>
    <n v="0"/>
    <s v="Consultation du Temps "/>
    <x v="2"/>
  </r>
  <r>
    <x v="9"/>
    <x v="1"/>
    <x v="0"/>
    <x v="0"/>
    <s v="français"/>
    <x v="2"/>
    <n v="3"/>
    <n v="1"/>
    <n v="0"/>
    <m/>
    <x v="2"/>
  </r>
  <r>
    <x v="10"/>
    <x v="2"/>
    <x v="0"/>
    <x v="0"/>
    <s v="français"/>
    <x v="2"/>
    <n v="3"/>
    <n v="0"/>
    <n v="0"/>
    <m/>
    <x v="3"/>
  </r>
  <r>
    <x v="11"/>
    <x v="2"/>
    <x v="0"/>
    <x v="0"/>
    <s v="anglais"/>
    <x v="2"/>
    <n v="3"/>
    <n v="0"/>
    <n v="0"/>
    <m/>
    <x v="4"/>
  </r>
  <r>
    <x v="12"/>
    <x v="0"/>
    <x v="1"/>
    <x v="0"/>
    <s v="français"/>
    <x v="3"/>
    <n v="20"/>
    <n v="1"/>
    <n v="0"/>
    <m/>
    <x v="6"/>
  </r>
  <r>
    <x v="12"/>
    <x v="0"/>
    <x v="1"/>
    <x v="0"/>
    <s v="français"/>
    <x v="3"/>
    <n v="20"/>
    <n v="1"/>
    <n v="0"/>
    <m/>
    <x v="3"/>
  </r>
  <r>
    <x v="12"/>
    <x v="0"/>
    <x v="1"/>
    <x v="0"/>
    <s v="français"/>
    <x v="3"/>
    <n v="20"/>
    <n v="1"/>
    <n v="0"/>
    <m/>
    <x v="4"/>
  </r>
  <r>
    <x v="12"/>
    <x v="0"/>
    <x v="1"/>
    <x v="0"/>
    <s v="français"/>
    <x v="3"/>
    <n v="20"/>
    <n v="1"/>
    <n v="0"/>
    <m/>
    <x v="7"/>
  </r>
  <r>
    <x v="12"/>
    <x v="0"/>
    <x v="1"/>
    <x v="0"/>
    <s v="français"/>
    <x v="3"/>
    <n v="20"/>
    <n v="1"/>
    <n v="0"/>
    <m/>
    <x v="0"/>
  </r>
  <r>
    <x v="13"/>
    <x v="3"/>
    <x v="1"/>
    <x v="0"/>
    <s v="français"/>
    <x v="1"/>
    <n v="0.5"/>
    <n v="0"/>
    <n v="0"/>
    <m/>
    <x v="0"/>
  </r>
  <r>
    <x v="14"/>
    <x v="3"/>
    <x v="1"/>
    <x v="0"/>
    <s v="français"/>
    <x v="1"/>
    <n v="0.5"/>
    <n v="0"/>
    <n v="0"/>
    <m/>
    <x v="0"/>
  </r>
  <r>
    <x v="15"/>
    <x v="4"/>
    <x v="1"/>
    <x v="0"/>
    <s v="français"/>
    <x v="0"/>
    <n v="10.5"/>
    <n v="0"/>
    <n v="0"/>
    <s v="Orientation vers UniMail pour une recherche de documents en science politique"/>
    <x v="1"/>
  </r>
  <r>
    <x v="16"/>
    <x v="4"/>
    <x v="1"/>
    <x v="0"/>
    <s v="français"/>
    <x v="2"/>
    <n v="3"/>
    <n v="0"/>
    <n v="0"/>
    <m/>
    <x v="4"/>
  </r>
  <r>
    <x v="17"/>
    <x v="1"/>
    <x v="1"/>
    <x v="0"/>
    <s v="français"/>
    <x v="2"/>
    <n v="3"/>
    <n v="0"/>
    <n v="0"/>
    <m/>
    <x v="7"/>
  </r>
  <r>
    <x v="18"/>
    <x v="1"/>
    <x v="1"/>
    <x v="0"/>
    <s v="français"/>
    <x v="1"/>
    <n v="0.5"/>
    <n v="0"/>
    <n v="0"/>
    <m/>
    <x v="0"/>
  </r>
  <r>
    <x v="19"/>
    <x v="1"/>
    <x v="1"/>
    <x v="0"/>
    <s v="français"/>
    <x v="2"/>
    <n v="3"/>
    <n v="0"/>
    <n v="0"/>
    <m/>
    <x v="7"/>
  </r>
  <r>
    <x v="20"/>
    <x v="5"/>
    <x v="2"/>
    <x v="0"/>
    <s v="français"/>
    <x v="1"/>
    <n v="0.5"/>
    <n v="0"/>
    <n v="0"/>
    <m/>
    <x v="0"/>
  </r>
  <r>
    <x v="21"/>
    <x v="4"/>
    <x v="2"/>
    <x v="0"/>
    <s v="français"/>
    <x v="3"/>
    <n v="20"/>
    <n v="1"/>
    <n v="0"/>
    <m/>
    <x v="6"/>
  </r>
  <r>
    <x v="21"/>
    <x v="4"/>
    <x v="2"/>
    <x v="0"/>
    <s v="français"/>
    <x v="3"/>
    <n v="20"/>
    <n v="1"/>
    <n v="0"/>
    <m/>
    <x v="3"/>
  </r>
  <r>
    <x v="22"/>
    <x v="1"/>
    <x v="2"/>
    <x v="1"/>
    <s v="français"/>
    <x v="0"/>
    <n v="10.5"/>
    <n v="1"/>
    <n v="0"/>
    <s v="Travail de maturité : influence de la musique sur les performances sportives / influence de la musique sur l'éducation ou autre forme d'apprentissge / envoyé à UNIMAIL"/>
    <x v="6"/>
  </r>
  <r>
    <x v="22"/>
    <x v="1"/>
    <x v="2"/>
    <x v="1"/>
    <s v="français"/>
    <x v="0"/>
    <n v="10.5"/>
    <n v="1"/>
    <n v="0"/>
    <s v="Travail de maturité : influence de la musique sur les performances sportives / influence de la musique sur l'éducation ou autre forme d'apprentissge / envoyé à UNIMAIL"/>
    <x v="1"/>
  </r>
  <r>
    <x v="23"/>
    <x v="6"/>
    <x v="2"/>
    <x v="0"/>
    <s v="anglais"/>
    <x v="2"/>
    <n v="3"/>
    <n v="0"/>
    <n v="0"/>
    <m/>
    <x v="4"/>
  </r>
  <r>
    <x v="24"/>
    <x v="6"/>
    <x v="2"/>
    <x v="0"/>
    <s v="français"/>
    <x v="2"/>
    <n v="3"/>
    <n v="0"/>
    <n v="0"/>
    <m/>
    <x v="8"/>
  </r>
  <r>
    <x v="25"/>
    <x v="5"/>
    <x v="3"/>
    <x v="0"/>
    <s v="français"/>
    <x v="0"/>
    <n v="10.5"/>
    <n v="0"/>
    <n v="0"/>
    <m/>
    <x v="3"/>
  </r>
  <r>
    <x v="26"/>
    <x v="5"/>
    <x v="3"/>
    <x v="1"/>
    <s v="français"/>
    <x v="0"/>
    <n v="10.5"/>
    <n v="0"/>
    <n v="0"/>
    <m/>
    <x v="0"/>
  </r>
  <r>
    <x v="27"/>
    <x v="5"/>
    <x v="3"/>
    <x v="0"/>
    <s v="français"/>
    <x v="2"/>
    <n v="3"/>
    <n v="0"/>
    <n v="0"/>
    <m/>
    <x v="7"/>
  </r>
  <r>
    <x v="28"/>
    <x v="0"/>
    <x v="3"/>
    <x v="0"/>
    <s v="français"/>
    <x v="2"/>
    <n v="3"/>
    <n v="0"/>
    <n v="0"/>
    <m/>
    <x v="8"/>
  </r>
  <r>
    <x v="29"/>
    <x v="0"/>
    <x v="3"/>
    <x v="0"/>
    <s v="français"/>
    <x v="1"/>
    <n v="0.5"/>
    <n v="0"/>
    <n v="0"/>
    <m/>
    <x v="1"/>
  </r>
  <r>
    <x v="30"/>
    <x v="7"/>
    <x v="3"/>
    <x v="0"/>
    <s v="français"/>
    <x v="0"/>
    <n v="10.5"/>
    <n v="0"/>
    <n v="0"/>
    <m/>
    <x v="3"/>
  </r>
  <r>
    <x v="31"/>
    <x v="7"/>
    <x v="3"/>
    <x v="0"/>
    <s v="français"/>
    <x v="0"/>
    <n v="10.5"/>
    <n v="0"/>
    <n v="0"/>
    <m/>
    <x v="3"/>
  </r>
  <r>
    <x v="32"/>
    <x v="7"/>
    <x v="3"/>
    <x v="0"/>
    <s v="français"/>
    <x v="2"/>
    <n v="3"/>
    <n v="0"/>
    <n v="0"/>
    <m/>
    <x v="3"/>
  </r>
  <r>
    <x v="33"/>
    <x v="7"/>
    <x v="3"/>
    <x v="0"/>
    <s v="français"/>
    <x v="1"/>
    <n v="0.5"/>
    <n v="0"/>
    <n v="0"/>
    <m/>
    <x v="8"/>
  </r>
  <r>
    <x v="34"/>
    <x v="3"/>
    <x v="3"/>
    <x v="0"/>
    <s v="français"/>
    <x v="3"/>
    <n v="20"/>
    <n v="0"/>
    <n v="0"/>
    <m/>
    <x v="6"/>
  </r>
  <r>
    <x v="34"/>
    <x v="3"/>
    <x v="3"/>
    <x v="0"/>
    <s v="français"/>
    <x v="3"/>
    <n v="20"/>
    <n v="0"/>
    <n v="0"/>
    <m/>
    <x v="5"/>
  </r>
  <r>
    <x v="34"/>
    <x v="3"/>
    <x v="3"/>
    <x v="0"/>
    <s v="français"/>
    <x v="3"/>
    <n v="20"/>
    <n v="0"/>
    <n v="0"/>
    <m/>
    <x v="7"/>
  </r>
  <r>
    <x v="35"/>
    <x v="4"/>
    <x v="3"/>
    <x v="0"/>
    <s v="français"/>
    <x v="2"/>
    <n v="3"/>
    <n v="1"/>
    <n v="0"/>
    <m/>
    <x v="2"/>
  </r>
  <r>
    <x v="36"/>
    <x v="2"/>
    <x v="3"/>
    <x v="0"/>
    <s v="français"/>
    <x v="2"/>
    <n v="3"/>
    <n v="0"/>
    <n v="0"/>
    <m/>
    <x v="2"/>
  </r>
  <r>
    <x v="37"/>
    <x v="2"/>
    <x v="3"/>
    <x v="0"/>
    <s v="français"/>
    <x v="2"/>
    <n v="3"/>
    <n v="1"/>
    <n v="1"/>
    <s v="Techniques de photomontage"/>
    <x v="6"/>
  </r>
  <r>
    <x v="38"/>
    <x v="0"/>
    <x v="4"/>
    <x v="0"/>
    <s v="français"/>
    <x v="2"/>
    <n v="3"/>
    <n v="0"/>
    <n v="0"/>
    <m/>
    <x v="8"/>
  </r>
  <r>
    <x v="39"/>
    <x v="0"/>
    <x v="4"/>
    <x v="0"/>
    <s v="français"/>
    <x v="1"/>
    <n v="0.5"/>
    <n v="0"/>
    <n v="0"/>
    <s v="Toilettes"/>
    <x v="0"/>
  </r>
  <r>
    <x v="40"/>
    <x v="7"/>
    <x v="4"/>
    <x v="0"/>
    <s v="français"/>
    <x v="1"/>
    <n v="0.5"/>
    <n v="0"/>
    <n v="0"/>
    <m/>
    <x v="0"/>
  </r>
  <r>
    <x v="41"/>
    <x v="7"/>
    <x v="4"/>
    <x v="0"/>
    <s v="français"/>
    <x v="1"/>
    <n v="0.5"/>
    <n v="0"/>
    <n v="0"/>
    <m/>
    <x v="0"/>
  </r>
  <r>
    <x v="42"/>
    <x v="7"/>
    <x v="4"/>
    <x v="0"/>
    <s v="français"/>
    <x v="1"/>
    <n v="0.5"/>
    <n v="0"/>
    <n v="0"/>
    <m/>
    <x v="7"/>
  </r>
  <r>
    <x v="43"/>
    <x v="3"/>
    <x v="4"/>
    <x v="0"/>
    <s v="français"/>
    <x v="0"/>
    <n v="10.5"/>
    <n v="0"/>
    <n v="0"/>
    <m/>
    <x v="3"/>
  </r>
  <r>
    <x v="44"/>
    <x v="4"/>
    <x v="0"/>
    <x v="0"/>
    <s v="français"/>
    <x v="2"/>
    <n v="3"/>
    <n v="0"/>
    <n v="1"/>
    <s v="Affiche "/>
    <x v="2"/>
  </r>
  <r>
    <x v="45"/>
    <x v="4"/>
    <x v="0"/>
    <x v="0"/>
    <s v="français"/>
    <x v="1"/>
    <n v="0.5"/>
    <n v="0"/>
    <n v="0"/>
    <m/>
    <x v="4"/>
  </r>
  <r>
    <x v="46"/>
    <x v="4"/>
    <x v="0"/>
    <x v="0"/>
    <s v="français"/>
    <x v="0"/>
    <n v="10.5"/>
    <n v="0"/>
    <n v="0"/>
    <m/>
    <x v="8"/>
  </r>
  <r>
    <x v="47"/>
    <x v="4"/>
    <x v="0"/>
    <x v="0"/>
    <s v="français"/>
    <x v="2"/>
    <n v="3"/>
    <n v="1"/>
    <n v="0"/>
    <m/>
    <x v="2"/>
  </r>
  <r>
    <x v="48"/>
    <x v="1"/>
    <x v="0"/>
    <x v="0"/>
    <s v="français"/>
    <x v="3"/>
    <n v="20"/>
    <n v="1"/>
    <n v="0"/>
    <s v="Périodiques"/>
    <x v="2"/>
  </r>
  <r>
    <x v="49"/>
    <x v="1"/>
    <x v="0"/>
    <x v="0"/>
    <s v="anglais"/>
    <x v="1"/>
    <n v="0.5"/>
    <n v="0"/>
    <n v="0"/>
    <s v="Réservation Salle de Réunion "/>
    <x v="1"/>
  </r>
  <r>
    <x v="50"/>
    <x v="1"/>
    <x v="0"/>
    <x v="0"/>
    <s v="français"/>
    <x v="0"/>
    <n v="10.5"/>
    <n v="0"/>
    <n v="0"/>
    <m/>
    <x v="3"/>
  </r>
  <r>
    <x v="51"/>
    <x v="8"/>
    <x v="0"/>
    <x v="0"/>
    <s v="anglais"/>
    <x v="2"/>
    <n v="3"/>
    <n v="0"/>
    <n v="0"/>
    <m/>
    <x v="8"/>
  </r>
  <r>
    <x v="52"/>
    <x v="8"/>
    <x v="0"/>
    <x v="0"/>
    <s v="français"/>
    <x v="1"/>
    <n v="0.5"/>
    <n v="0"/>
    <n v="0"/>
    <m/>
    <x v="1"/>
  </r>
  <r>
    <x v="53"/>
    <x v="8"/>
    <x v="0"/>
    <x v="0"/>
    <s v="français"/>
    <x v="1"/>
    <n v="0.5"/>
    <n v="0"/>
    <n v="0"/>
    <m/>
    <x v="7"/>
  </r>
  <r>
    <x v="54"/>
    <x v="3"/>
    <x v="1"/>
    <x v="0"/>
    <s v="français"/>
    <x v="2"/>
    <n v="3"/>
    <n v="0"/>
    <n v="0"/>
    <m/>
    <x v="5"/>
  </r>
  <r>
    <x v="55"/>
    <x v="3"/>
    <x v="1"/>
    <x v="0"/>
    <s v="autre"/>
    <x v="3"/>
    <n v="20"/>
    <n v="0"/>
    <n v="0"/>
    <s v="Deux membres de l'ambassade de l'Equateur dont l'un avait travaillé dans une petite bibliothèque en Equateur et connaissait la Dewey et le catalogage,  visitent la bibliothèque pour l'embassadeur qui veut venir s'inscrire. Tout en espagnol !"/>
    <x v="7"/>
  </r>
  <r>
    <x v="55"/>
    <x v="3"/>
    <x v="1"/>
    <x v="0"/>
    <s v="autre"/>
    <x v="3"/>
    <n v="20"/>
    <n v="0"/>
    <n v="0"/>
    <s v="Deux membres de l'ambassade de l'Equateur dont l'un avait travaillé dans une petite bibliothèque en Equateur et connaissait la Dewey et le catalogage,  visitent la bibliothèque pour l'embassadeur qui veut venir s'inscrire. Tout en espagnol !"/>
    <x v="0"/>
  </r>
  <r>
    <x v="55"/>
    <x v="3"/>
    <x v="1"/>
    <x v="0"/>
    <s v="autre"/>
    <x v="3"/>
    <n v="20"/>
    <n v="0"/>
    <n v="0"/>
    <s v="Deux membres de l'ambassade de l'Equateur dont l'un avait travaillé dans une petite bibliothèque en Equateur et connaissait la Dewey et le catalogage,  visitent la bibliothèque pour l'embassadeur qui veut venir s'inscrire. Tout en espagnol !"/>
    <x v="1"/>
  </r>
  <r>
    <x v="56"/>
    <x v="3"/>
    <x v="1"/>
    <x v="0"/>
    <s v="anglais"/>
    <x v="0"/>
    <n v="10.5"/>
    <n v="1"/>
    <n v="0"/>
    <s v="Histoire mondiale !!!"/>
    <x v="6"/>
  </r>
  <r>
    <x v="57"/>
    <x v="3"/>
    <x v="1"/>
    <x v="0"/>
    <s v="français"/>
    <x v="1"/>
    <n v="0.5"/>
    <n v="0"/>
    <n v="0"/>
    <m/>
    <x v="1"/>
  </r>
  <r>
    <x v="58"/>
    <x v="4"/>
    <x v="1"/>
    <x v="0"/>
    <s v="français"/>
    <x v="2"/>
    <n v="3"/>
    <n v="1"/>
    <n v="1"/>
    <m/>
    <x v="2"/>
  </r>
  <r>
    <x v="59"/>
    <x v="1"/>
    <x v="1"/>
    <x v="1"/>
    <s v="français"/>
    <x v="2"/>
    <n v="3"/>
    <n v="0"/>
    <n v="0"/>
    <m/>
    <x v="7"/>
  </r>
  <r>
    <x v="60"/>
    <x v="1"/>
    <x v="1"/>
    <x v="0"/>
    <s v="français"/>
    <x v="1"/>
    <n v="0.5"/>
    <n v="0"/>
    <n v="0"/>
    <s v="Demande d'une nouvelle carte suite à un vol"/>
    <x v="1"/>
  </r>
  <r>
    <x v="61"/>
    <x v="1"/>
    <x v="1"/>
    <x v="0"/>
    <s v="français"/>
    <x v="0"/>
    <n v="10.5"/>
    <n v="1"/>
    <n v="0"/>
    <m/>
    <x v="2"/>
  </r>
  <r>
    <x v="62"/>
    <x v="1"/>
    <x v="1"/>
    <x v="0"/>
    <s v="français"/>
    <x v="0"/>
    <n v="10.5"/>
    <n v="0"/>
    <n v="0"/>
    <m/>
    <x v="5"/>
  </r>
  <r>
    <x v="63"/>
    <x v="5"/>
    <x v="2"/>
    <x v="0"/>
    <s v="français"/>
    <x v="1"/>
    <n v="0.5"/>
    <n v="0"/>
    <n v="0"/>
    <m/>
    <x v="0"/>
  </r>
  <r>
    <x v="64"/>
    <x v="7"/>
    <x v="2"/>
    <x v="0"/>
    <s v="français"/>
    <x v="2"/>
    <n v="3"/>
    <n v="0"/>
    <n v="0"/>
    <m/>
    <x v="8"/>
  </r>
  <r>
    <x v="65"/>
    <x v="7"/>
    <x v="2"/>
    <x v="0"/>
    <s v="français"/>
    <x v="0"/>
    <n v="10.5"/>
    <n v="0"/>
    <n v="0"/>
    <m/>
    <x v="8"/>
  </r>
  <r>
    <x v="66"/>
    <x v="7"/>
    <x v="2"/>
    <x v="0"/>
    <s v="français"/>
    <x v="1"/>
    <n v="0.5"/>
    <n v="0"/>
    <n v="0"/>
    <m/>
    <x v="8"/>
  </r>
  <r>
    <x v="67"/>
    <x v="3"/>
    <x v="2"/>
    <x v="0"/>
    <s v="français"/>
    <x v="0"/>
    <n v="10.5"/>
    <n v="1"/>
    <n v="0"/>
    <m/>
    <x v="6"/>
  </r>
  <r>
    <x v="67"/>
    <x v="3"/>
    <x v="2"/>
    <x v="0"/>
    <s v="français"/>
    <x v="0"/>
    <n v="10.5"/>
    <n v="1"/>
    <n v="0"/>
    <m/>
    <x v="3"/>
  </r>
  <r>
    <x v="67"/>
    <x v="3"/>
    <x v="2"/>
    <x v="0"/>
    <s v="français"/>
    <x v="0"/>
    <n v="10.5"/>
    <n v="1"/>
    <n v="0"/>
    <m/>
    <x v="7"/>
  </r>
  <r>
    <x v="68"/>
    <x v="3"/>
    <x v="2"/>
    <x v="0"/>
    <s v="français"/>
    <x v="2"/>
    <n v="3"/>
    <n v="0"/>
    <n v="0"/>
    <m/>
    <x v="4"/>
  </r>
  <r>
    <x v="69"/>
    <x v="3"/>
    <x v="2"/>
    <x v="1"/>
    <s v="français"/>
    <x v="2"/>
    <n v="3"/>
    <n v="0"/>
    <n v="0"/>
    <m/>
    <x v="4"/>
  </r>
  <r>
    <x v="70"/>
    <x v="3"/>
    <x v="2"/>
    <x v="0"/>
    <s v="français"/>
    <x v="1"/>
    <n v="0.5"/>
    <n v="0"/>
    <n v="0"/>
    <m/>
    <x v="4"/>
  </r>
  <r>
    <x v="71"/>
    <x v="4"/>
    <x v="2"/>
    <x v="0"/>
    <s v="français"/>
    <x v="2"/>
    <n v="3"/>
    <n v="0"/>
    <n v="0"/>
    <m/>
    <x v="3"/>
  </r>
  <r>
    <x v="72"/>
    <x v="1"/>
    <x v="2"/>
    <x v="0"/>
    <s v="français"/>
    <x v="2"/>
    <n v="3"/>
    <n v="0"/>
    <n v="0"/>
    <m/>
    <x v="5"/>
  </r>
  <r>
    <x v="73"/>
    <x v="8"/>
    <x v="2"/>
    <x v="1"/>
    <s v="anglais"/>
    <x v="2"/>
    <n v="3"/>
    <n v="1"/>
    <n v="0"/>
    <m/>
    <x v="2"/>
  </r>
  <r>
    <x v="74"/>
    <x v="8"/>
    <x v="2"/>
    <x v="0"/>
    <s v="français"/>
    <x v="2"/>
    <n v="3"/>
    <n v="0"/>
    <n v="0"/>
    <m/>
    <x v="8"/>
  </r>
  <r>
    <x v="75"/>
    <x v="8"/>
    <x v="2"/>
    <x v="0"/>
    <s v="français"/>
    <x v="1"/>
    <n v="0.5"/>
    <n v="0"/>
    <n v="0"/>
    <m/>
    <x v="7"/>
  </r>
  <r>
    <x v="76"/>
    <x v="8"/>
    <x v="2"/>
    <x v="0"/>
    <s v="français"/>
    <x v="1"/>
    <n v="0.5"/>
    <n v="0"/>
    <n v="0"/>
    <m/>
    <x v="7"/>
  </r>
  <r>
    <x v="77"/>
    <x v="3"/>
    <x v="3"/>
    <x v="0"/>
    <s v="français"/>
    <x v="1"/>
    <n v="0.5"/>
    <n v="0"/>
    <n v="0"/>
    <m/>
    <x v="0"/>
  </r>
  <r>
    <x v="78"/>
    <x v="3"/>
    <x v="3"/>
    <x v="0"/>
    <s v="français"/>
    <x v="2"/>
    <n v="3"/>
    <n v="0"/>
    <n v="0"/>
    <s v="Une dame a oublié son chargeur à la Biblio de la Cité. La bibliothèque est fermée pour travaux pdt 2 mois. Elle m'entend discuter avec un collègue des BM de passge. Elle lui demande coment récupérer son chargeur. Il va s'en occuper et la recontacter."/>
    <x v="1"/>
  </r>
  <r>
    <x v="79"/>
    <x v="4"/>
    <x v="3"/>
    <x v="0"/>
    <s v="français"/>
    <x v="2"/>
    <n v="3"/>
    <n v="1"/>
    <n v="0"/>
    <m/>
    <x v="6"/>
  </r>
  <r>
    <x v="79"/>
    <x v="4"/>
    <x v="3"/>
    <x v="0"/>
    <s v="français"/>
    <x v="2"/>
    <n v="3"/>
    <n v="1"/>
    <n v="0"/>
    <m/>
    <x v="3"/>
  </r>
  <r>
    <x v="79"/>
    <x v="4"/>
    <x v="3"/>
    <x v="0"/>
    <s v="français"/>
    <x v="2"/>
    <n v="3"/>
    <n v="1"/>
    <n v="0"/>
    <m/>
    <x v="7"/>
  </r>
  <r>
    <x v="80"/>
    <x v="4"/>
    <x v="3"/>
    <x v="0"/>
    <s v="français"/>
    <x v="0"/>
    <n v="10.5"/>
    <n v="1"/>
    <n v="0"/>
    <m/>
    <x v="2"/>
  </r>
  <r>
    <x v="80"/>
    <x v="4"/>
    <x v="3"/>
    <x v="0"/>
    <s v="français"/>
    <x v="0"/>
    <n v="10.5"/>
    <n v="1"/>
    <n v="0"/>
    <m/>
    <x v="3"/>
  </r>
  <r>
    <x v="81"/>
    <x v="1"/>
    <x v="3"/>
    <x v="0"/>
    <s v="français"/>
    <x v="1"/>
    <n v="0.5"/>
    <n v="0"/>
    <n v="0"/>
    <m/>
    <x v="0"/>
  </r>
  <r>
    <x v="82"/>
    <x v="1"/>
    <x v="3"/>
    <x v="1"/>
    <s v="français"/>
    <x v="2"/>
    <n v="3"/>
    <n v="0"/>
    <n v="0"/>
    <m/>
    <x v="0"/>
  </r>
  <r>
    <x v="83"/>
    <x v="5"/>
    <x v="4"/>
    <x v="0"/>
    <s v="français"/>
    <x v="2"/>
    <n v="3"/>
    <n v="0"/>
    <n v="0"/>
    <m/>
    <x v="4"/>
  </r>
  <r>
    <x v="84"/>
    <x v="7"/>
    <x v="4"/>
    <x v="0"/>
    <s v="français"/>
    <x v="1"/>
    <n v="0.5"/>
    <n v="0"/>
    <n v="0"/>
    <m/>
    <x v="8"/>
  </r>
  <r>
    <x v="85"/>
    <x v="7"/>
    <x v="4"/>
    <x v="0"/>
    <s v="français"/>
    <x v="1"/>
    <n v="0.5"/>
    <n v="0"/>
    <n v="0"/>
    <m/>
    <x v="7"/>
  </r>
  <r>
    <x v="86"/>
    <x v="7"/>
    <x v="4"/>
    <x v="0"/>
    <s v="français"/>
    <x v="2"/>
    <n v="3"/>
    <n v="0"/>
    <n v="0"/>
    <m/>
    <x v="7"/>
  </r>
  <r>
    <x v="87"/>
    <x v="7"/>
    <x v="4"/>
    <x v="0"/>
    <s v="français"/>
    <x v="1"/>
    <n v="0.5"/>
    <n v="0"/>
    <n v="0"/>
    <s v="Demande de liquidie désinfectant lors de l'occupation d'un Monde Pc"/>
    <x v="1"/>
  </r>
  <r>
    <x v="88"/>
    <x v="0"/>
    <x v="0"/>
    <x v="0"/>
    <s v="français"/>
    <x v="3"/>
    <n v="20"/>
    <n v="0"/>
    <n v="0"/>
    <m/>
    <x v="3"/>
  </r>
  <r>
    <x v="89"/>
    <x v="3"/>
    <x v="0"/>
    <x v="0"/>
    <s v="français"/>
    <x v="1"/>
    <n v="0.5"/>
    <n v="0"/>
    <n v="0"/>
    <m/>
    <x v="8"/>
  </r>
  <r>
    <x v="90"/>
    <x v="3"/>
    <x v="0"/>
    <x v="1"/>
    <s v="français"/>
    <x v="2"/>
    <n v="3"/>
    <n v="1"/>
    <n v="1"/>
    <s v="Est-ce que le titre &quot;2008 / Pierre Jovanovic&quot; se trouve dans une bibliothèque à Genève. (vient de paraître)"/>
    <x v="2"/>
  </r>
  <r>
    <x v="91"/>
    <x v="3"/>
    <x v="0"/>
    <x v="0"/>
    <s v="français"/>
    <x v="2"/>
    <n v="3"/>
    <n v="0"/>
    <n v="0"/>
    <s v="Problème avec Mondo PC"/>
    <x v="4"/>
  </r>
  <r>
    <x v="92"/>
    <x v="4"/>
    <x v="0"/>
    <x v="0"/>
    <s v="français"/>
    <x v="2"/>
    <n v="3"/>
    <n v="0"/>
    <n v="0"/>
    <m/>
    <x v="7"/>
  </r>
  <r>
    <x v="92"/>
    <x v="4"/>
    <x v="0"/>
    <x v="0"/>
    <s v="français"/>
    <x v="2"/>
    <n v="3"/>
    <n v="0"/>
    <n v="0"/>
    <m/>
    <x v="0"/>
  </r>
  <r>
    <x v="93"/>
    <x v="4"/>
    <x v="0"/>
    <x v="0"/>
    <s v="français"/>
    <x v="1"/>
    <n v="0.5"/>
    <n v="0"/>
    <n v="0"/>
    <s v="Espace café"/>
    <x v="1"/>
  </r>
  <r>
    <x v="94"/>
    <x v="4"/>
    <x v="0"/>
    <x v="0"/>
    <s v="français"/>
    <x v="2"/>
    <n v="3"/>
    <n v="0"/>
    <n v="0"/>
    <s v="Liste ou rayon de littérature suisse en libre accès ? -&gt; Libre accès mais aussi redirection vers les livres en présentoir Zoé (résultats : plusieurs livres empruntés !)"/>
    <x v="2"/>
  </r>
  <r>
    <x v="95"/>
    <x v="1"/>
    <x v="0"/>
    <x v="0"/>
    <s v="français"/>
    <x v="0"/>
    <n v="10.5"/>
    <n v="0"/>
    <n v="0"/>
    <m/>
    <x v="2"/>
  </r>
  <r>
    <x v="96"/>
    <x v="1"/>
    <x v="0"/>
    <x v="0"/>
    <s v="français"/>
    <x v="1"/>
    <n v="0.5"/>
    <n v="0"/>
    <n v="0"/>
    <s v="Espace café (moyen de paiement)"/>
    <x v="1"/>
  </r>
  <r>
    <x v="97"/>
    <x v="2"/>
    <x v="0"/>
    <x v="0"/>
    <s v="français"/>
    <x v="1"/>
    <n v="0.5"/>
    <n v="0"/>
    <n v="0"/>
    <m/>
    <x v="8"/>
  </r>
  <r>
    <x v="98"/>
    <x v="2"/>
    <x v="0"/>
    <x v="0"/>
    <s v="français"/>
    <x v="1"/>
    <n v="0.5"/>
    <n v="0"/>
    <n v="0"/>
    <s v="Toilettes"/>
    <x v="1"/>
  </r>
  <r>
    <x v="99"/>
    <x v="2"/>
    <x v="0"/>
    <x v="0"/>
    <s v="français"/>
    <x v="2"/>
    <n v="3"/>
    <n v="0"/>
    <n v="0"/>
    <m/>
    <x v="4"/>
  </r>
  <r>
    <x v="100"/>
    <x v="2"/>
    <x v="0"/>
    <x v="0"/>
    <s v="français"/>
    <x v="1"/>
    <n v="0.5"/>
    <n v="0"/>
    <n v="0"/>
    <s v="Espace café"/>
    <x v="1"/>
  </r>
  <r>
    <x v="101"/>
    <x v="0"/>
    <x v="1"/>
    <x v="1"/>
    <s v="français"/>
    <x v="1"/>
    <n v="0.5"/>
    <n v="0"/>
    <n v="0"/>
    <m/>
    <x v="5"/>
  </r>
  <r>
    <x v="102"/>
    <x v="0"/>
    <x v="1"/>
    <x v="0"/>
    <s v="anglais"/>
    <x v="1"/>
    <n v="0.5"/>
    <n v="0"/>
    <n v="0"/>
    <s v="Cherchait l'université"/>
    <x v="1"/>
  </r>
  <r>
    <x v="103"/>
    <x v="7"/>
    <x v="1"/>
    <x v="0"/>
    <s v="français"/>
    <x v="1"/>
    <n v="0.5"/>
    <n v="0"/>
    <n v="0"/>
    <m/>
    <x v="7"/>
  </r>
  <r>
    <x v="104"/>
    <x v="7"/>
    <x v="1"/>
    <x v="0"/>
    <s v="français"/>
    <x v="1"/>
    <n v="0.5"/>
    <n v="0"/>
    <n v="0"/>
    <m/>
    <x v="4"/>
  </r>
  <r>
    <x v="105"/>
    <x v="3"/>
    <x v="1"/>
    <x v="0"/>
    <s v="français"/>
    <x v="2"/>
    <n v="3"/>
    <n v="1"/>
    <n v="0"/>
    <m/>
    <x v="6"/>
  </r>
  <r>
    <x v="105"/>
    <x v="3"/>
    <x v="1"/>
    <x v="0"/>
    <s v="français"/>
    <x v="2"/>
    <n v="3"/>
    <n v="1"/>
    <n v="0"/>
    <m/>
    <x v="0"/>
  </r>
  <r>
    <x v="106"/>
    <x v="3"/>
    <x v="1"/>
    <x v="0"/>
    <s v="français"/>
    <x v="1"/>
    <n v="0.5"/>
    <n v="0"/>
    <n v="0"/>
    <m/>
    <x v="8"/>
  </r>
  <r>
    <x v="107"/>
    <x v="4"/>
    <x v="1"/>
    <x v="0"/>
    <s v="français"/>
    <x v="0"/>
    <n v="10.5"/>
    <n v="1"/>
    <n v="0"/>
    <m/>
    <x v="2"/>
  </r>
  <r>
    <x v="108"/>
    <x v="1"/>
    <x v="1"/>
    <x v="0"/>
    <s v="français"/>
    <x v="1"/>
    <n v="0.5"/>
    <n v="0"/>
    <n v="0"/>
    <m/>
    <x v="7"/>
  </r>
  <r>
    <x v="109"/>
    <x v="2"/>
    <x v="1"/>
    <x v="0"/>
    <s v="anglais"/>
    <x v="1"/>
    <n v="0.5"/>
    <n v="0"/>
    <n v="0"/>
    <s v="Endroit pour pouvoir parler à haute voix =&gt; Espace café"/>
    <x v="0"/>
  </r>
  <r>
    <x v="110"/>
    <x v="2"/>
    <x v="1"/>
    <x v="0"/>
    <s v="anglais"/>
    <x v="2"/>
    <n v="3"/>
    <n v="0"/>
    <n v="0"/>
    <m/>
    <x v="4"/>
  </r>
  <r>
    <x v="111"/>
    <x v="6"/>
    <x v="1"/>
    <x v="0"/>
    <s v="français"/>
    <x v="1"/>
    <n v="0.5"/>
    <n v="0"/>
    <n v="0"/>
    <s v="produit pour nettoyer une table"/>
    <x v="1"/>
  </r>
  <r>
    <x v="112"/>
    <x v="6"/>
    <x v="1"/>
    <x v="0"/>
    <s v="français"/>
    <x v="2"/>
    <n v="3"/>
    <n v="0"/>
    <n v="0"/>
    <m/>
    <x v="4"/>
  </r>
  <r>
    <x v="113"/>
    <x v="6"/>
    <x v="1"/>
    <x v="0"/>
    <s v="français"/>
    <x v="2"/>
    <n v="3"/>
    <n v="0"/>
    <n v="0"/>
    <m/>
    <x v="7"/>
  </r>
  <r>
    <x v="114"/>
    <x v="6"/>
    <x v="1"/>
    <x v="0"/>
    <s v="français"/>
    <x v="2"/>
    <n v="3"/>
    <n v="0"/>
    <n v="0"/>
    <m/>
    <x v="4"/>
  </r>
  <r>
    <x v="115"/>
    <x v="5"/>
    <x v="2"/>
    <x v="0"/>
    <s v="français"/>
    <x v="2"/>
    <n v="3"/>
    <n v="0"/>
    <n v="0"/>
    <m/>
    <x v="7"/>
  </r>
  <r>
    <x v="116"/>
    <x v="0"/>
    <x v="2"/>
    <x v="0"/>
    <s v="français"/>
    <x v="2"/>
    <n v="3"/>
    <n v="0"/>
    <n v="0"/>
    <m/>
    <x v="8"/>
  </r>
  <r>
    <x v="117"/>
    <x v="7"/>
    <x v="2"/>
    <x v="0"/>
    <s v="français"/>
    <x v="0"/>
    <n v="10.5"/>
    <n v="1"/>
    <n v="0"/>
    <m/>
    <x v="2"/>
  </r>
  <r>
    <x v="118"/>
    <x v="7"/>
    <x v="2"/>
    <x v="0"/>
    <s v="français"/>
    <x v="1"/>
    <n v="0.5"/>
    <n v="0"/>
    <n v="0"/>
    <m/>
    <x v="8"/>
  </r>
  <r>
    <x v="119"/>
    <x v="7"/>
    <x v="2"/>
    <x v="1"/>
    <s v="français"/>
    <x v="2"/>
    <n v="3"/>
    <n v="0"/>
    <n v="0"/>
    <m/>
    <x v="1"/>
  </r>
  <r>
    <x v="120"/>
    <x v="1"/>
    <x v="2"/>
    <x v="0"/>
    <s v="français"/>
    <x v="2"/>
    <n v="3"/>
    <n v="0"/>
    <n v="0"/>
    <m/>
    <x v="8"/>
  </r>
  <r>
    <x v="121"/>
    <x v="6"/>
    <x v="2"/>
    <x v="0"/>
    <s v="français"/>
    <x v="2"/>
    <n v="3"/>
    <n v="1"/>
    <n v="0"/>
    <s v="Recherche sur les Anglo-saxons du 5e au 8e siècle"/>
    <x v="6"/>
  </r>
  <r>
    <x v="122"/>
    <x v="3"/>
    <x v="3"/>
    <x v="0"/>
    <s v="français"/>
    <x v="0"/>
    <n v="10.5"/>
    <n v="0"/>
    <n v="0"/>
    <m/>
    <x v="3"/>
  </r>
  <r>
    <x v="123"/>
    <x v="3"/>
    <x v="3"/>
    <x v="0"/>
    <s v="français"/>
    <x v="0"/>
    <n v="10.5"/>
    <n v="0"/>
    <n v="0"/>
    <s v="ça bug pour moi, Adrienne, j'ai utilisé mon compte pour connecter un utilisateur"/>
    <x v="4"/>
  </r>
  <r>
    <x v="124"/>
    <x v="3"/>
    <x v="3"/>
    <x v="0"/>
    <s v="français"/>
    <x v="3"/>
    <n v="20"/>
    <n v="0"/>
    <n v="0"/>
    <s v="Tout le temps, une lectrice n'arrive pas à avoir ses 4 heures d'utilisation de MondoPC. J'ai déjà téléphoné à la DSIC ; prêté mon compte ; essayé de rajouter des minutes... pas de nouvelles de la DSIC depuis mardi 15 / ada "/>
    <x v="4"/>
  </r>
  <r>
    <x v="125"/>
    <x v="2"/>
    <x v="3"/>
    <x v="0"/>
    <s v="français"/>
    <x v="2"/>
    <n v="3"/>
    <n v="0"/>
    <n v="0"/>
    <s v="Accompagner avec l'ascenceur"/>
    <x v="1"/>
  </r>
  <r>
    <x v="126"/>
    <x v="2"/>
    <x v="3"/>
    <x v="0"/>
    <s v="français"/>
    <x v="1"/>
    <n v="0.5"/>
    <n v="0"/>
    <n v="1"/>
    <s v="Explications concernant la façon de consulter des journaux genevois"/>
    <x v="2"/>
  </r>
  <r>
    <x v="127"/>
    <x v="2"/>
    <x v="3"/>
    <x v="0"/>
    <s v="français"/>
    <x v="0"/>
    <n v="10.5"/>
    <n v="0"/>
    <n v="0"/>
    <s v="Comment fonctionne la presse en ligne ? Comment avoir accès ?"/>
    <x v="7"/>
  </r>
  <r>
    <x v="128"/>
    <x v="2"/>
    <x v="3"/>
    <x v="0"/>
    <s v="anglais"/>
    <x v="2"/>
    <n v="3"/>
    <n v="0"/>
    <n v="0"/>
    <s v="Ne se souvient plus de ses identifiants"/>
    <x v="4"/>
  </r>
  <r>
    <x v="129"/>
    <x v="6"/>
    <x v="3"/>
    <x v="0"/>
    <s v="autre"/>
    <x v="2"/>
    <n v="3"/>
    <n v="0"/>
    <n v="0"/>
    <s v="Lecteur du Pérou"/>
    <x v="4"/>
  </r>
  <r>
    <x v="130"/>
    <x v="7"/>
    <x v="4"/>
    <x v="0"/>
    <s v="anglais"/>
    <x v="0"/>
    <n v="10.5"/>
    <n v="1"/>
    <n v="0"/>
    <m/>
    <x v="3"/>
  </r>
  <r>
    <x v="131"/>
    <x v="3"/>
    <x v="0"/>
    <x v="0"/>
    <s v="français"/>
    <x v="2"/>
    <n v="3"/>
    <n v="0"/>
    <n v="0"/>
    <m/>
    <x v="7"/>
  </r>
  <r>
    <x v="132"/>
    <x v="3"/>
    <x v="0"/>
    <x v="0"/>
    <s v="français"/>
    <x v="2"/>
    <n v="3"/>
    <n v="0"/>
    <n v="0"/>
    <m/>
    <x v="0"/>
  </r>
  <r>
    <x v="133"/>
    <x v="4"/>
    <x v="0"/>
    <x v="0"/>
    <s v="français"/>
    <x v="0"/>
    <n v="10.5"/>
    <n v="1"/>
    <n v="0"/>
    <m/>
    <x v="6"/>
  </r>
  <r>
    <x v="134"/>
    <x v="1"/>
    <x v="0"/>
    <x v="0"/>
    <s v="français"/>
    <x v="1"/>
    <n v="0.5"/>
    <n v="0"/>
    <n v="0"/>
    <m/>
    <x v="5"/>
  </r>
  <r>
    <x v="135"/>
    <x v="1"/>
    <x v="0"/>
    <x v="0"/>
    <s v="français"/>
    <x v="2"/>
    <n v="3"/>
    <n v="1"/>
    <n v="0"/>
    <m/>
    <x v="5"/>
  </r>
  <r>
    <x v="136"/>
    <x v="1"/>
    <x v="0"/>
    <x v="0"/>
    <s v="français"/>
    <x v="2"/>
    <n v="3"/>
    <n v="0"/>
    <n v="0"/>
    <m/>
    <x v="3"/>
  </r>
  <r>
    <x v="137"/>
    <x v="1"/>
    <x v="0"/>
    <x v="0"/>
    <s v="français"/>
    <x v="3"/>
    <n v="20"/>
    <n v="0"/>
    <n v="0"/>
    <m/>
    <x v="5"/>
  </r>
  <r>
    <x v="138"/>
    <x v="8"/>
    <x v="0"/>
    <x v="0"/>
    <s v="français"/>
    <x v="2"/>
    <n v="3"/>
    <n v="0"/>
    <n v="0"/>
    <m/>
    <x v="3"/>
  </r>
  <r>
    <x v="139"/>
    <x v="8"/>
    <x v="0"/>
    <x v="0"/>
    <s v="français"/>
    <x v="2"/>
    <n v="3"/>
    <n v="0"/>
    <n v="0"/>
    <m/>
    <x v="3"/>
  </r>
  <r>
    <x v="140"/>
    <x v="8"/>
    <x v="0"/>
    <x v="0"/>
    <s v="français"/>
    <x v="2"/>
    <n v="3"/>
    <n v="1"/>
    <n v="0"/>
    <m/>
    <x v="2"/>
  </r>
  <r>
    <x v="141"/>
    <x v="8"/>
    <x v="0"/>
    <x v="0"/>
    <s v="français"/>
    <x v="2"/>
    <n v="3"/>
    <n v="0"/>
    <n v="0"/>
    <m/>
    <x v="8"/>
  </r>
  <r>
    <x v="142"/>
    <x v="8"/>
    <x v="0"/>
    <x v="0"/>
    <s v="français"/>
    <x v="1"/>
    <n v="0.5"/>
    <n v="0"/>
    <n v="0"/>
    <m/>
    <x v="7"/>
  </r>
  <r>
    <x v="143"/>
    <x v="8"/>
    <x v="0"/>
    <x v="0"/>
    <s v="français"/>
    <x v="1"/>
    <n v="0.5"/>
    <n v="0"/>
    <n v="0"/>
    <m/>
    <x v="0"/>
  </r>
  <r>
    <x v="144"/>
    <x v="0"/>
    <x v="1"/>
    <x v="0"/>
    <s v="français"/>
    <x v="1"/>
    <n v="0.5"/>
    <n v="0"/>
    <n v="0"/>
    <s v="casque"/>
    <x v="7"/>
  </r>
  <r>
    <x v="145"/>
    <x v="0"/>
    <x v="1"/>
    <x v="0"/>
    <s v="français"/>
    <x v="1"/>
    <n v="0.5"/>
    <n v="0"/>
    <n v="0"/>
    <s v="casque"/>
    <x v="7"/>
  </r>
  <r>
    <x v="146"/>
    <x v="5"/>
    <x v="2"/>
    <x v="1"/>
    <s v="français"/>
    <x v="2"/>
    <n v="3"/>
    <n v="0"/>
    <n v="0"/>
    <s v="Savoir si nous avions le DVD de Police Academy 3"/>
    <x v="2"/>
  </r>
  <r>
    <x v="147"/>
    <x v="3"/>
    <x v="2"/>
    <x v="0"/>
    <s v="français"/>
    <x v="3"/>
    <n v="20"/>
    <n v="0"/>
    <n v="0"/>
    <m/>
    <x v="3"/>
  </r>
  <r>
    <x v="148"/>
    <x v="4"/>
    <x v="2"/>
    <x v="0"/>
    <s v="français"/>
    <x v="0"/>
    <n v="10.5"/>
    <n v="0"/>
    <n v="0"/>
    <s v="Doctorante IHEID -&gt; accès périodiques BGE"/>
    <x v="7"/>
  </r>
  <r>
    <x v="149"/>
    <x v="4"/>
    <x v="2"/>
    <x v="0"/>
    <s v="français"/>
    <x v="1"/>
    <n v="0.5"/>
    <n v="0"/>
    <n v="0"/>
    <s v="espace café"/>
    <x v="0"/>
  </r>
  <r>
    <x v="150"/>
    <x v="4"/>
    <x v="2"/>
    <x v="0"/>
    <s v="français"/>
    <x v="1"/>
    <n v="0.5"/>
    <n v="0"/>
    <n v="0"/>
    <m/>
    <x v="0"/>
  </r>
  <r>
    <x v="151"/>
    <x v="3"/>
    <x v="3"/>
    <x v="0"/>
    <s v="français"/>
    <x v="2"/>
    <n v="3"/>
    <n v="0"/>
    <n v="0"/>
    <m/>
    <x v="4"/>
  </r>
  <r>
    <x v="152"/>
    <x v="3"/>
    <x v="3"/>
    <x v="0"/>
    <s v="français"/>
    <x v="2"/>
    <n v="3"/>
    <n v="0"/>
    <n v="0"/>
    <m/>
    <x v="4"/>
  </r>
  <r>
    <x v="153"/>
    <x v="4"/>
    <x v="3"/>
    <x v="0"/>
    <s v="français"/>
    <x v="1"/>
    <n v="0.5"/>
    <n v="0"/>
    <n v="0"/>
    <m/>
    <x v="7"/>
  </r>
  <r>
    <x v="154"/>
    <x v="4"/>
    <x v="3"/>
    <x v="0"/>
    <s v="français"/>
    <x v="3"/>
    <n v="20"/>
    <n v="0"/>
    <n v="0"/>
    <m/>
    <x v="3"/>
  </r>
  <r>
    <x v="154"/>
    <x v="4"/>
    <x v="3"/>
    <x v="0"/>
    <s v="français"/>
    <x v="3"/>
    <n v="20"/>
    <n v="0"/>
    <n v="0"/>
    <m/>
    <x v="7"/>
  </r>
  <r>
    <x v="155"/>
    <x v="1"/>
    <x v="3"/>
    <x v="0"/>
    <s v="français"/>
    <x v="3"/>
    <n v="20"/>
    <n v="1"/>
    <n v="0"/>
    <m/>
    <x v="2"/>
  </r>
  <r>
    <x v="155"/>
    <x v="1"/>
    <x v="3"/>
    <x v="0"/>
    <s v="français"/>
    <x v="3"/>
    <n v="20"/>
    <n v="1"/>
    <n v="0"/>
    <m/>
    <x v="3"/>
  </r>
  <r>
    <x v="155"/>
    <x v="1"/>
    <x v="3"/>
    <x v="0"/>
    <s v="français"/>
    <x v="3"/>
    <n v="20"/>
    <n v="1"/>
    <n v="0"/>
    <m/>
    <x v="5"/>
  </r>
  <r>
    <x v="155"/>
    <x v="1"/>
    <x v="3"/>
    <x v="0"/>
    <s v="français"/>
    <x v="3"/>
    <n v="20"/>
    <n v="1"/>
    <n v="0"/>
    <m/>
    <x v="7"/>
  </r>
  <r>
    <x v="156"/>
    <x v="1"/>
    <x v="3"/>
    <x v="0"/>
    <s v="français"/>
    <x v="0"/>
    <n v="10.5"/>
    <n v="1"/>
    <n v="0"/>
    <s v="Recherche un numéro de La Suisse"/>
    <x v="2"/>
  </r>
  <r>
    <x v="157"/>
    <x v="1"/>
    <x v="3"/>
    <x v="0"/>
    <s v="français"/>
    <x v="1"/>
    <n v="0.5"/>
    <n v="0"/>
    <n v="0"/>
    <m/>
    <x v="0"/>
  </r>
  <r>
    <x v="158"/>
    <x v="1"/>
    <x v="3"/>
    <x v="0"/>
    <s v="français"/>
    <x v="2"/>
    <n v="3"/>
    <n v="1"/>
    <n v="0"/>
    <m/>
    <x v="2"/>
  </r>
  <r>
    <x v="159"/>
    <x v="2"/>
    <x v="3"/>
    <x v="1"/>
    <s v="français"/>
    <x v="2"/>
    <n v="3"/>
    <n v="0"/>
    <n v="0"/>
    <m/>
    <x v="2"/>
  </r>
  <r>
    <x v="160"/>
    <x v="6"/>
    <x v="3"/>
    <x v="0"/>
    <s v="français"/>
    <x v="2"/>
    <n v="3"/>
    <n v="0"/>
    <n v="0"/>
    <m/>
    <x v="3"/>
  </r>
  <r>
    <x v="161"/>
    <x v="8"/>
    <x v="3"/>
    <x v="0"/>
    <s v="français"/>
    <x v="2"/>
    <n v="3"/>
    <n v="0"/>
    <n v="0"/>
    <m/>
    <x v="3"/>
  </r>
  <r>
    <x v="162"/>
    <x v="8"/>
    <x v="3"/>
    <x v="0"/>
    <s v="français"/>
    <x v="2"/>
    <n v="3"/>
    <n v="0"/>
    <n v="0"/>
    <m/>
    <x v="4"/>
  </r>
  <r>
    <x v="163"/>
    <x v="8"/>
    <x v="3"/>
    <x v="0"/>
    <s v="français"/>
    <x v="1"/>
    <n v="0.5"/>
    <n v="0"/>
    <n v="0"/>
    <m/>
    <x v="0"/>
  </r>
  <r>
    <x v="164"/>
    <x v="8"/>
    <x v="3"/>
    <x v="0"/>
    <s v="français"/>
    <x v="1"/>
    <n v="0.5"/>
    <n v="0"/>
    <n v="0"/>
    <m/>
    <x v="7"/>
  </r>
  <r>
    <x v="165"/>
    <x v="8"/>
    <x v="3"/>
    <x v="0"/>
    <s v="français"/>
    <x v="1"/>
    <n v="0.5"/>
    <n v="0"/>
    <n v="0"/>
    <m/>
    <x v="1"/>
  </r>
  <r>
    <x v="166"/>
    <x v="0"/>
    <x v="4"/>
    <x v="0"/>
    <s v="français"/>
    <x v="3"/>
    <n v="20"/>
    <n v="1"/>
    <n v="0"/>
    <m/>
    <x v="6"/>
  </r>
  <r>
    <x v="166"/>
    <x v="0"/>
    <x v="4"/>
    <x v="0"/>
    <s v="français"/>
    <x v="3"/>
    <n v="20"/>
    <n v="1"/>
    <n v="0"/>
    <m/>
    <x v="3"/>
  </r>
  <r>
    <x v="166"/>
    <x v="0"/>
    <x v="4"/>
    <x v="0"/>
    <s v="français"/>
    <x v="3"/>
    <n v="20"/>
    <n v="1"/>
    <n v="0"/>
    <m/>
    <x v="7"/>
  </r>
  <r>
    <x v="167"/>
    <x v="0"/>
    <x v="4"/>
    <x v="0"/>
    <s v="français"/>
    <x v="1"/>
    <n v="0.5"/>
    <n v="0"/>
    <n v="0"/>
    <m/>
    <x v="7"/>
  </r>
  <r>
    <x v="168"/>
    <x v="0"/>
    <x v="4"/>
    <x v="0"/>
    <s v="français"/>
    <x v="1"/>
    <n v="0.5"/>
    <n v="0"/>
    <n v="0"/>
    <m/>
    <x v="7"/>
  </r>
  <r>
    <x v="169"/>
    <x v="4"/>
    <x v="0"/>
    <x v="0"/>
    <s v="français"/>
    <x v="1"/>
    <n v="0.5"/>
    <n v="0"/>
    <n v="0"/>
    <m/>
    <x v="0"/>
  </r>
  <r>
    <x v="170"/>
    <x v="1"/>
    <x v="0"/>
    <x v="0"/>
    <s v="français"/>
    <x v="2"/>
    <n v="3"/>
    <n v="0"/>
    <n v="0"/>
    <m/>
    <x v="5"/>
  </r>
  <r>
    <x v="171"/>
    <x v="1"/>
    <x v="0"/>
    <x v="0"/>
    <s v="français"/>
    <x v="2"/>
    <n v="3"/>
    <n v="0"/>
    <n v="0"/>
    <m/>
    <x v="2"/>
  </r>
  <r>
    <x v="172"/>
    <x v="1"/>
    <x v="0"/>
    <x v="0"/>
    <s v="français"/>
    <x v="2"/>
    <n v="3"/>
    <n v="0"/>
    <n v="0"/>
    <m/>
    <x v="4"/>
  </r>
  <r>
    <x v="173"/>
    <x v="7"/>
    <x v="1"/>
    <x v="0"/>
    <s v="français"/>
    <x v="1"/>
    <n v="0.5"/>
    <n v="0"/>
    <n v="0"/>
    <s v="Envoyé en psycho ou en médecine car la question était pointue dans ces domaines"/>
    <x v="1"/>
  </r>
  <r>
    <x v="174"/>
    <x v="3"/>
    <x v="1"/>
    <x v="0"/>
    <s v="français"/>
    <x v="0"/>
    <n v="10.5"/>
    <n v="1"/>
    <n v="0"/>
    <m/>
    <x v="2"/>
  </r>
  <r>
    <x v="175"/>
    <x v="3"/>
    <x v="1"/>
    <x v="0"/>
    <s v="français"/>
    <x v="0"/>
    <n v="10.5"/>
    <n v="1"/>
    <n v="1"/>
    <m/>
    <x v="6"/>
  </r>
  <r>
    <x v="176"/>
    <x v="3"/>
    <x v="1"/>
    <x v="0"/>
    <s v="français"/>
    <x v="2"/>
    <n v="3"/>
    <n v="0"/>
    <n v="0"/>
    <m/>
    <x v="1"/>
  </r>
  <r>
    <x v="177"/>
    <x v="4"/>
    <x v="1"/>
    <x v="0"/>
    <s v="français"/>
    <x v="0"/>
    <n v="10.5"/>
    <n v="1"/>
    <n v="0"/>
    <m/>
    <x v="2"/>
  </r>
  <r>
    <x v="178"/>
    <x v="4"/>
    <x v="1"/>
    <x v="0"/>
    <s v="français"/>
    <x v="0"/>
    <n v="10.5"/>
    <n v="0"/>
    <n v="0"/>
    <m/>
    <x v="2"/>
  </r>
  <r>
    <x v="178"/>
    <x v="4"/>
    <x v="1"/>
    <x v="0"/>
    <s v="français"/>
    <x v="0"/>
    <n v="10.5"/>
    <n v="0"/>
    <n v="0"/>
    <m/>
    <x v="5"/>
  </r>
  <r>
    <x v="179"/>
    <x v="8"/>
    <x v="1"/>
    <x v="0"/>
    <s v="français"/>
    <x v="2"/>
    <n v="3"/>
    <n v="0"/>
    <n v="0"/>
    <m/>
    <x v="3"/>
  </r>
  <r>
    <x v="180"/>
    <x v="8"/>
    <x v="1"/>
    <x v="0"/>
    <s v="français"/>
    <x v="1"/>
    <n v="0.5"/>
    <n v="0"/>
    <n v="0"/>
    <m/>
    <x v="0"/>
  </r>
  <r>
    <x v="181"/>
    <x v="8"/>
    <x v="1"/>
    <x v="0"/>
    <s v="français"/>
    <x v="2"/>
    <n v="3"/>
    <n v="0"/>
    <n v="0"/>
    <m/>
    <x v="5"/>
  </r>
  <r>
    <x v="182"/>
    <x v="8"/>
    <x v="1"/>
    <x v="0"/>
    <s v="français"/>
    <x v="1"/>
    <n v="0.5"/>
    <n v="0"/>
    <n v="0"/>
    <m/>
    <x v="0"/>
  </r>
  <r>
    <x v="183"/>
    <x v="8"/>
    <x v="1"/>
    <x v="0"/>
    <s v="français"/>
    <x v="1"/>
    <n v="0.5"/>
    <n v="0"/>
    <n v="0"/>
    <m/>
    <x v="8"/>
  </r>
  <r>
    <x v="184"/>
    <x v="8"/>
    <x v="1"/>
    <x v="0"/>
    <s v="français"/>
    <x v="1"/>
    <n v="0.5"/>
    <n v="0"/>
    <n v="0"/>
    <m/>
    <x v="7"/>
  </r>
  <r>
    <x v="185"/>
    <x v="4"/>
    <x v="2"/>
    <x v="0"/>
    <s v="français"/>
    <x v="2"/>
    <n v="3"/>
    <n v="1"/>
    <n v="0"/>
    <m/>
    <x v="6"/>
  </r>
  <r>
    <x v="186"/>
    <x v="1"/>
    <x v="2"/>
    <x v="0"/>
    <s v="français"/>
    <x v="2"/>
    <n v="3"/>
    <n v="0"/>
    <n v="0"/>
    <s v="Souhaite faire des photocopies mais ne souhaite pas acheter de carte... :-)"/>
    <x v="1"/>
  </r>
  <r>
    <x v="187"/>
    <x v="1"/>
    <x v="2"/>
    <x v="0"/>
    <s v="français"/>
    <x v="0"/>
    <n v="10.5"/>
    <n v="1"/>
    <n v="0"/>
    <m/>
    <x v="2"/>
  </r>
  <r>
    <x v="187"/>
    <x v="1"/>
    <x v="2"/>
    <x v="0"/>
    <s v="français"/>
    <x v="0"/>
    <n v="10.5"/>
    <n v="1"/>
    <n v="0"/>
    <m/>
    <x v="5"/>
  </r>
  <r>
    <x v="188"/>
    <x v="1"/>
    <x v="2"/>
    <x v="0"/>
    <s v="français"/>
    <x v="1"/>
    <n v="0.5"/>
    <n v="0"/>
    <n v="0"/>
    <s v="WC"/>
    <x v="0"/>
  </r>
  <r>
    <x v="189"/>
    <x v="0"/>
    <x v="0"/>
    <x v="0"/>
    <s v="français"/>
    <x v="1"/>
    <n v="0.5"/>
    <n v="0"/>
    <n v="0"/>
    <m/>
    <x v="0"/>
  </r>
  <r>
    <x v="190"/>
    <x v="0"/>
    <x v="0"/>
    <x v="0"/>
    <s v="français"/>
    <x v="0"/>
    <n v="10.5"/>
    <n v="0"/>
    <n v="0"/>
    <m/>
    <x v="8"/>
  </r>
  <r>
    <x v="191"/>
    <x v="7"/>
    <x v="0"/>
    <x v="0"/>
    <s v="français"/>
    <x v="0"/>
    <n v="10.5"/>
    <n v="1"/>
    <n v="1"/>
    <s v="Grammaire en dialogues niveau avancé : B2-C1 / Claire Miquel"/>
    <x v="6"/>
  </r>
  <r>
    <x v="192"/>
    <x v="7"/>
    <x v="0"/>
    <x v="0"/>
    <s v="français"/>
    <x v="3"/>
    <n v="20"/>
    <n v="0"/>
    <n v="0"/>
    <s v="Recherche la collection d'ouvrages concernant les manuscrits conservés dans les Bibliothèques europeenes qui se trouvait à Senebier qu'on vient de désherber/refouler. Ca ne s'invente pas"/>
    <x v="2"/>
  </r>
  <r>
    <x v="192"/>
    <x v="7"/>
    <x v="0"/>
    <x v="0"/>
    <s v="français"/>
    <x v="3"/>
    <n v="20"/>
    <n v="0"/>
    <n v="0"/>
    <s v="Recherche la collection d'ouvrages concernant les manuscrits conservés dans les Bibliothèques europeenes qui se trouvait à Senebier qu'on vient de désherber/refouler. Ca ne s'invente pas"/>
    <x v="0"/>
  </r>
  <r>
    <x v="193"/>
    <x v="7"/>
    <x v="0"/>
    <x v="1"/>
    <s v="français"/>
    <x v="2"/>
    <n v="3"/>
    <n v="0"/>
    <n v="0"/>
    <m/>
    <x v="7"/>
  </r>
  <r>
    <x v="194"/>
    <x v="3"/>
    <x v="0"/>
    <x v="1"/>
    <s v="français"/>
    <x v="2"/>
    <n v="3"/>
    <n v="0"/>
    <n v="0"/>
    <s v="Savoir si ce sont toutes les archives Ella Maillart (fond de la BGE + fond de la BNS) qui sont inscrit au patrimoine de l'UNESCO ou seulement celles de la BGE."/>
    <x v="6"/>
  </r>
  <r>
    <x v="194"/>
    <x v="3"/>
    <x v="0"/>
    <x v="1"/>
    <s v="français"/>
    <x v="2"/>
    <n v="3"/>
    <n v="0"/>
    <n v="0"/>
    <s v="Savoir si ce sont toutes les archives Ella Maillart (fond de la BGE + fond de la BNS) qui sont inscrit au patrimoine de l'UNESCO ou seulement celles de la BGE."/>
    <x v="0"/>
  </r>
  <r>
    <x v="195"/>
    <x v="3"/>
    <x v="0"/>
    <x v="0"/>
    <s v="autre"/>
    <x v="0"/>
    <n v="10.5"/>
    <n v="0"/>
    <n v="0"/>
    <s v="Visiteurs chinois qui veulent se rendre dans les différentes universités. Compliqué de leur expliquer que ce sont des bâtiments sans portails dispersés dans la ville."/>
    <x v="1"/>
  </r>
  <r>
    <x v="196"/>
    <x v="3"/>
    <x v="0"/>
    <x v="0"/>
    <s v="français"/>
    <x v="3"/>
    <n v="20"/>
    <n v="0"/>
    <n v="0"/>
    <s v="inscription longue suite à des bugs"/>
    <x v="3"/>
  </r>
  <r>
    <x v="197"/>
    <x v="3"/>
    <x v="0"/>
    <x v="0"/>
    <s v="français"/>
    <x v="1"/>
    <n v="0.5"/>
    <n v="0"/>
    <n v="0"/>
    <m/>
    <x v="0"/>
  </r>
  <r>
    <x v="198"/>
    <x v="4"/>
    <x v="0"/>
    <x v="0"/>
    <s v="français"/>
    <x v="2"/>
    <n v="3"/>
    <n v="0"/>
    <n v="0"/>
    <m/>
    <x v="3"/>
  </r>
  <r>
    <x v="199"/>
    <x v="4"/>
    <x v="0"/>
    <x v="0"/>
    <s v="français"/>
    <x v="2"/>
    <n v="3"/>
    <n v="0"/>
    <n v="0"/>
    <m/>
    <x v="3"/>
  </r>
  <r>
    <x v="200"/>
    <x v="4"/>
    <x v="0"/>
    <x v="0"/>
    <s v="français"/>
    <x v="1"/>
    <n v="0.5"/>
    <n v="0"/>
    <n v="0"/>
    <s v="Internet"/>
    <x v="1"/>
  </r>
  <r>
    <x v="201"/>
    <x v="4"/>
    <x v="0"/>
    <x v="0"/>
    <s v="français"/>
    <x v="1"/>
    <n v="0.5"/>
    <n v="0"/>
    <n v="0"/>
    <m/>
    <x v="5"/>
  </r>
  <r>
    <x v="202"/>
    <x v="4"/>
    <x v="0"/>
    <x v="0"/>
    <s v="français"/>
    <x v="1"/>
    <n v="0.5"/>
    <n v="0"/>
    <n v="0"/>
    <s v="Remplacement de carte"/>
    <x v="1"/>
  </r>
  <r>
    <x v="203"/>
    <x v="1"/>
    <x v="0"/>
    <x v="0"/>
    <s v="français"/>
    <x v="2"/>
    <n v="3"/>
    <n v="0"/>
    <n v="0"/>
    <s v="Affiches"/>
    <x v="1"/>
  </r>
  <r>
    <x v="204"/>
    <x v="1"/>
    <x v="0"/>
    <x v="0"/>
    <s v="français"/>
    <x v="3"/>
    <n v="20"/>
    <n v="1"/>
    <n v="0"/>
    <s v="Hare Krishna"/>
    <x v="2"/>
  </r>
  <r>
    <x v="204"/>
    <x v="1"/>
    <x v="0"/>
    <x v="0"/>
    <s v="français"/>
    <x v="3"/>
    <n v="20"/>
    <n v="1"/>
    <n v="0"/>
    <s v="Hare Krishna"/>
    <x v="1"/>
  </r>
  <r>
    <x v="205"/>
    <x v="1"/>
    <x v="0"/>
    <x v="0"/>
    <s v="français"/>
    <x v="0"/>
    <n v="10.5"/>
    <n v="0"/>
    <n v="0"/>
    <m/>
    <x v="3"/>
  </r>
  <r>
    <x v="206"/>
    <x v="8"/>
    <x v="0"/>
    <x v="0"/>
    <s v="français"/>
    <x v="2"/>
    <n v="3"/>
    <n v="0"/>
    <n v="0"/>
    <m/>
    <x v="3"/>
  </r>
  <r>
    <x v="207"/>
    <x v="8"/>
    <x v="0"/>
    <x v="0"/>
    <s v="français"/>
    <x v="2"/>
    <n v="3"/>
    <n v="0"/>
    <n v="0"/>
    <m/>
    <x v="3"/>
  </r>
  <r>
    <x v="208"/>
    <x v="8"/>
    <x v="0"/>
    <x v="0"/>
    <s v="français"/>
    <x v="2"/>
    <n v="3"/>
    <n v="1"/>
    <n v="0"/>
    <m/>
    <x v="2"/>
  </r>
  <r>
    <x v="209"/>
    <x v="8"/>
    <x v="0"/>
    <x v="0"/>
    <s v="français"/>
    <x v="2"/>
    <n v="3"/>
    <n v="0"/>
    <n v="0"/>
    <m/>
    <x v="7"/>
  </r>
  <r>
    <x v="210"/>
    <x v="8"/>
    <x v="0"/>
    <x v="0"/>
    <s v="français"/>
    <x v="2"/>
    <n v="3"/>
    <n v="0"/>
    <n v="0"/>
    <m/>
    <x v="4"/>
  </r>
  <r>
    <x v="211"/>
    <x v="8"/>
    <x v="0"/>
    <x v="0"/>
    <s v="français"/>
    <x v="1"/>
    <n v="0.5"/>
    <n v="0"/>
    <n v="0"/>
    <m/>
    <x v="0"/>
  </r>
  <r>
    <x v="212"/>
    <x v="5"/>
    <x v="1"/>
    <x v="1"/>
    <s v="français"/>
    <x v="2"/>
    <n v="3"/>
    <n v="0"/>
    <n v="0"/>
    <s v="Proposition de don"/>
    <x v="1"/>
  </r>
  <r>
    <x v="213"/>
    <x v="0"/>
    <x v="1"/>
    <x v="0"/>
    <s v="français"/>
    <x v="2"/>
    <n v="3"/>
    <n v="0"/>
    <n v="0"/>
    <m/>
    <x v="4"/>
  </r>
  <r>
    <x v="214"/>
    <x v="3"/>
    <x v="1"/>
    <x v="0"/>
    <s v="français"/>
    <x v="2"/>
    <n v="3"/>
    <n v="0"/>
    <n v="0"/>
    <m/>
    <x v="4"/>
  </r>
  <r>
    <x v="215"/>
    <x v="6"/>
    <x v="1"/>
    <x v="0"/>
    <s v="français"/>
    <x v="2"/>
    <n v="3"/>
    <n v="0"/>
    <n v="0"/>
    <m/>
    <x v="4"/>
  </r>
  <r>
    <x v="216"/>
    <x v="6"/>
    <x v="1"/>
    <x v="0"/>
    <s v="français"/>
    <x v="1"/>
    <n v="0.5"/>
    <n v="0"/>
    <n v="0"/>
    <m/>
    <x v="0"/>
  </r>
  <r>
    <x v="217"/>
    <x v="6"/>
    <x v="1"/>
    <x v="0"/>
    <s v="français"/>
    <x v="1"/>
    <n v="0.5"/>
    <n v="0"/>
    <n v="0"/>
    <m/>
    <x v="7"/>
  </r>
  <r>
    <x v="218"/>
    <x v="6"/>
    <x v="1"/>
    <x v="1"/>
    <s v="français"/>
    <x v="1"/>
    <n v="0.5"/>
    <n v="0"/>
    <n v="0"/>
    <m/>
    <x v="7"/>
  </r>
  <r>
    <x v="219"/>
    <x v="6"/>
    <x v="1"/>
    <x v="0"/>
    <s v="français"/>
    <x v="1"/>
    <n v="0.5"/>
    <n v="0"/>
    <n v="0"/>
    <m/>
    <x v="7"/>
  </r>
  <r>
    <x v="220"/>
    <x v="8"/>
    <x v="1"/>
    <x v="0"/>
    <s v="français"/>
    <x v="1"/>
    <n v="0.5"/>
    <n v="0"/>
    <n v="0"/>
    <m/>
    <x v="0"/>
  </r>
  <r>
    <x v="221"/>
    <x v="8"/>
    <x v="1"/>
    <x v="0"/>
    <s v="français"/>
    <x v="1"/>
    <n v="0.5"/>
    <n v="0"/>
    <n v="0"/>
    <m/>
    <x v="0"/>
  </r>
  <r>
    <x v="222"/>
    <x v="4"/>
    <x v="2"/>
    <x v="0"/>
    <s v="français"/>
    <x v="3"/>
    <n v="20"/>
    <n v="0"/>
    <n v="0"/>
    <m/>
    <x v="3"/>
  </r>
  <r>
    <x v="223"/>
    <x v="1"/>
    <x v="2"/>
    <x v="0"/>
    <s v="français"/>
    <x v="0"/>
    <n v="10.5"/>
    <n v="0"/>
    <n v="1"/>
    <m/>
    <x v="6"/>
  </r>
  <r>
    <x v="224"/>
    <x v="1"/>
    <x v="2"/>
    <x v="0"/>
    <s v="français"/>
    <x v="3"/>
    <n v="20"/>
    <n v="0"/>
    <n v="0"/>
    <m/>
    <x v="3"/>
  </r>
  <r>
    <x v="225"/>
    <x v="7"/>
    <x v="3"/>
    <x v="0"/>
    <s v="français"/>
    <x v="3"/>
    <n v="20"/>
    <n v="0"/>
    <n v="0"/>
    <m/>
    <x v="3"/>
  </r>
  <r>
    <x v="225"/>
    <x v="7"/>
    <x v="3"/>
    <x v="0"/>
    <s v="français"/>
    <x v="3"/>
    <n v="20"/>
    <n v="0"/>
    <n v="0"/>
    <m/>
    <x v="7"/>
  </r>
  <r>
    <x v="226"/>
    <x v="7"/>
    <x v="3"/>
    <x v="0"/>
    <s v="français"/>
    <x v="0"/>
    <n v="10.5"/>
    <n v="0"/>
    <n v="0"/>
    <m/>
    <x v="8"/>
  </r>
  <r>
    <x v="227"/>
    <x v="7"/>
    <x v="3"/>
    <x v="0"/>
    <s v="français"/>
    <x v="1"/>
    <n v="0.5"/>
    <n v="0"/>
    <n v="0"/>
    <m/>
    <x v="2"/>
  </r>
  <r>
    <x v="228"/>
    <x v="4"/>
    <x v="3"/>
    <x v="0"/>
    <s v="français"/>
    <x v="3"/>
    <n v="20"/>
    <n v="0"/>
    <n v="0"/>
    <m/>
    <x v="3"/>
  </r>
  <r>
    <x v="229"/>
    <x v="4"/>
    <x v="3"/>
    <x v="0"/>
    <s v="français"/>
    <x v="3"/>
    <n v="20"/>
    <n v="1"/>
    <n v="0"/>
    <m/>
    <x v="2"/>
  </r>
  <r>
    <x v="229"/>
    <x v="4"/>
    <x v="3"/>
    <x v="0"/>
    <s v="français"/>
    <x v="3"/>
    <n v="20"/>
    <n v="1"/>
    <n v="0"/>
    <m/>
    <x v="3"/>
  </r>
  <r>
    <x v="230"/>
    <x v="4"/>
    <x v="3"/>
    <x v="0"/>
    <s v="français"/>
    <x v="3"/>
    <n v="20"/>
    <n v="1"/>
    <n v="0"/>
    <m/>
    <x v="2"/>
  </r>
  <r>
    <x v="231"/>
    <x v="1"/>
    <x v="3"/>
    <x v="0"/>
    <s v="français"/>
    <x v="2"/>
    <n v="3"/>
    <n v="0"/>
    <n v="0"/>
    <m/>
    <x v="7"/>
  </r>
  <r>
    <x v="232"/>
    <x v="1"/>
    <x v="3"/>
    <x v="0"/>
    <s v="anglais"/>
    <x v="2"/>
    <n v="3"/>
    <n v="0"/>
    <n v="0"/>
    <m/>
    <x v="7"/>
  </r>
  <r>
    <x v="233"/>
    <x v="5"/>
    <x v="4"/>
    <x v="0"/>
    <s v="français"/>
    <x v="2"/>
    <n v="3"/>
    <n v="0"/>
    <n v="0"/>
    <s v="Aide à retrouver un message parti dans les courriers indésirables"/>
    <x v="8"/>
  </r>
  <r>
    <x v="234"/>
    <x v="5"/>
    <x v="4"/>
    <x v="0"/>
    <s v="français"/>
    <x v="2"/>
    <n v="3"/>
    <n v="1"/>
    <n v="0"/>
    <m/>
    <x v="6"/>
  </r>
  <r>
    <x v="235"/>
    <x v="7"/>
    <x v="4"/>
    <x v="0"/>
    <s v="français"/>
    <x v="0"/>
    <n v="10.5"/>
    <n v="0"/>
    <n v="0"/>
    <s v="Utilisation de l'imprimante"/>
    <x v="8"/>
  </r>
  <r>
    <x v="236"/>
    <x v="7"/>
    <x v="5"/>
    <x v="1"/>
    <s v="français"/>
    <x v="2"/>
    <n v="3"/>
    <n v="0"/>
    <n v="0"/>
    <m/>
    <x v="0"/>
  </r>
  <r>
    <x v="237"/>
    <x v="7"/>
    <x v="5"/>
    <x v="1"/>
    <s v="français"/>
    <x v="2"/>
    <n v="3"/>
    <n v="0"/>
    <n v="0"/>
    <s v="question RH au sujet d'une postulation"/>
    <x v="0"/>
  </r>
  <r>
    <x v="238"/>
    <x v="7"/>
    <x v="5"/>
    <x v="0"/>
    <s v="français"/>
    <x v="2"/>
    <n v="3"/>
    <n v="0"/>
    <n v="0"/>
    <m/>
    <x v="3"/>
  </r>
  <r>
    <x v="239"/>
    <x v="4"/>
    <x v="5"/>
    <x v="0"/>
    <s v="anglais"/>
    <x v="2"/>
    <n v="3"/>
    <n v="0"/>
    <n v="0"/>
    <m/>
    <x v="8"/>
  </r>
  <r>
    <x v="240"/>
    <x v="4"/>
    <x v="5"/>
    <x v="0"/>
    <s v="français"/>
    <x v="0"/>
    <n v="10.5"/>
    <n v="0"/>
    <n v="0"/>
    <m/>
    <x v="3"/>
  </r>
  <r>
    <x v="241"/>
    <x v="4"/>
    <x v="5"/>
    <x v="0"/>
    <s v="français"/>
    <x v="1"/>
    <n v="0.5"/>
    <n v="0"/>
    <n v="0"/>
    <m/>
    <x v="0"/>
  </r>
  <r>
    <x v="242"/>
    <x v="4"/>
    <x v="5"/>
    <x v="0"/>
    <s v="anglais"/>
    <x v="1"/>
    <n v="0.5"/>
    <n v="0"/>
    <n v="0"/>
    <m/>
    <x v="8"/>
  </r>
  <r>
    <x v="243"/>
    <x v="1"/>
    <x v="5"/>
    <x v="0"/>
    <s v="anglais"/>
    <x v="0"/>
    <n v="10.5"/>
    <n v="0"/>
    <n v="0"/>
    <m/>
    <x v="3"/>
  </r>
  <r>
    <x v="244"/>
    <x v="1"/>
    <x v="5"/>
    <x v="0"/>
    <s v="français"/>
    <x v="2"/>
    <n v="3"/>
    <n v="1"/>
    <n v="0"/>
    <m/>
    <x v="2"/>
  </r>
  <r>
    <x v="245"/>
    <x v="2"/>
    <x v="5"/>
    <x v="0"/>
    <s v="français"/>
    <x v="2"/>
    <n v="3"/>
    <n v="1"/>
    <n v="0"/>
    <m/>
    <x v="2"/>
  </r>
  <r>
    <x v="246"/>
    <x v="6"/>
    <x v="5"/>
    <x v="1"/>
    <s v="français"/>
    <x v="0"/>
    <n v="10.5"/>
    <n v="1"/>
    <n v="1"/>
    <m/>
    <x v="2"/>
  </r>
  <r>
    <x v="247"/>
    <x v="6"/>
    <x v="5"/>
    <x v="0"/>
    <s v="français"/>
    <x v="2"/>
    <n v="3"/>
    <n v="1"/>
    <n v="0"/>
    <m/>
    <x v="2"/>
  </r>
  <r>
    <x v="247"/>
    <x v="6"/>
    <x v="5"/>
    <x v="0"/>
    <s v="français"/>
    <x v="2"/>
    <n v="3"/>
    <n v="1"/>
    <n v="0"/>
    <m/>
    <x v="3"/>
  </r>
  <r>
    <x v="248"/>
    <x v="6"/>
    <x v="5"/>
    <x v="0"/>
    <s v="français"/>
    <x v="1"/>
    <n v="0.5"/>
    <n v="0"/>
    <n v="0"/>
    <m/>
    <x v="0"/>
  </r>
  <r>
    <x v="249"/>
    <x v="7"/>
    <x v="1"/>
    <x v="0"/>
    <s v="français"/>
    <x v="0"/>
    <n v="10.5"/>
    <n v="0"/>
    <n v="0"/>
    <m/>
    <x v="6"/>
  </r>
  <r>
    <x v="250"/>
    <x v="3"/>
    <x v="1"/>
    <x v="0"/>
    <s v="anglais"/>
    <x v="3"/>
    <n v="20"/>
    <n v="0"/>
    <n v="0"/>
    <s v="Un monsieur un peu agressif dès que cela ne va pas comme il veut, mais qui peut s'excuser après. C'est selon. Besoin d'aide pour enregistrer des choses sur clé usb et imprimer"/>
    <x v="8"/>
  </r>
  <r>
    <x v="251"/>
    <x v="1"/>
    <x v="1"/>
    <x v="0"/>
    <s v="anglais"/>
    <x v="2"/>
    <n v="3"/>
    <n v="0"/>
    <n v="0"/>
    <m/>
    <x v="8"/>
  </r>
  <r>
    <x v="252"/>
    <x v="1"/>
    <x v="1"/>
    <x v="0"/>
    <s v="anglais"/>
    <x v="2"/>
    <n v="3"/>
    <n v="0"/>
    <n v="0"/>
    <m/>
    <x v="4"/>
  </r>
  <r>
    <x v="253"/>
    <x v="1"/>
    <x v="1"/>
    <x v="0"/>
    <s v="anglais"/>
    <x v="2"/>
    <n v="3"/>
    <n v="0"/>
    <n v="0"/>
    <m/>
    <x v="4"/>
  </r>
  <r>
    <x v="254"/>
    <x v="2"/>
    <x v="1"/>
    <x v="0"/>
    <s v="français"/>
    <x v="2"/>
    <n v="3"/>
    <n v="0"/>
    <n v="0"/>
    <m/>
    <x v="7"/>
  </r>
  <r>
    <x v="255"/>
    <x v="2"/>
    <x v="1"/>
    <x v="0"/>
    <s v="français"/>
    <x v="2"/>
    <n v="3"/>
    <n v="0"/>
    <n v="0"/>
    <m/>
    <x v="2"/>
  </r>
  <r>
    <x v="256"/>
    <x v="5"/>
    <x v="2"/>
    <x v="0"/>
    <s v="français"/>
    <x v="0"/>
    <n v="10.5"/>
    <n v="0"/>
    <n v="0"/>
    <m/>
    <x v="3"/>
  </r>
  <r>
    <x v="256"/>
    <x v="5"/>
    <x v="2"/>
    <x v="0"/>
    <s v="français"/>
    <x v="0"/>
    <n v="10.5"/>
    <n v="0"/>
    <n v="0"/>
    <m/>
    <x v="4"/>
  </r>
  <r>
    <x v="256"/>
    <x v="5"/>
    <x v="2"/>
    <x v="0"/>
    <s v="français"/>
    <x v="0"/>
    <n v="10.5"/>
    <n v="0"/>
    <n v="0"/>
    <m/>
    <x v="7"/>
  </r>
  <r>
    <x v="257"/>
    <x v="0"/>
    <x v="2"/>
    <x v="0"/>
    <s v="français"/>
    <x v="0"/>
    <n v="10.5"/>
    <n v="1"/>
    <n v="0"/>
    <m/>
    <x v="2"/>
  </r>
  <r>
    <x v="258"/>
    <x v="0"/>
    <x v="2"/>
    <x v="0"/>
    <s v="français"/>
    <x v="2"/>
    <n v="3"/>
    <n v="0"/>
    <n v="0"/>
    <m/>
    <x v="5"/>
  </r>
  <r>
    <x v="259"/>
    <x v="3"/>
    <x v="2"/>
    <x v="0"/>
    <s v="français"/>
    <x v="2"/>
    <n v="3"/>
    <n v="0"/>
    <n v="0"/>
    <s v="Renseignements sur les Jeudis midi"/>
    <x v="1"/>
  </r>
  <r>
    <x v="260"/>
    <x v="3"/>
    <x v="2"/>
    <x v="0"/>
    <s v="français"/>
    <x v="0"/>
    <n v="10.5"/>
    <n v="0"/>
    <n v="0"/>
    <s v="Modifier une inscription 92 en compte normal"/>
    <x v="3"/>
  </r>
  <r>
    <x v="261"/>
    <x v="3"/>
    <x v="2"/>
    <x v="0"/>
    <s v="français"/>
    <x v="2"/>
    <n v="3"/>
    <n v="0"/>
    <n v="0"/>
    <s v="Revue internationale de l'enfant / Union internationale de secours aux enfants , année 1926 = cote E 1880"/>
    <x v="2"/>
  </r>
  <r>
    <x v="262"/>
    <x v="1"/>
    <x v="2"/>
    <x v="0"/>
    <s v="français"/>
    <x v="0"/>
    <n v="10.5"/>
    <n v="1"/>
    <n v="0"/>
    <m/>
    <x v="2"/>
  </r>
  <r>
    <x v="263"/>
    <x v="1"/>
    <x v="2"/>
    <x v="0"/>
    <s v="français"/>
    <x v="0"/>
    <n v="10.5"/>
    <n v="0"/>
    <n v="0"/>
    <m/>
    <x v="8"/>
  </r>
  <r>
    <x v="264"/>
    <x v="1"/>
    <x v="2"/>
    <x v="0"/>
    <s v="français"/>
    <x v="1"/>
    <n v="0.5"/>
    <n v="0"/>
    <n v="0"/>
    <s v="agrapheuse"/>
    <x v="1"/>
  </r>
  <r>
    <x v="265"/>
    <x v="1"/>
    <x v="2"/>
    <x v="0"/>
    <s v="français"/>
    <x v="2"/>
    <n v="3"/>
    <n v="0"/>
    <n v="0"/>
    <s v="Accompagner avec l'ascenseur"/>
    <x v="1"/>
  </r>
  <r>
    <x v="266"/>
    <x v="2"/>
    <x v="2"/>
    <x v="0"/>
    <s v="français"/>
    <x v="0"/>
    <n v="10.5"/>
    <n v="0"/>
    <n v="0"/>
    <m/>
    <x v="3"/>
  </r>
  <r>
    <x v="267"/>
    <x v="2"/>
    <x v="2"/>
    <x v="0"/>
    <s v="français"/>
    <x v="1"/>
    <n v="0.5"/>
    <n v="0"/>
    <n v="0"/>
    <m/>
    <x v="0"/>
  </r>
  <r>
    <x v="268"/>
    <x v="2"/>
    <x v="2"/>
    <x v="0"/>
    <s v="français"/>
    <x v="0"/>
    <n v="10.5"/>
    <n v="1"/>
    <n v="0"/>
    <m/>
    <x v="6"/>
  </r>
  <r>
    <x v="268"/>
    <x v="2"/>
    <x v="2"/>
    <x v="0"/>
    <s v="français"/>
    <x v="0"/>
    <n v="10.5"/>
    <n v="1"/>
    <n v="0"/>
    <m/>
    <x v="3"/>
  </r>
  <r>
    <x v="269"/>
    <x v="5"/>
    <x v="3"/>
    <x v="0"/>
    <s v="français"/>
    <x v="0"/>
    <n v="10.5"/>
    <n v="0"/>
    <n v="1"/>
    <s v="Recherche d'un artice numérisé de la Tribune, 1884"/>
    <x v="2"/>
  </r>
  <r>
    <x v="270"/>
    <x v="5"/>
    <x v="3"/>
    <x v="0"/>
    <s v="français"/>
    <x v="0"/>
    <n v="10.5"/>
    <n v="0"/>
    <n v="1"/>
    <s v="Recherche d'articles dans la Tribune années 1890-1910"/>
    <x v="6"/>
  </r>
  <r>
    <x v="270"/>
    <x v="5"/>
    <x v="3"/>
    <x v="0"/>
    <s v="français"/>
    <x v="0"/>
    <n v="10.5"/>
    <n v="0"/>
    <n v="1"/>
    <s v="Recherche d'articles dans la Tribune années 1890-1910"/>
    <x v="4"/>
  </r>
  <r>
    <x v="271"/>
    <x v="0"/>
    <x v="3"/>
    <x v="0"/>
    <s v="français"/>
    <x v="2"/>
    <n v="3"/>
    <n v="1"/>
    <n v="0"/>
    <m/>
    <x v="2"/>
  </r>
  <r>
    <x v="272"/>
    <x v="7"/>
    <x v="3"/>
    <x v="0"/>
    <s v="français"/>
    <x v="0"/>
    <n v="10.5"/>
    <n v="0"/>
    <n v="0"/>
    <s v="Avoir accès aux ressources numériques de l'unige en étant de l'unine"/>
    <x v="1"/>
  </r>
  <r>
    <x v="273"/>
    <x v="3"/>
    <x v="3"/>
    <x v="0"/>
    <s v="français"/>
    <x v="0"/>
    <n v="10.5"/>
    <n v="1"/>
    <n v="1"/>
    <s v="Consulter le registre foncier récent"/>
    <x v="6"/>
  </r>
  <r>
    <x v="273"/>
    <x v="3"/>
    <x v="3"/>
    <x v="0"/>
    <s v="français"/>
    <x v="0"/>
    <n v="10.5"/>
    <n v="1"/>
    <n v="1"/>
    <s v="Consulter le registre foncier récent"/>
    <x v="4"/>
  </r>
  <r>
    <x v="273"/>
    <x v="3"/>
    <x v="3"/>
    <x v="0"/>
    <s v="français"/>
    <x v="0"/>
    <n v="10.5"/>
    <n v="1"/>
    <n v="1"/>
    <s v="Consulter le registre foncier récent"/>
    <x v="7"/>
  </r>
  <r>
    <x v="274"/>
    <x v="3"/>
    <x v="3"/>
    <x v="0"/>
    <s v="français"/>
    <x v="2"/>
    <n v="3"/>
    <n v="1"/>
    <n v="0"/>
    <s v="Robespierre et la république sociale / Albert Mathiez "/>
    <x v="2"/>
  </r>
  <r>
    <x v="275"/>
    <x v="4"/>
    <x v="3"/>
    <x v="1"/>
    <s v="français"/>
    <x v="0"/>
    <n v="10.5"/>
    <n v="0"/>
    <n v="0"/>
    <s v="Orientation vers les bibliothèques HES Santé et Social"/>
    <x v="1"/>
  </r>
  <r>
    <x v="276"/>
    <x v="4"/>
    <x v="3"/>
    <x v="0"/>
    <s v="français"/>
    <x v="2"/>
    <n v="3"/>
    <n v="0"/>
    <n v="0"/>
    <m/>
    <x v="4"/>
  </r>
  <r>
    <x v="277"/>
    <x v="1"/>
    <x v="3"/>
    <x v="0"/>
    <s v="français"/>
    <x v="3"/>
    <n v="20"/>
    <n v="0"/>
    <n v="0"/>
    <s v="Mineure. Ai tout fait, la lectrice repasse avec le formulaire signé"/>
    <x v="3"/>
  </r>
  <r>
    <x v="278"/>
    <x v="1"/>
    <x v="3"/>
    <x v="0"/>
    <s v="français"/>
    <x v="0"/>
    <n v="10.5"/>
    <n v="0"/>
    <n v="0"/>
    <s v="Mineure. Ai tout fait, la lectrice repasse avec le formulaire signé"/>
    <x v="3"/>
  </r>
  <r>
    <x v="279"/>
    <x v="2"/>
    <x v="3"/>
    <x v="0"/>
    <s v="français"/>
    <x v="0"/>
    <n v="10.5"/>
    <n v="0"/>
    <n v="0"/>
    <m/>
    <x v="3"/>
  </r>
  <r>
    <x v="280"/>
    <x v="2"/>
    <x v="3"/>
    <x v="0"/>
    <s v="français"/>
    <x v="0"/>
    <n v="10.5"/>
    <n v="0"/>
    <n v="0"/>
    <m/>
    <x v="3"/>
  </r>
  <r>
    <x v="281"/>
    <x v="5"/>
    <x v="4"/>
    <x v="0"/>
    <s v="français"/>
    <x v="0"/>
    <n v="10.5"/>
    <n v="1"/>
    <n v="0"/>
    <m/>
    <x v="2"/>
  </r>
  <r>
    <x v="282"/>
    <x v="5"/>
    <x v="4"/>
    <x v="0"/>
    <s v="français"/>
    <x v="1"/>
    <n v="0.5"/>
    <n v="0"/>
    <n v="0"/>
    <m/>
    <x v="4"/>
  </r>
  <r>
    <x v="283"/>
    <x v="0"/>
    <x v="4"/>
    <x v="1"/>
    <s v="français"/>
    <x v="0"/>
    <n v="10.5"/>
    <n v="1"/>
    <n v="0"/>
    <s v="Documentation sur l'Hôtel de Ville"/>
    <x v="6"/>
  </r>
  <r>
    <x v="284"/>
    <x v="0"/>
    <x v="4"/>
    <x v="0"/>
    <s v="français"/>
    <x v="1"/>
    <n v="0.5"/>
    <n v="0"/>
    <n v="0"/>
    <m/>
    <x v="7"/>
  </r>
  <r>
    <x v="285"/>
    <x v="0"/>
    <x v="4"/>
    <x v="0"/>
    <s v="français"/>
    <x v="1"/>
    <n v="0.5"/>
    <n v="0"/>
    <n v="0"/>
    <s v="Déroulage d'un store"/>
    <x v="1"/>
  </r>
  <r>
    <x v="286"/>
    <x v="0"/>
    <x v="4"/>
    <x v="0"/>
    <s v="français"/>
    <x v="2"/>
    <n v="3"/>
    <n v="1"/>
    <n v="0"/>
    <s v="Crime, faits divers à Genève dans les années 80-90"/>
    <x v="6"/>
  </r>
  <r>
    <x v="287"/>
    <x v="7"/>
    <x v="4"/>
    <x v="0"/>
    <s v="français"/>
    <x v="3"/>
    <n v="20"/>
    <n v="0"/>
    <n v="0"/>
    <s v="Compte 92, ouvrages sur l'Hôtel de Ville"/>
    <x v="2"/>
  </r>
  <r>
    <x v="287"/>
    <x v="7"/>
    <x v="4"/>
    <x v="0"/>
    <s v="français"/>
    <x v="3"/>
    <n v="20"/>
    <n v="0"/>
    <n v="0"/>
    <s v="Compte 92, ouvrages sur l'Hôtel de Ville"/>
    <x v="3"/>
  </r>
  <r>
    <x v="288"/>
    <x v="7"/>
    <x v="4"/>
    <x v="0"/>
    <s v="français"/>
    <x v="1"/>
    <n v="0.5"/>
    <n v="0"/>
    <n v="0"/>
    <s v="Adaptateur"/>
    <x v="8"/>
  </r>
  <r>
    <x v="289"/>
    <x v="7"/>
    <x v="4"/>
    <x v="0"/>
    <s v="français"/>
    <x v="2"/>
    <n v="3"/>
    <n v="0"/>
    <n v="0"/>
    <s v="Finalisation de l'inscription d'hier pour une personne mineure; voulait se créer un compte MondoPC mais comme mineure je l'ai redirigée vers les BM"/>
    <x v="3"/>
  </r>
  <r>
    <x v="290"/>
    <x v="5"/>
    <x v="5"/>
    <x v="0"/>
    <s v="français"/>
    <x v="2"/>
    <n v="3"/>
    <n v="0"/>
    <n v="0"/>
    <m/>
    <x v="7"/>
  </r>
  <r>
    <x v="291"/>
    <x v="5"/>
    <x v="5"/>
    <x v="1"/>
    <s v="français"/>
    <x v="2"/>
    <n v="3"/>
    <n v="0"/>
    <n v="0"/>
    <m/>
    <x v="0"/>
  </r>
  <r>
    <x v="292"/>
    <x v="5"/>
    <x v="5"/>
    <x v="1"/>
    <s v="français"/>
    <x v="0"/>
    <n v="10.5"/>
    <n v="0"/>
    <n v="0"/>
    <s v="Collègue d'une autre bibliothèque qui a reçu par erreur par navette un matériel d'orchestre et qui voulait savoir ce qu'elle devait en faire car la fiche 7days n'était pas avec les documents "/>
    <x v="1"/>
  </r>
  <r>
    <x v="293"/>
    <x v="3"/>
    <x v="5"/>
    <x v="0"/>
    <s v="français"/>
    <x v="2"/>
    <n v="3"/>
    <n v="0"/>
    <n v="0"/>
    <m/>
    <x v="8"/>
  </r>
  <r>
    <x v="294"/>
    <x v="3"/>
    <x v="5"/>
    <x v="0"/>
    <s v="français"/>
    <x v="2"/>
    <n v="3"/>
    <n v="0"/>
    <n v="0"/>
    <m/>
    <x v="8"/>
  </r>
  <r>
    <x v="295"/>
    <x v="3"/>
    <x v="5"/>
    <x v="0"/>
    <s v="français"/>
    <x v="1"/>
    <n v="0.5"/>
    <n v="0"/>
    <n v="0"/>
    <m/>
    <x v="0"/>
  </r>
  <r>
    <x v="296"/>
    <x v="4"/>
    <x v="5"/>
    <x v="0"/>
    <s v="français"/>
    <x v="2"/>
    <n v="3"/>
    <n v="0"/>
    <n v="0"/>
    <m/>
    <x v="4"/>
  </r>
  <r>
    <x v="297"/>
    <x v="4"/>
    <x v="5"/>
    <x v="0"/>
    <s v="français"/>
    <x v="1"/>
    <n v="0.5"/>
    <n v="0"/>
    <n v="0"/>
    <m/>
    <x v="0"/>
  </r>
  <r>
    <x v="298"/>
    <x v="4"/>
    <x v="5"/>
    <x v="0"/>
    <s v="français"/>
    <x v="2"/>
    <n v="3"/>
    <n v="0"/>
    <n v="0"/>
    <s v="Peut-on jouer au concours de l'exposition Zoé sans scanner le QR code ? =&gt; oui, sur le site de la BGE"/>
    <x v="1"/>
  </r>
  <r>
    <x v="299"/>
    <x v="4"/>
    <x v="5"/>
    <x v="0"/>
    <s v="français"/>
    <x v="2"/>
    <n v="3"/>
    <n v="0"/>
    <n v="0"/>
    <m/>
    <x v="4"/>
  </r>
  <r>
    <x v="300"/>
    <x v="1"/>
    <x v="5"/>
    <x v="0"/>
    <s v="français"/>
    <x v="3"/>
    <n v="20"/>
    <n v="1"/>
    <n v="0"/>
    <s v="Recherchait des &quot;annales&quot; d'exercices de mathématiques pour la maturité"/>
    <x v="2"/>
  </r>
  <r>
    <x v="300"/>
    <x v="1"/>
    <x v="5"/>
    <x v="0"/>
    <s v="français"/>
    <x v="3"/>
    <n v="20"/>
    <n v="1"/>
    <n v="0"/>
    <s v="Recherchait des &quot;annales&quot; d'exercices de mathématiques pour la maturité"/>
    <x v="3"/>
  </r>
  <r>
    <x v="300"/>
    <x v="1"/>
    <x v="5"/>
    <x v="0"/>
    <s v="français"/>
    <x v="3"/>
    <n v="20"/>
    <n v="1"/>
    <n v="0"/>
    <s v="Recherchait des &quot;annales&quot; d'exercices de mathématiques pour la maturité"/>
    <x v="4"/>
  </r>
  <r>
    <x v="301"/>
    <x v="1"/>
    <x v="5"/>
    <x v="0"/>
    <s v="français"/>
    <x v="1"/>
    <n v="0.5"/>
    <n v="0"/>
    <n v="0"/>
    <m/>
    <x v="8"/>
  </r>
  <r>
    <x v="302"/>
    <x v="1"/>
    <x v="5"/>
    <x v="0"/>
    <s v="français"/>
    <x v="2"/>
    <n v="3"/>
    <n v="0"/>
    <n v="0"/>
    <s v="LibreOffice ne s'ouvrait pas =&gt; résolu en redémarrant l'ordinateur"/>
    <x v="8"/>
  </r>
  <r>
    <x v="303"/>
    <x v="1"/>
    <x v="5"/>
    <x v="0"/>
    <s v="français"/>
    <x v="1"/>
    <n v="0.5"/>
    <n v="0"/>
    <n v="0"/>
    <m/>
    <x v="0"/>
  </r>
  <r>
    <x v="304"/>
    <x v="2"/>
    <x v="5"/>
    <x v="0"/>
    <s v="français"/>
    <x v="2"/>
    <n v="3"/>
    <n v="1"/>
    <n v="0"/>
    <s v="Montres, horlogerie"/>
    <x v="2"/>
  </r>
  <r>
    <x v="305"/>
    <x v="2"/>
    <x v="5"/>
    <x v="0"/>
    <s v="français"/>
    <x v="0"/>
    <n v="10.5"/>
    <n v="0"/>
    <n v="0"/>
    <m/>
    <x v="3"/>
  </r>
  <r>
    <x v="306"/>
    <x v="6"/>
    <x v="5"/>
    <x v="0"/>
    <s v="français"/>
    <x v="1"/>
    <n v="0.5"/>
    <n v="0"/>
    <n v="0"/>
    <m/>
    <x v="7"/>
  </r>
  <r>
    <x v="307"/>
    <x v="6"/>
    <x v="5"/>
    <x v="0"/>
    <s v="français"/>
    <x v="1"/>
    <n v="0.5"/>
    <n v="0"/>
    <n v="0"/>
    <m/>
    <x v="7"/>
  </r>
  <r>
    <x v="308"/>
    <x v="0"/>
    <x v="0"/>
    <x v="0"/>
    <s v="français"/>
    <x v="0"/>
    <n v="10.5"/>
    <n v="0"/>
    <n v="0"/>
    <m/>
    <x v="3"/>
  </r>
  <r>
    <x v="309"/>
    <x v="0"/>
    <x v="0"/>
    <x v="0"/>
    <s v="français"/>
    <x v="0"/>
    <n v="10.5"/>
    <n v="0"/>
    <n v="0"/>
    <m/>
    <x v="3"/>
  </r>
  <r>
    <x v="309"/>
    <x v="0"/>
    <x v="0"/>
    <x v="0"/>
    <s v="français"/>
    <x v="0"/>
    <n v="10.5"/>
    <n v="0"/>
    <n v="0"/>
    <m/>
    <x v="7"/>
  </r>
  <r>
    <x v="309"/>
    <x v="0"/>
    <x v="0"/>
    <x v="0"/>
    <s v="français"/>
    <x v="0"/>
    <n v="10.5"/>
    <n v="0"/>
    <n v="0"/>
    <m/>
    <x v="0"/>
  </r>
  <r>
    <x v="310"/>
    <x v="4"/>
    <x v="0"/>
    <x v="0"/>
    <s v="français"/>
    <x v="1"/>
    <n v="0.5"/>
    <n v="0"/>
    <n v="0"/>
    <s v="Robinet pour remplir gourde"/>
    <x v="1"/>
  </r>
  <r>
    <x v="311"/>
    <x v="1"/>
    <x v="0"/>
    <x v="0"/>
    <s v="français"/>
    <x v="1"/>
    <n v="0.5"/>
    <n v="0"/>
    <n v="0"/>
    <m/>
    <x v="1"/>
  </r>
  <r>
    <x v="312"/>
    <x v="1"/>
    <x v="0"/>
    <x v="0"/>
    <s v="anglais"/>
    <x v="2"/>
    <n v="3"/>
    <n v="0"/>
    <n v="0"/>
    <m/>
    <x v="4"/>
  </r>
  <r>
    <x v="313"/>
    <x v="2"/>
    <x v="0"/>
    <x v="0"/>
    <s v="anglais"/>
    <x v="0"/>
    <n v="10.5"/>
    <n v="0"/>
    <n v="0"/>
    <s v="L'imprimante ne propose pas la bonne imprimante"/>
    <x v="1"/>
  </r>
  <r>
    <x v="314"/>
    <x v="2"/>
    <x v="0"/>
    <x v="0"/>
    <s v="français"/>
    <x v="1"/>
    <n v="0.5"/>
    <n v="0"/>
    <n v="0"/>
    <s v="Pas de cash pour machine (Est-ce que le paiement par carte sera proposer un jour ?)"/>
    <x v="1"/>
  </r>
  <r>
    <x v="315"/>
    <x v="6"/>
    <x v="0"/>
    <x v="0"/>
    <s v="français"/>
    <x v="0"/>
    <n v="10.5"/>
    <n v="0"/>
    <n v="0"/>
    <m/>
    <x v="3"/>
  </r>
  <r>
    <x v="315"/>
    <x v="6"/>
    <x v="0"/>
    <x v="0"/>
    <s v="français"/>
    <x v="0"/>
    <n v="10.5"/>
    <n v="0"/>
    <n v="0"/>
    <m/>
    <x v="7"/>
  </r>
  <r>
    <x v="316"/>
    <x v="6"/>
    <x v="0"/>
    <x v="0"/>
    <s v="anglais"/>
    <x v="2"/>
    <n v="3"/>
    <n v="0"/>
    <n v="0"/>
    <m/>
    <x v="8"/>
  </r>
  <r>
    <x v="317"/>
    <x v="6"/>
    <x v="0"/>
    <x v="0"/>
    <s v="français"/>
    <x v="0"/>
    <n v="10.5"/>
    <n v="0"/>
    <n v="0"/>
    <m/>
    <x v="3"/>
  </r>
  <r>
    <x v="317"/>
    <x v="6"/>
    <x v="0"/>
    <x v="0"/>
    <s v="français"/>
    <x v="0"/>
    <n v="10.5"/>
    <n v="0"/>
    <n v="0"/>
    <m/>
    <x v="7"/>
  </r>
  <r>
    <x v="318"/>
    <x v="6"/>
    <x v="0"/>
    <x v="0"/>
    <s v="anglais"/>
    <x v="1"/>
    <n v="0.5"/>
    <n v="0"/>
    <n v="0"/>
    <s v="espace café"/>
    <x v="0"/>
  </r>
  <r>
    <x v="319"/>
    <x v="8"/>
    <x v="0"/>
    <x v="1"/>
    <s v="français"/>
    <x v="3"/>
    <n v="20"/>
    <n v="1"/>
    <n v="0"/>
    <s v="document accessible en ligne, info sur la BAA, info sur son compte SLSP"/>
    <x v="2"/>
  </r>
  <r>
    <x v="319"/>
    <x v="8"/>
    <x v="0"/>
    <x v="1"/>
    <s v="français"/>
    <x v="3"/>
    <n v="20"/>
    <n v="1"/>
    <n v="0"/>
    <s v="document accessible en ligne, info sur la BAA, info sur son compte SLSP"/>
    <x v="3"/>
  </r>
  <r>
    <x v="319"/>
    <x v="8"/>
    <x v="0"/>
    <x v="1"/>
    <s v="français"/>
    <x v="3"/>
    <n v="20"/>
    <n v="1"/>
    <n v="0"/>
    <s v="document accessible en ligne, info sur la BAA, info sur son compte SLSP"/>
    <x v="1"/>
  </r>
  <r>
    <x v="320"/>
    <x v="8"/>
    <x v="0"/>
    <x v="0"/>
    <s v="anglais"/>
    <x v="1"/>
    <n v="0.5"/>
    <n v="0"/>
    <n v="0"/>
    <m/>
    <x v="8"/>
  </r>
  <r>
    <x v="321"/>
    <x v="5"/>
    <x v="1"/>
    <x v="1"/>
    <s v="français"/>
    <x v="2"/>
    <n v="3"/>
    <n v="0"/>
    <n v="0"/>
    <s v="Collègue du secrétariat général qui souhaitait savoir si des périodiques sont disponibles (il avait eu l'info qu'on a eu une inondation au sous-sol...). Il était mécontent de ne pas avoir plus d'informations sur le temps que cela va nous prendre de régler le problème"/>
    <x v="5"/>
  </r>
  <r>
    <x v="322"/>
    <x v="0"/>
    <x v="1"/>
    <x v="0"/>
    <s v="français"/>
    <x v="2"/>
    <n v="3"/>
    <n v="0"/>
    <n v="0"/>
    <s v="Enfant qui a renversé sa tasse de chocolat chaud dans l'espace café"/>
    <x v="1"/>
  </r>
  <r>
    <x v="323"/>
    <x v="7"/>
    <x v="1"/>
    <x v="0"/>
    <s v="français"/>
    <x v="0"/>
    <n v="10.5"/>
    <n v="1"/>
    <n v="1"/>
    <s v="Johan Padan à la découverte des Amériques / Dario Fo  +  ouvrages en français de l'écrivain Dag Johan Haugerud"/>
    <x v="2"/>
  </r>
  <r>
    <x v="323"/>
    <x v="7"/>
    <x v="1"/>
    <x v="0"/>
    <s v="français"/>
    <x v="0"/>
    <n v="10.5"/>
    <n v="1"/>
    <n v="1"/>
    <s v="Johan Padan à la découverte des Amériques / Dario Fo  +  ouvrages en français de l'écrivain Dag Johan Haugerud"/>
    <x v="5"/>
  </r>
  <r>
    <x v="323"/>
    <x v="7"/>
    <x v="1"/>
    <x v="0"/>
    <s v="français"/>
    <x v="0"/>
    <n v="10.5"/>
    <n v="1"/>
    <n v="1"/>
    <s v="Johan Padan à la découverte des Amériques / Dario Fo  +  ouvrages en français de l'écrivain Dag Johan Haugerud"/>
    <x v="7"/>
  </r>
  <r>
    <x v="324"/>
    <x v="7"/>
    <x v="1"/>
    <x v="0"/>
    <s v="français"/>
    <x v="2"/>
    <n v="3"/>
    <n v="0"/>
    <n v="0"/>
    <s v="Demande s'il y a moyen de garder un ouvrage plus longtemps alors qu'il a été demandé par quelqu'un d'autre."/>
    <x v="7"/>
  </r>
  <r>
    <x v="325"/>
    <x v="1"/>
    <x v="1"/>
    <x v="0"/>
    <s v="français"/>
    <x v="2"/>
    <n v="3"/>
    <n v="0"/>
    <n v="0"/>
    <m/>
    <x v="4"/>
  </r>
  <r>
    <x v="326"/>
    <x v="1"/>
    <x v="1"/>
    <x v="0"/>
    <s v="français"/>
    <x v="0"/>
    <n v="10.5"/>
    <n v="1"/>
    <n v="0"/>
    <m/>
    <x v="6"/>
  </r>
  <r>
    <x v="327"/>
    <x v="1"/>
    <x v="1"/>
    <x v="0"/>
    <s v="français"/>
    <x v="2"/>
    <n v="3"/>
    <n v="0"/>
    <n v="0"/>
    <s v="Une usagère a demandé s'il était possible de garder en permanence une bibliothèque comme celle faite pour Zoé en changeant de thème régulièrement (thématique particulière, autre maison d'édition, best-of des bibliothécaires, etc.)"/>
    <x v="1"/>
  </r>
  <r>
    <x v="328"/>
    <x v="2"/>
    <x v="1"/>
    <x v="0"/>
    <s v="français"/>
    <x v="0"/>
    <n v="10.5"/>
    <n v="0"/>
    <n v="0"/>
    <m/>
    <x v="3"/>
  </r>
  <r>
    <x v="329"/>
    <x v="6"/>
    <x v="1"/>
    <x v="0"/>
    <s v="français"/>
    <x v="2"/>
    <n v="3"/>
    <n v="0"/>
    <n v="0"/>
    <m/>
    <x v="4"/>
  </r>
  <r>
    <x v="330"/>
    <x v="6"/>
    <x v="1"/>
    <x v="0"/>
    <s v="français"/>
    <x v="3"/>
    <n v="20"/>
    <n v="0"/>
    <n v="0"/>
    <m/>
    <x v="3"/>
  </r>
  <r>
    <x v="331"/>
    <x v="6"/>
    <x v="1"/>
    <x v="0"/>
    <s v="français"/>
    <x v="0"/>
    <n v="10.5"/>
    <n v="0"/>
    <n v="0"/>
    <m/>
    <x v="3"/>
  </r>
  <r>
    <x v="332"/>
    <x v="6"/>
    <x v="1"/>
    <x v="0"/>
    <s v="français"/>
    <x v="1"/>
    <n v="0.5"/>
    <n v="0"/>
    <n v="0"/>
    <s v="écouteurs"/>
    <x v="1"/>
  </r>
  <r>
    <x v="333"/>
    <x v="8"/>
    <x v="1"/>
    <x v="0"/>
    <s v="français"/>
    <x v="0"/>
    <n v="10.5"/>
    <n v="0"/>
    <n v="0"/>
    <m/>
    <x v="8"/>
  </r>
  <r>
    <x v="334"/>
    <x v="8"/>
    <x v="1"/>
    <x v="0"/>
    <s v="français"/>
    <x v="0"/>
    <n v="10.5"/>
    <n v="0"/>
    <n v="0"/>
    <m/>
    <x v="3"/>
  </r>
  <r>
    <x v="335"/>
    <x v="0"/>
    <x v="2"/>
    <x v="0"/>
    <s v="français"/>
    <x v="1"/>
    <n v="0.5"/>
    <n v="0"/>
    <n v="0"/>
    <s v="prêt"/>
    <x v="0"/>
  </r>
  <r>
    <x v="336"/>
    <x v="7"/>
    <x v="2"/>
    <x v="0"/>
    <s v="français"/>
    <x v="2"/>
    <n v="3"/>
    <n v="0"/>
    <n v="0"/>
    <m/>
    <x v="2"/>
  </r>
  <r>
    <x v="337"/>
    <x v="7"/>
    <x v="2"/>
    <x v="0"/>
    <s v="autre"/>
    <x v="2"/>
    <n v="3"/>
    <n v="1"/>
    <n v="0"/>
    <s v="Livres en espagnol"/>
    <x v="2"/>
  </r>
  <r>
    <x v="338"/>
    <x v="4"/>
    <x v="2"/>
    <x v="0"/>
    <s v="français"/>
    <x v="0"/>
    <n v="10.5"/>
    <n v="0"/>
    <n v="0"/>
    <m/>
    <x v="3"/>
  </r>
  <r>
    <x v="338"/>
    <x v="4"/>
    <x v="2"/>
    <x v="0"/>
    <s v="français"/>
    <x v="0"/>
    <n v="10.5"/>
    <n v="0"/>
    <n v="0"/>
    <m/>
    <x v="7"/>
  </r>
  <r>
    <x v="339"/>
    <x v="2"/>
    <x v="2"/>
    <x v="0"/>
    <s v="français"/>
    <x v="2"/>
    <n v="3"/>
    <n v="0"/>
    <n v="0"/>
    <s v="Réoritenté vers les BM plus adaptées à son profil de lecteur"/>
    <x v="3"/>
  </r>
  <r>
    <x v="340"/>
    <x v="8"/>
    <x v="2"/>
    <x v="0"/>
    <s v="français"/>
    <x v="2"/>
    <n v="3"/>
    <n v="1"/>
    <n v="0"/>
    <m/>
    <x v="2"/>
  </r>
  <r>
    <x v="340"/>
    <x v="8"/>
    <x v="2"/>
    <x v="0"/>
    <s v="français"/>
    <x v="2"/>
    <n v="3"/>
    <n v="1"/>
    <n v="0"/>
    <m/>
    <x v="3"/>
  </r>
  <r>
    <x v="341"/>
    <x v="8"/>
    <x v="2"/>
    <x v="0"/>
    <s v="français"/>
    <x v="3"/>
    <n v="20"/>
    <n v="0"/>
    <n v="0"/>
    <m/>
    <x v="3"/>
  </r>
  <r>
    <x v="341"/>
    <x v="8"/>
    <x v="2"/>
    <x v="0"/>
    <s v="français"/>
    <x v="3"/>
    <n v="20"/>
    <n v="0"/>
    <n v="0"/>
    <m/>
    <x v="7"/>
  </r>
  <r>
    <x v="342"/>
    <x v="8"/>
    <x v="2"/>
    <x v="0"/>
    <s v="anglais"/>
    <x v="2"/>
    <n v="3"/>
    <n v="0"/>
    <n v="0"/>
    <m/>
    <x v="1"/>
  </r>
  <r>
    <x v="343"/>
    <x v="5"/>
    <x v="3"/>
    <x v="0"/>
    <s v="français"/>
    <x v="0"/>
    <n v="10.5"/>
    <n v="0"/>
    <n v="0"/>
    <m/>
    <x v="4"/>
  </r>
  <r>
    <x v="344"/>
    <x v="0"/>
    <x v="3"/>
    <x v="0"/>
    <s v="français"/>
    <x v="0"/>
    <n v="10.5"/>
    <n v="0"/>
    <n v="0"/>
    <m/>
    <x v="4"/>
  </r>
  <r>
    <x v="345"/>
    <x v="0"/>
    <x v="3"/>
    <x v="0"/>
    <s v="français"/>
    <x v="2"/>
    <n v="3"/>
    <n v="0"/>
    <n v="0"/>
    <m/>
    <x v="8"/>
  </r>
  <r>
    <x v="346"/>
    <x v="7"/>
    <x v="3"/>
    <x v="0"/>
    <s v="français"/>
    <x v="1"/>
    <n v="0.5"/>
    <n v="0"/>
    <n v="0"/>
    <m/>
    <x v="8"/>
  </r>
  <r>
    <x v="347"/>
    <x v="3"/>
    <x v="3"/>
    <x v="0"/>
    <s v="français"/>
    <x v="3"/>
    <n v="20"/>
    <n v="0"/>
    <n v="0"/>
    <m/>
    <x v="3"/>
  </r>
  <r>
    <x v="348"/>
    <x v="1"/>
    <x v="3"/>
    <x v="0"/>
    <s v="français"/>
    <x v="1"/>
    <n v="0.5"/>
    <n v="0"/>
    <n v="0"/>
    <m/>
    <x v="0"/>
  </r>
  <r>
    <x v="349"/>
    <x v="1"/>
    <x v="3"/>
    <x v="1"/>
    <s v="français"/>
    <x v="0"/>
    <n v="10.5"/>
    <n v="0"/>
    <n v="0"/>
    <s v="Photo d'Ella Maillart dans l'Illustré"/>
    <x v="6"/>
  </r>
  <r>
    <x v="349"/>
    <x v="1"/>
    <x v="3"/>
    <x v="1"/>
    <s v="français"/>
    <x v="0"/>
    <n v="10.5"/>
    <n v="0"/>
    <n v="0"/>
    <s v="Photo d'Ella Maillart dans l'Illustré"/>
    <x v="1"/>
  </r>
  <r>
    <x v="350"/>
    <x v="2"/>
    <x v="3"/>
    <x v="0"/>
    <s v="français"/>
    <x v="2"/>
    <n v="3"/>
    <n v="1"/>
    <n v="0"/>
    <m/>
    <x v="2"/>
  </r>
  <r>
    <x v="350"/>
    <x v="2"/>
    <x v="3"/>
    <x v="0"/>
    <s v="français"/>
    <x v="2"/>
    <n v="3"/>
    <n v="1"/>
    <n v="0"/>
    <m/>
    <x v="0"/>
  </r>
  <r>
    <x v="351"/>
    <x v="2"/>
    <x v="3"/>
    <x v="0"/>
    <s v="anglais"/>
    <x v="3"/>
    <n v="20"/>
    <n v="0"/>
    <n v="0"/>
    <m/>
    <x v="3"/>
  </r>
  <r>
    <x v="352"/>
    <x v="2"/>
    <x v="3"/>
    <x v="0"/>
    <s v="français"/>
    <x v="2"/>
    <n v="3"/>
    <n v="1"/>
    <n v="1"/>
    <m/>
    <x v="2"/>
  </r>
  <r>
    <x v="353"/>
    <x v="2"/>
    <x v="3"/>
    <x v="0"/>
    <s v="français"/>
    <x v="2"/>
    <n v="3"/>
    <n v="0"/>
    <n v="0"/>
    <s v="objet perdu"/>
    <x v="1"/>
  </r>
  <r>
    <x v="354"/>
    <x v="2"/>
    <x v="3"/>
    <x v="0"/>
    <s v="français"/>
    <x v="1"/>
    <n v="0.5"/>
    <n v="0"/>
    <n v="0"/>
    <s v="machine café"/>
    <x v="1"/>
  </r>
  <r>
    <x v="355"/>
    <x v="2"/>
    <x v="3"/>
    <x v="0"/>
    <s v="français"/>
    <x v="0"/>
    <n v="10.5"/>
    <n v="0"/>
    <n v="0"/>
    <m/>
    <x v="3"/>
  </r>
  <r>
    <x v="356"/>
    <x v="6"/>
    <x v="3"/>
    <x v="0"/>
    <s v="français"/>
    <x v="2"/>
    <n v="3"/>
    <n v="0"/>
    <n v="0"/>
    <m/>
    <x v="4"/>
  </r>
  <r>
    <x v="357"/>
    <x v="6"/>
    <x v="3"/>
    <x v="0"/>
    <s v="français"/>
    <x v="2"/>
    <n v="3"/>
    <n v="1"/>
    <n v="1"/>
    <m/>
    <x v="2"/>
  </r>
  <r>
    <x v="358"/>
    <x v="8"/>
    <x v="3"/>
    <x v="0"/>
    <s v="français"/>
    <x v="2"/>
    <n v="3"/>
    <n v="0"/>
    <n v="0"/>
    <s v="problème de livre non rendu"/>
    <x v="0"/>
  </r>
  <r>
    <x v="359"/>
    <x v="8"/>
    <x v="3"/>
    <x v="0"/>
    <s v="français"/>
    <x v="1"/>
    <n v="0.5"/>
    <n v="0"/>
    <n v="0"/>
    <s v="service du pret"/>
    <x v="0"/>
  </r>
  <r>
    <x v="360"/>
    <x v="8"/>
    <x v="3"/>
    <x v="0"/>
    <s v="français"/>
    <x v="0"/>
    <n v="10.5"/>
    <n v="0"/>
    <n v="0"/>
    <m/>
    <x v="1"/>
  </r>
  <r>
    <x v="361"/>
    <x v="0"/>
    <x v="4"/>
    <x v="0"/>
    <s v="français"/>
    <x v="0"/>
    <n v="10.5"/>
    <n v="0"/>
    <n v="0"/>
    <s v="La Musicale"/>
    <x v="7"/>
  </r>
  <r>
    <x v="361"/>
    <x v="0"/>
    <x v="4"/>
    <x v="0"/>
    <s v="français"/>
    <x v="0"/>
    <n v="10.5"/>
    <n v="0"/>
    <n v="0"/>
    <s v="La Musicale"/>
    <x v="0"/>
  </r>
  <r>
    <x v="362"/>
    <x v="7"/>
    <x v="4"/>
    <x v="0"/>
    <s v="français"/>
    <x v="1"/>
    <n v="0.5"/>
    <n v="0"/>
    <n v="0"/>
    <s v="fermeture salles, horaires"/>
    <x v="7"/>
  </r>
  <r>
    <x v="363"/>
    <x v="0"/>
    <x v="5"/>
    <x v="0"/>
    <s v="français"/>
    <x v="2"/>
    <n v="3"/>
    <n v="0"/>
    <n v="0"/>
    <m/>
    <x v="8"/>
  </r>
  <r>
    <x v="364"/>
    <x v="7"/>
    <x v="5"/>
    <x v="0"/>
    <s v="français"/>
    <x v="0"/>
    <n v="10.5"/>
    <n v="1"/>
    <n v="0"/>
    <m/>
    <x v="2"/>
  </r>
  <r>
    <x v="365"/>
    <x v="7"/>
    <x v="5"/>
    <x v="1"/>
    <s v="français"/>
    <x v="0"/>
    <n v="10.5"/>
    <n v="1"/>
    <n v="0"/>
    <s v="Accès ressources en ligne"/>
    <x v="1"/>
  </r>
  <r>
    <x v="366"/>
    <x v="3"/>
    <x v="5"/>
    <x v="0"/>
    <s v="français"/>
    <x v="0"/>
    <n v="10.5"/>
    <n v="0"/>
    <n v="0"/>
    <m/>
    <x v="3"/>
  </r>
  <r>
    <x v="366"/>
    <x v="3"/>
    <x v="5"/>
    <x v="0"/>
    <s v="français"/>
    <x v="0"/>
    <n v="10.5"/>
    <n v="0"/>
    <n v="0"/>
    <m/>
    <x v="7"/>
  </r>
  <r>
    <x v="367"/>
    <x v="3"/>
    <x v="5"/>
    <x v="0"/>
    <s v="français"/>
    <x v="1"/>
    <n v="0.5"/>
    <n v="0"/>
    <n v="0"/>
    <m/>
    <x v="0"/>
  </r>
  <r>
    <x v="368"/>
    <x v="3"/>
    <x v="5"/>
    <x v="0"/>
    <s v="français"/>
    <x v="1"/>
    <n v="0.5"/>
    <n v="0"/>
    <n v="0"/>
    <m/>
    <x v="8"/>
  </r>
  <r>
    <x v="369"/>
    <x v="3"/>
    <x v="5"/>
    <x v="0"/>
    <s v="français"/>
    <x v="1"/>
    <n v="0.5"/>
    <n v="0"/>
    <n v="0"/>
    <m/>
    <x v="0"/>
  </r>
  <r>
    <x v="370"/>
    <x v="3"/>
    <x v="5"/>
    <x v="0"/>
    <s v="français"/>
    <x v="1"/>
    <n v="0.5"/>
    <n v="0"/>
    <n v="0"/>
    <m/>
    <x v="8"/>
  </r>
  <r>
    <x v="371"/>
    <x v="3"/>
    <x v="5"/>
    <x v="0"/>
    <s v="français"/>
    <x v="0"/>
    <n v="10.5"/>
    <n v="0"/>
    <n v="0"/>
    <s v="Voyage en ascenseur"/>
    <x v="1"/>
  </r>
  <r>
    <x v="372"/>
    <x v="3"/>
    <x v="5"/>
    <x v="0"/>
    <s v="français"/>
    <x v="1"/>
    <n v="0.5"/>
    <n v="0"/>
    <n v="0"/>
    <m/>
    <x v="8"/>
  </r>
  <r>
    <x v="373"/>
    <x v="3"/>
    <x v="5"/>
    <x v="0"/>
    <s v="français"/>
    <x v="0"/>
    <n v="10.5"/>
    <n v="0"/>
    <n v="0"/>
    <m/>
    <x v="3"/>
  </r>
  <r>
    <x v="374"/>
    <x v="4"/>
    <x v="5"/>
    <x v="0"/>
    <s v="français"/>
    <x v="2"/>
    <n v="3"/>
    <n v="1"/>
    <n v="0"/>
    <m/>
    <x v="2"/>
  </r>
  <r>
    <x v="374"/>
    <x v="4"/>
    <x v="5"/>
    <x v="0"/>
    <s v="français"/>
    <x v="2"/>
    <n v="3"/>
    <n v="1"/>
    <n v="0"/>
    <m/>
    <x v="0"/>
  </r>
  <r>
    <x v="375"/>
    <x v="4"/>
    <x v="5"/>
    <x v="0"/>
    <s v="français"/>
    <x v="2"/>
    <n v="3"/>
    <n v="0"/>
    <n v="0"/>
    <m/>
    <x v="4"/>
  </r>
  <r>
    <x v="376"/>
    <x v="1"/>
    <x v="5"/>
    <x v="1"/>
    <s v="français"/>
    <x v="0"/>
    <n v="10.5"/>
    <n v="0"/>
    <n v="0"/>
    <s v="Photo Anne Marie Schwarzenbach / Ella Maillart"/>
    <x v="1"/>
  </r>
  <r>
    <x v="377"/>
    <x v="1"/>
    <x v="5"/>
    <x v="0"/>
    <s v="français"/>
    <x v="1"/>
    <n v="0.5"/>
    <n v="0"/>
    <n v="0"/>
    <s v="Expo Zoé"/>
    <x v="0"/>
  </r>
  <r>
    <x v="378"/>
    <x v="2"/>
    <x v="5"/>
    <x v="0"/>
    <s v="français"/>
    <x v="1"/>
    <n v="0.5"/>
    <n v="0"/>
    <n v="0"/>
    <s v="Salle Saussure"/>
    <x v="0"/>
  </r>
  <r>
    <x v="379"/>
    <x v="2"/>
    <x v="5"/>
    <x v="0"/>
    <s v="français"/>
    <x v="2"/>
    <n v="3"/>
    <n v="0"/>
    <n v="0"/>
    <m/>
    <x v="4"/>
  </r>
  <r>
    <x v="380"/>
    <x v="2"/>
    <x v="5"/>
    <x v="0"/>
    <s v="français"/>
    <x v="2"/>
    <n v="3"/>
    <n v="0"/>
    <n v="0"/>
    <s v="Druzes ou Kamal Joumblatt"/>
    <x v="6"/>
  </r>
  <r>
    <x v="381"/>
    <x v="2"/>
    <x v="5"/>
    <x v="0"/>
    <s v="français"/>
    <x v="1"/>
    <n v="0.5"/>
    <n v="1"/>
    <n v="0"/>
    <m/>
    <x v="2"/>
  </r>
  <r>
    <x v="382"/>
    <x v="2"/>
    <x v="5"/>
    <x v="0"/>
    <s v="français"/>
    <x v="2"/>
    <n v="3"/>
    <n v="0"/>
    <n v="0"/>
    <s v="Comment imprimer"/>
    <x v="8"/>
  </r>
  <r>
    <x v="383"/>
    <x v="2"/>
    <x v="5"/>
    <x v="0"/>
    <s v="français"/>
    <x v="2"/>
    <n v="3"/>
    <n v="0"/>
    <n v="0"/>
    <s v="Figaro du 14 août"/>
    <x v="6"/>
  </r>
  <r>
    <x v="384"/>
    <x v="8"/>
    <x v="5"/>
    <x v="0"/>
    <s v="français"/>
    <x v="2"/>
    <n v="3"/>
    <n v="0"/>
    <n v="0"/>
    <m/>
    <x v="7"/>
  </r>
  <r>
    <x v="385"/>
    <x v="8"/>
    <x v="5"/>
    <x v="0"/>
    <s v="français"/>
    <x v="2"/>
    <n v="3"/>
    <n v="0"/>
    <n v="0"/>
    <m/>
    <x v="4"/>
  </r>
  <r>
    <x v="386"/>
    <x v="8"/>
    <x v="5"/>
    <x v="0"/>
    <s v="français"/>
    <x v="2"/>
    <n v="3"/>
    <n v="0"/>
    <n v="0"/>
    <m/>
    <x v="4"/>
  </r>
  <r>
    <x v="387"/>
    <x v="8"/>
    <x v="5"/>
    <x v="0"/>
    <s v="français"/>
    <x v="1"/>
    <n v="0.5"/>
    <n v="0"/>
    <n v="0"/>
    <s v="Heures de fermeture de la salle de lecture"/>
    <x v="7"/>
  </r>
  <r>
    <x v="388"/>
    <x v="4"/>
    <x v="0"/>
    <x v="0"/>
    <s v="anglais"/>
    <x v="1"/>
    <n v="0.5"/>
    <n v="0"/>
    <n v="0"/>
    <s v="Imprimantes"/>
    <x v="8"/>
  </r>
  <r>
    <x v="389"/>
    <x v="4"/>
    <x v="0"/>
    <x v="0"/>
    <s v="anglais"/>
    <x v="1"/>
    <n v="0.5"/>
    <n v="0"/>
    <n v="0"/>
    <s v="Impression"/>
    <x v="8"/>
  </r>
  <r>
    <x v="390"/>
    <x v="4"/>
    <x v="0"/>
    <x v="0"/>
    <s v="anglais"/>
    <x v="1"/>
    <n v="0.5"/>
    <n v="0"/>
    <n v="0"/>
    <s v="Perte d'un manteau -&gt; Loge"/>
    <x v="1"/>
  </r>
  <r>
    <x v="391"/>
    <x v="1"/>
    <x v="0"/>
    <x v="0"/>
    <s v="français"/>
    <x v="1"/>
    <n v="0.5"/>
    <n v="0"/>
    <n v="0"/>
    <m/>
    <x v="0"/>
  </r>
  <r>
    <x v="392"/>
    <x v="3"/>
    <x v="1"/>
    <x v="1"/>
    <s v="français"/>
    <x v="0"/>
    <n v="10.5"/>
    <n v="1"/>
    <n v="0"/>
    <m/>
    <x v="2"/>
  </r>
  <r>
    <x v="393"/>
    <x v="3"/>
    <x v="1"/>
    <x v="0"/>
    <s v="français"/>
    <x v="0"/>
    <n v="10.5"/>
    <n v="0"/>
    <n v="0"/>
    <m/>
    <x v="7"/>
  </r>
  <r>
    <x v="394"/>
    <x v="4"/>
    <x v="1"/>
    <x v="0"/>
    <s v="anglais"/>
    <x v="2"/>
    <n v="3"/>
    <n v="0"/>
    <n v="0"/>
    <m/>
    <x v="4"/>
  </r>
  <r>
    <x v="395"/>
    <x v="1"/>
    <x v="1"/>
    <x v="1"/>
    <s v="français"/>
    <x v="0"/>
    <n v="10.5"/>
    <n v="0"/>
    <n v="0"/>
    <s v="Un lecteur souhaiterait faire numériser un dictionnaire d'arménien au profit de la bibliothèque."/>
    <x v="1"/>
  </r>
  <r>
    <x v="396"/>
    <x v="8"/>
    <x v="1"/>
    <x v="0"/>
    <s v="français"/>
    <x v="2"/>
    <n v="3"/>
    <n v="0"/>
    <n v="0"/>
    <m/>
    <x v="3"/>
  </r>
  <r>
    <x v="397"/>
    <x v="8"/>
    <x v="1"/>
    <x v="0"/>
    <s v="français"/>
    <x v="1"/>
    <n v="0.5"/>
    <n v="0"/>
    <n v="0"/>
    <m/>
    <x v="7"/>
  </r>
  <r>
    <x v="398"/>
    <x v="8"/>
    <x v="1"/>
    <x v="0"/>
    <s v="français"/>
    <x v="2"/>
    <n v="3"/>
    <n v="1"/>
    <n v="0"/>
    <m/>
    <x v="2"/>
  </r>
  <r>
    <x v="399"/>
    <x v="5"/>
    <x v="2"/>
    <x v="0"/>
    <s v="français"/>
    <x v="1"/>
    <n v="0.5"/>
    <n v="0"/>
    <n v="0"/>
    <m/>
    <x v="4"/>
  </r>
  <r>
    <x v="400"/>
    <x v="0"/>
    <x v="2"/>
    <x v="0"/>
    <s v="français"/>
    <x v="0"/>
    <n v="10.5"/>
    <n v="0"/>
    <n v="0"/>
    <m/>
    <x v="8"/>
  </r>
  <r>
    <x v="401"/>
    <x v="3"/>
    <x v="2"/>
    <x v="0"/>
    <s v="français"/>
    <x v="0"/>
    <n v="10.5"/>
    <n v="0"/>
    <n v="0"/>
    <m/>
    <x v="3"/>
  </r>
  <r>
    <x v="401"/>
    <x v="3"/>
    <x v="2"/>
    <x v="0"/>
    <s v="français"/>
    <x v="0"/>
    <n v="10.5"/>
    <n v="0"/>
    <n v="0"/>
    <m/>
    <x v="7"/>
  </r>
  <r>
    <x v="402"/>
    <x v="1"/>
    <x v="2"/>
    <x v="0"/>
    <s v="français"/>
    <x v="2"/>
    <n v="3"/>
    <n v="1"/>
    <n v="0"/>
    <m/>
    <x v="3"/>
  </r>
  <r>
    <x v="403"/>
    <x v="1"/>
    <x v="2"/>
    <x v="1"/>
    <s v="français"/>
    <x v="0"/>
    <n v="10.5"/>
    <n v="0"/>
    <n v="0"/>
    <s v="Recherche des avis de décès"/>
    <x v="0"/>
  </r>
  <r>
    <x v="404"/>
    <x v="1"/>
    <x v="2"/>
    <x v="0"/>
    <s v="français"/>
    <x v="2"/>
    <n v="3"/>
    <n v="0"/>
    <n v="0"/>
    <m/>
    <x v="4"/>
  </r>
  <r>
    <x v="405"/>
    <x v="2"/>
    <x v="2"/>
    <x v="0"/>
    <s v="français"/>
    <x v="2"/>
    <n v="3"/>
    <n v="1"/>
    <n v="0"/>
    <m/>
    <x v="2"/>
  </r>
  <r>
    <x v="406"/>
    <x v="5"/>
    <x v="3"/>
    <x v="0"/>
    <s v="français"/>
    <x v="1"/>
    <n v="0.5"/>
    <n v="0"/>
    <n v="0"/>
    <m/>
    <x v="0"/>
  </r>
  <r>
    <x v="407"/>
    <x v="3"/>
    <x v="3"/>
    <x v="0"/>
    <s v="français"/>
    <x v="3"/>
    <n v="20"/>
    <n v="0"/>
    <n v="0"/>
    <m/>
    <x v="3"/>
  </r>
  <r>
    <x v="407"/>
    <x v="3"/>
    <x v="3"/>
    <x v="0"/>
    <s v="français"/>
    <x v="3"/>
    <n v="20"/>
    <n v="0"/>
    <n v="0"/>
    <m/>
    <x v="7"/>
  </r>
  <r>
    <x v="408"/>
    <x v="3"/>
    <x v="3"/>
    <x v="0"/>
    <s v="français"/>
    <x v="2"/>
    <n v="3"/>
    <n v="0"/>
    <n v="0"/>
    <m/>
    <x v="8"/>
  </r>
  <r>
    <x v="409"/>
    <x v="4"/>
    <x v="3"/>
    <x v="1"/>
    <s v="français"/>
    <x v="2"/>
    <n v="3"/>
    <n v="0"/>
    <n v="0"/>
    <s v="Pensait joindre la BM Cité"/>
    <x v="1"/>
  </r>
  <r>
    <x v="410"/>
    <x v="4"/>
    <x v="3"/>
    <x v="0"/>
    <s v="français"/>
    <x v="1"/>
    <n v="0.5"/>
    <n v="0"/>
    <n v="0"/>
    <s v="wc"/>
    <x v="0"/>
  </r>
  <r>
    <x v="411"/>
    <x v="1"/>
    <x v="3"/>
    <x v="0"/>
    <s v="français"/>
    <x v="1"/>
    <n v="0.5"/>
    <n v="0"/>
    <n v="0"/>
    <s v="prêt"/>
    <x v="0"/>
  </r>
  <r>
    <x v="412"/>
    <x v="1"/>
    <x v="3"/>
    <x v="0"/>
    <s v="français"/>
    <x v="0"/>
    <n v="10.5"/>
    <n v="1"/>
    <n v="0"/>
    <s v="recherche (sans succès) sur la poetesse indienne Lakshmî"/>
    <x v="2"/>
  </r>
  <r>
    <x v="413"/>
    <x v="1"/>
    <x v="3"/>
    <x v="0"/>
    <s v="français"/>
    <x v="1"/>
    <n v="0.5"/>
    <n v="0"/>
    <n v="0"/>
    <s v="Salle de lecture"/>
    <x v="0"/>
  </r>
  <r>
    <x v="414"/>
    <x v="2"/>
    <x v="3"/>
    <x v="0"/>
    <s v="français"/>
    <x v="1"/>
    <n v="0.5"/>
    <n v="0"/>
    <n v="0"/>
    <s v="casque audio"/>
    <x v="7"/>
  </r>
  <r>
    <x v="415"/>
    <x v="2"/>
    <x v="3"/>
    <x v="0"/>
    <s v="français"/>
    <x v="2"/>
    <n v="3"/>
    <n v="0"/>
    <n v="0"/>
    <s v="ne se souvient plus de ses identifiants MondoPC"/>
    <x v="7"/>
  </r>
  <r>
    <x v="416"/>
    <x v="2"/>
    <x v="3"/>
    <x v="0"/>
    <s v="français"/>
    <x v="1"/>
    <n v="0.5"/>
    <n v="0"/>
    <n v="0"/>
    <s v="Question à propos de Zotero. Je sollicite Agnes M."/>
    <x v="0"/>
  </r>
  <r>
    <x v="417"/>
    <x v="2"/>
    <x v="3"/>
    <x v="0"/>
    <s v="français"/>
    <x v="0"/>
    <n v="10.5"/>
    <n v="0"/>
    <n v="0"/>
    <s v="J'ai écouté longuement un usager (probablement un peu dérangé...) qui souhaite que je fasse remonterquoi... je n'ai rien compris, mais ça a l'air très compliqué !"/>
    <x v="1"/>
  </r>
  <r>
    <x v="418"/>
    <x v="7"/>
    <x v="4"/>
    <x v="0"/>
    <s v="anglais"/>
    <x v="3"/>
    <n v="20"/>
    <n v="0"/>
    <n v="1"/>
    <m/>
    <x v="4"/>
  </r>
  <r>
    <x v="419"/>
    <x v="5"/>
    <x v="5"/>
    <x v="0"/>
    <s v="français"/>
    <x v="2"/>
    <n v="3"/>
    <n v="0"/>
    <n v="0"/>
    <m/>
    <x v="4"/>
  </r>
  <r>
    <x v="420"/>
    <x v="0"/>
    <x v="5"/>
    <x v="0"/>
    <s v="français"/>
    <x v="3"/>
    <n v="20"/>
    <n v="1"/>
    <n v="0"/>
    <s v="Recherche d'un ouvrage d'un certain Camille Thion, introuvable, car mal orthographié par le lecteur. Thion -&gt; Tihon"/>
    <x v="2"/>
  </r>
  <r>
    <x v="421"/>
    <x v="3"/>
    <x v="5"/>
    <x v="0"/>
    <s v="français"/>
    <x v="0"/>
    <n v="10.5"/>
    <n v="0"/>
    <n v="0"/>
    <m/>
    <x v="3"/>
  </r>
  <r>
    <x v="422"/>
    <x v="3"/>
    <x v="5"/>
    <x v="1"/>
    <s v="français"/>
    <x v="0"/>
    <n v="10.5"/>
    <n v="1"/>
    <n v="1"/>
    <m/>
    <x v="2"/>
  </r>
  <r>
    <x v="423"/>
    <x v="4"/>
    <x v="5"/>
    <x v="0"/>
    <s v="français"/>
    <x v="1"/>
    <n v="0.5"/>
    <n v="0"/>
    <n v="0"/>
    <s v="Monnaie café"/>
    <x v="1"/>
  </r>
  <r>
    <x v="424"/>
    <x v="4"/>
    <x v="5"/>
    <x v="0"/>
    <s v="français"/>
    <x v="1"/>
    <n v="0.5"/>
    <n v="0"/>
    <n v="0"/>
    <s v="Réservation de salle"/>
    <x v="1"/>
  </r>
  <r>
    <x v="425"/>
    <x v="1"/>
    <x v="5"/>
    <x v="0"/>
    <s v="français"/>
    <x v="2"/>
    <n v="3"/>
    <n v="0"/>
    <n v="0"/>
    <s v="Plus de papier dans  l'imprimante"/>
    <x v="8"/>
  </r>
  <r>
    <x v="426"/>
    <x v="2"/>
    <x v="5"/>
    <x v="0"/>
    <s v="français"/>
    <x v="0"/>
    <n v="10.5"/>
    <n v="0"/>
    <n v="0"/>
    <m/>
    <x v="3"/>
  </r>
  <r>
    <x v="427"/>
    <x v="2"/>
    <x v="5"/>
    <x v="0"/>
    <s v="anglais"/>
    <x v="0"/>
    <n v="10.5"/>
    <n v="0"/>
    <n v="0"/>
    <s v="Titres en ukrainien"/>
    <x v="6"/>
  </r>
  <r>
    <x v="428"/>
    <x v="2"/>
    <x v="5"/>
    <x v="0"/>
    <s v="français"/>
    <x v="2"/>
    <n v="3"/>
    <n v="0"/>
    <n v="0"/>
    <s v="Poétesses françaises"/>
    <x v="6"/>
  </r>
  <r>
    <x v="429"/>
    <x v="2"/>
    <x v="5"/>
    <x v="0"/>
    <s v="français"/>
    <x v="2"/>
    <n v="3"/>
    <n v="0"/>
    <n v="0"/>
    <s v="Wifi"/>
    <x v="8"/>
  </r>
  <r>
    <x v="430"/>
    <x v="2"/>
    <x v="5"/>
    <x v="0"/>
    <s v="français"/>
    <x v="1"/>
    <n v="0.5"/>
    <n v="0"/>
    <n v="0"/>
    <s v="Modalités impressions"/>
    <x v="8"/>
  </r>
  <r>
    <x v="431"/>
    <x v="2"/>
    <x v="5"/>
    <x v="0"/>
    <s v="français"/>
    <x v="2"/>
    <n v="3"/>
    <n v="0"/>
    <n v="0"/>
    <m/>
    <x v="4"/>
  </r>
  <r>
    <x v="432"/>
    <x v="2"/>
    <x v="5"/>
    <x v="0"/>
    <s v="anglais"/>
    <x v="2"/>
    <n v="3"/>
    <n v="0"/>
    <n v="0"/>
    <m/>
    <x v="4"/>
  </r>
  <r>
    <x v="433"/>
    <x v="2"/>
    <x v="5"/>
    <x v="0"/>
    <s v="français"/>
    <x v="1"/>
    <n v="0.5"/>
    <n v="0"/>
    <n v="0"/>
    <s v="Adaptateur"/>
    <x v="8"/>
  </r>
  <r>
    <x v="434"/>
    <x v="6"/>
    <x v="5"/>
    <x v="0"/>
    <s v="français"/>
    <x v="1"/>
    <n v="0.5"/>
    <n v="0"/>
    <n v="0"/>
    <m/>
    <x v="8"/>
  </r>
  <r>
    <x v="435"/>
    <x v="6"/>
    <x v="5"/>
    <x v="0"/>
    <s v="français"/>
    <x v="2"/>
    <n v="3"/>
    <n v="0"/>
    <n v="0"/>
    <m/>
    <x v="7"/>
  </r>
  <r>
    <x v="436"/>
    <x v="8"/>
    <x v="5"/>
    <x v="0"/>
    <s v="français"/>
    <x v="0"/>
    <n v="10.5"/>
    <n v="1"/>
    <n v="0"/>
    <s v="orientation vers Fac. de théologie"/>
    <x v="2"/>
  </r>
  <r>
    <x v="436"/>
    <x v="8"/>
    <x v="5"/>
    <x v="0"/>
    <s v="français"/>
    <x v="0"/>
    <n v="10.5"/>
    <n v="1"/>
    <n v="0"/>
    <s v="orientation vers Fac. de théologie"/>
    <x v="1"/>
  </r>
  <r>
    <x v="437"/>
    <x v="8"/>
    <x v="5"/>
    <x v="0"/>
    <s v="français"/>
    <x v="1"/>
    <n v="0.5"/>
    <n v="0"/>
    <n v="0"/>
    <m/>
    <x v="8"/>
  </r>
  <r>
    <x v="438"/>
    <x v="8"/>
    <x v="5"/>
    <x v="0"/>
    <s v="français"/>
    <x v="1"/>
    <n v="0.5"/>
    <n v="0"/>
    <n v="0"/>
    <m/>
    <x v="7"/>
  </r>
  <r>
    <x v="439"/>
    <x v="0"/>
    <x v="0"/>
    <x v="0"/>
    <s v="français"/>
    <x v="0"/>
    <n v="10.5"/>
    <n v="0"/>
    <n v="0"/>
    <m/>
    <x v="3"/>
  </r>
  <r>
    <x v="440"/>
    <x v="0"/>
    <x v="0"/>
    <x v="0"/>
    <s v="français"/>
    <x v="0"/>
    <n v="10.5"/>
    <n v="0"/>
    <n v="0"/>
    <m/>
    <x v="3"/>
  </r>
  <r>
    <x v="441"/>
    <x v="0"/>
    <x v="0"/>
    <x v="0"/>
    <s v="français"/>
    <x v="0"/>
    <n v="10.5"/>
    <n v="0"/>
    <n v="1"/>
    <s v="Demande de deux pdf d'articles via JSTOR"/>
    <x v="2"/>
  </r>
  <r>
    <x v="442"/>
    <x v="0"/>
    <x v="0"/>
    <x v="0"/>
    <s v="français"/>
    <x v="2"/>
    <n v="3"/>
    <n v="0"/>
    <n v="0"/>
    <s v="Réglage de la luminosité d'un écran PC public"/>
    <x v="8"/>
  </r>
  <r>
    <x v="443"/>
    <x v="4"/>
    <x v="0"/>
    <x v="0"/>
    <s v="français"/>
    <x v="2"/>
    <n v="3"/>
    <n v="0"/>
    <n v="0"/>
    <s v="Photo à usage interne avec le mobilier de la Bibliothèque (si pas commerciale et ne montrant pas les installations -&gt; pas de soucis  autrement signature d'une décharge)"/>
    <x v="1"/>
  </r>
  <r>
    <x v="444"/>
    <x v="1"/>
    <x v="0"/>
    <x v="0"/>
    <s v="français"/>
    <x v="2"/>
    <n v="3"/>
    <n v="1"/>
    <n v="0"/>
    <s v="Périodiques"/>
    <x v="2"/>
  </r>
  <r>
    <x v="445"/>
    <x v="5"/>
    <x v="1"/>
    <x v="0"/>
    <s v="français"/>
    <x v="2"/>
    <n v="3"/>
    <n v="1"/>
    <n v="0"/>
    <m/>
    <x v="2"/>
  </r>
  <r>
    <x v="446"/>
    <x v="0"/>
    <x v="1"/>
    <x v="0"/>
    <s v="français"/>
    <x v="0"/>
    <n v="10.5"/>
    <n v="0"/>
    <n v="0"/>
    <s v="Problème de connexion dû à un problème de mot de passe, résolu"/>
    <x v="3"/>
  </r>
  <r>
    <x v="447"/>
    <x v="7"/>
    <x v="1"/>
    <x v="0"/>
    <s v="français"/>
    <x v="2"/>
    <n v="3"/>
    <n v="0"/>
    <n v="0"/>
    <m/>
    <x v="2"/>
  </r>
  <r>
    <x v="448"/>
    <x v="3"/>
    <x v="1"/>
    <x v="0"/>
    <s v="français"/>
    <x v="2"/>
    <n v="3"/>
    <n v="0"/>
    <n v="0"/>
    <m/>
    <x v="8"/>
  </r>
  <r>
    <x v="449"/>
    <x v="3"/>
    <x v="1"/>
    <x v="0"/>
    <s v="français"/>
    <x v="1"/>
    <n v="0.5"/>
    <n v="0"/>
    <n v="0"/>
    <m/>
    <x v="6"/>
  </r>
  <r>
    <x v="450"/>
    <x v="3"/>
    <x v="1"/>
    <x v="0"/>
    <s v="français"/>
    <x v="1"/>
    <n v="0.5"/>
    <n v="0"/>
    <n v="0"/>
    <m/>
    <x v="0"/>
  </r>
  <r>
    <x v="451"/>
    <x v="3"/>
    <x v="1"/>
    <x v="0"/>
    <s v="français"/>
    <x v="1"/>
    <n v="0.5"/>
    <n v="0"/>
    <n v="0"/>
    <m/>
    <x v="0"/>
  </r>
  <r>
    <x v="452"/>
    <x v="8"/>
    <x v="1"/>
    <x v="0"/>
    <s v="français"/>
    <x v="2"/>
    <n v="3"/>
    <n v="0"/>
    <n v="0"/>
    <m/>
    <x v="7"/>
  </r>
  <r>
    <x v="453"/>
    <x v="8"/>
    <x v="1"/>
    <x v="0"/>
    <s v="français"/>
    <x v="2"/>
    <n v="3"/>
    <n v="0"/>
    <n v="0"/>
    <m/>
    <x v="2"/>
  </r>
  <r>
    <x v="454"/>
    <x v="8"/>
    <x v="1"/>
    <x v="0"/>
    <s v="français"/>
    <x v="1"/>
    <n v="0.5"/>
    <n v="0"/>
    <n v="0"/>
    <m/>
    <x v="7"/>
  </r>
  <r>
    <x v="455"/>
    <x v="5"/>
    <x v="2"/>
    <x v="1"/>
    <s v="français"/>
    <x v="2"/>
    <n v="3"/>
    <n v="0"/>
    <n v="0"/>
    <s v="Demande d'infos concernant des prolongations de prêt à l'UNIGE -&gt; j'ai donné le bon numéro"/>
    <x v="1"/>
  </r>
  <r>
    <x v="456"/>
    <x v="5"/>
    <x v="2"/>
    <x v="0"/>
    <s v="français"/>
    <x v="1"/>
    <n v="0.5"/>
    <n v="0"/>
    <n v="0"/>
    <m/>
    <x v="0"/>
  </r>
  <r>
    <x v="457"/>
    <x v="5"/>
    <x v="2"/>
    <x v="1"/>
    <s v="français"/>
    <x v="2"/>
    <n v="3"/>
    <n v="0"/>
    <n v="0"/>
    <s v="Proposition de don "/>
    <x v="1"/>
  </r>
  <r>
    <x v="458"/>
    <x v="5"/>
    <x v="2"/>
    <x v="0"/>
    <s v="français"/>
    <x v="1"/>
    <n v="0.5"/>
    <n v="0"/>
    <n v="0"/>
    <m/>
    <x v="2"/>
  </r>
  <r>
    <x v="459"/>
    <x v="3"/>
    <x v="2"/>
    <x v="0"/>
    <s v="français"/>
    <x v="2"/>
    <n v="3"/>
    <n v="0"/>
    <n v="0"/>
    <m/>
    <x v="4"/>
  </r>
  <r>
    <x v="460"/>
    <x v="1"/>
    <x v="3"/>
    <x v="0"/>
    <s v="français"/>
    <x v="2"/>
    <n v="3"/>
    <n v="0"/>
    <n v="0"/>
    <m/>
    <x v="4"/>
  </r>
  <r>
    <x v="461"/>
    <x v="1"/>
    <x v="3"/>
    <x v="0"/>
    <s v="français"/>
    <x v="1"/>
    <n v="0.5"/>
    <n v="0"/>
    <n v="0"/>
    <s v="wc"/>
    <x v="0"/>
  </r>
  <r>
    <x v="462"/>
    <x v="1"/>
    <x v="3"/>
    <x v="0"/>
    <s v="français"/>
    <x v="2"/>
    <n v="3"/>
    <n v="0"/>
    <n v="0"/>
    <s v="cherche à recharger son téléphone"/>
    <x v="8"/>
  </r>
  <r>
    <x v="463"/>
    <x v="2"/>
    <x v="3"/>
    <x v="0"/>
    <s v="français"/>
    <x v="2"/>
    <n v="3"/>
    <n v="0"/>
    <n v="0"/>
    <s v="comment s'inscrire"/>
    <x v="7"/>
  </r>
  <r>
    <x v="464"/>
    <x v="2"/>
    <x v="3"/>
    <x v="0"/>
    <s v="anglais"/>
    <x v="2"/>
    <n v="3"/>
    <n v="0"/>
    <n v="0"/>
    <s v="comment faire pour imprimer"/>
    <x v="7"/>
  </r>
  <r>
    <x v="465"/>
    <x v="2"/>
    <x v="3"/>
    <x v="0"/>
    <s v="anglais"/>
    <x v="2"/>
    <n v="3"/>
    <n v="0"/>
    <n v="0"/>
    <s v="comment faire pour imprimer"/>
    <x v="7"/>
  </r>
  <r>
    <x v="466"/>
    <x v="6"/>
    <x v="3"/>
    <x v="1"/>
    <s v="français"/>
    <x v="2"/>
    <n v="3"/>
    <n v="0"/>
    <n v="0"/>
    <s v="comment citer le copyright pour une photo prise sur le site du CIG ?"/>
    <x v="1"/>
  </r>
  <r>
    <x v="467"/>
    <x v="8"/>
    <x v="3"/>
    <x v="0"/>
    <s v="français"/>
    <x v="2"/>
    <n v="3"/>
    <n v="0"/>
    <n v="0"/>
    <m/>
    <x v="8"/>
  </r>
  <r>
    <x v="468"/>
    <x v="8"/>
    <x v="3"/>
    <x v="0"/>
    <s v="français"/>
    <x v="2"/>
    <n v="3"/>
    <n v="0"/>
    <n v="0"/>
    <m/>
    <x v="8"/>
  </r>
  <r>
    <x v="469"/>
    <x v="8"/>
    <x v="3"/>
    <x v="0"/>
    <s v="français"/>
    <x v="1"/>
    <n v="0.5"/>
    <n v="0"/>
    <n v="0"/>
    <m/>
    <x v="0"/>
  </r>
  <r>
    <x v="470"/>
    <x v="8"/>
    <x v="3"/>
    <x v="0"/>
    <s v="français"/>
    <x v="1"/>
    <n v="0.5"/>
    <n v="0"/>
    <n v="0"/>
    <m/>
    <x v="7"/>
  </r>
  <r>
    <x v="471"/>
    <x v="8"/>
    <x v="3"/>
    <x v="0"/>
    <s v="français"/>
    <x v="2"/>
    <n v="3"/>
    <n v="1"/>
    <n v="0"/>
    <m/>
    <x v="2"/>
  </r>
  <r>
    <x v="472"/>
    <x v="8"/>
    <x v="3"/>
    <x v="0"/>
    <s v="français"/>
    <x v="2"/>
    <n v="3"/>
    <n v="0"/>
    <n v="0"/>
    <m/>
    <x v="4"/>
  </r>
  <r>
    <x v="473"/>
    <x v="5"/>
    <x v="4"/>
    <x v="0"/>
    <s v="français"/>
    <x v="1"/>
    <n v="0.5"/>
    <n v="0"/>
    <n v="0"/>
    <m/>
    <x v="0"/>
  </r>
  <r>
    <x v="474"/>
    <x v="5"/>
    <x v="4"/>
    <x v="0"/>
    <s v="anglais"/>
    <x v="1"/>
    <n v="0.5"/>
    <n v="0"/>
    <n v="0"/>
    <m/>
    <x v="0"/>
  </r>
  <r>
    <x v="475"/>
    <x v="0"/>
    <x v="4"/>
    <x v="0"/>
    <s v="français"/>
    <x v="2"/>
    <n v="3"/>
    <n v="0"/>
    <n v="0"/>
    <m/>
    <x v="8"/>
  </r>
  <r>
    <x v="476"/>
    <x v="0"/>
    <x v="4"/>
    <x v="0"/>
    <s v="anglais"/>
    <x v="0"/>
    <n v="10.5"/>
    <n v="0"/>
    <n v="0"/>
    <m/>
    <x v="8"/>
  </r>
  <r>
    <x v="477"/>
    <x v="7"/>
    <x v="4"/>
    <x v="0"/>
    <s v="français"/>
    <x v="1"/>
    <n v="0.5"/>
    <n v="0"/>
    <n v="0"/>
    <m/>
    <x v="7"/>
  </r>
  <r>
    <x v="478"/>
    <x v="0"/>
    <x v="5"/>
    <x v="0"/>
    <s v="français"/>
    <x v="2"/>
    <n v="3"/>
    <n v="1"/>
    <n v="0"/>
    <m/>
    <x v="2"/>
  </r>
  <r>
    <x v="478"/>
    <x v="0"/>
    <x v="5"/>
    <x v="0"/>
    <s v="français"/>
    <x v="2"/>
    <n v="3"/>
    <n v="1"/>
    <n v="0"/>
    <m/>
    <x v="5"/>
  </r>
  <r>
    <x v="479"/>
    <x v="0"/>
    <x v="5"/>
    <x v="0"/>
    <s v="français"/>
    <x v="2"/>
    <n v="3"/>
    <n v="0"/>
    <n v="0"/>
    <m/>
    <x v="4"/>
  </r>
  <r>
    <x v="480"/>
    <x v="7"/>
    <x v="5"/>
    <x v="0"/>
    <s v="français"/>
    <x v="2"/>
    <n v="3"/>
    <n v="1"/>
    <n v="0"/>
    <m/>
    <x v="2"/>
  </r>
  <r>
    <x v="480"/>
    <x v="7"/>
    <x v="5"/>
    <x v="0"/>
    <s v="français"/>
    <x v="2"/>
    <n v="3"/>
    <n v="1"/>
    <n v="0"/>
    <m/>
    <x v="5"/>
  </r>
  <r>
    <x v="481"/>
    <x v="3"/>
    <x v="5"/>
    <x v="0"/>
    <s v="français"/>
    <x v="0"/>
    <n v="10.5"/>
    <n v="0"/>
    <n v="0"/>
    <m/>
    <x v="3"/>
  </r>
  <r>
    <x v="482"/>
    <x v="4"/>
    <x v="5"/>
    <x v="0"/>
    <s v="français"/>
    <x v="1"/>
    <n v="0.5"/>
    <n v="0"/>
    <n v="0"/>
    <m/>
    <x v="8"/>
  </r>
  <r>
    <x v="483"/>
    <x v="4"/>
    <x v="5"/>
    <x v="0"/>
    <s v="français"/>
    <x v="3"/>
    <n v="20"/>
    <n v="0"/>
    <n v="0"/>
    <m/>
    <x v="8"/>
  </r>
  <r>
    <x v="484"/>
    <x v="4"/>
    <x v="5"/>
    <x v="0"/>
    <s v="français"/>
    <x v="1"/>
    <n v="0.5"/>
    <n v="0"/>
    <n v="0"/>
    <s v="Imprimer une carte recto-verso sur la même page ? =&gt; pas trouvé comment faire"/>
    <x v="8"/>
  </r>
  <r>
    <x v="485"/>
    <x v="4"/>
    <x v="5"/>
    <x v="0"/>
    <s v="français"/>
    <x v="1"/>
    <n v="0.5"/>
    <n v="0"/>
    <n v="0"/>
    <s v="Manuscrits"/>
    <x v="0"/>
  </r>
  <r>
    <x v="486"/>
    <x v="4"/>
    <x v="5"/>
    <x v="0"/>
    <s v="français"/>
    <x v="2"/>
    <n v="3"/>
    <n v="0"/>
    <n v="0"/>
    <s v="Droits fondamentaux, cour européenne de Strasbourg"/>
    <x v="6"/>
  </r>
  <r>
    <x v="487"/>
    <x v="1"/>
    <x v="5"/>
    <x v="0"/>
    <s v="anglais"/>
    <x v="1"/>
    <n v="0.5"/>
    <n v="0"/>
    <n v="0"/>
    <m/>
    <x v="7"/>
  </r>
  <r>
    <x v="488"/>
    <x v="2"/>
    <x v="5"/>
    <x v="0"/>
    <s v="français"/>
    <x v="2"/>
    <n v="3"/>
    <n v="0"/>
    <n v="0"/>
    <m/>
    <x v="4"/>
  </r>
  <r>
    <x v="489"/>
    <x v="2"/>
    <x v="5"/>
    <x v="0"/>
    <s v="français"/>
    <x v="1"/>
    <n v="0.5"/>
    <n v="0"/>
    <n v="0"/>
    <s v="Change pour machine à café"/>
    <x v="1"/>
  </r>
  <r>
    <x v="490"/>
    <x v="2"/>
    <x v="5"/>
    <x v="0"/>
    <s v="français"/>
    <x v="2"/>
    <n v="3"/>
    <n v="0"/>
    <n v="0"/>
    <s v="Impressions"/>
    <x v="8"/>
  </r>
  <r>
    <x v="491"/>
    <x v="2"/>
    <x v="5"/>
    <x v="0"/>
    <s v="français"/>
    <x v="0"/>
    <n v="10.5"/>
    <n v="0"/>
    <n v="0"/>
    <m/>
    <x v="3"/>
  </r>
  <r>
    <x v="492"/>
    <x v="6"/>
    <x v="5"/>
    <x v="0"/>
    <s v="français"/>
    <x v="0"/>
    <n v="10.5"/>
    <n v="1"/>
    <n v="0"/>
    <s v="aux BM, Lise Boourbeau, développement personnel"/>
    <x v="6"/>
  </r>
  <r>
    <x v="492"/>
    <x v="6"/>
    <x v="5"/>
    <x v="0"/>
    <s v="français"/>
    <x v="0"/>
    <n v="10.5"/>
    <n v="1"/>
    <n v="0"/>
    <s v="aux BM, Lise Boourbeau, développement personnel"/>
    <x v="1"/>
  </r>
  <r>
    <x v="493"/>
    <x v="6"/>
    <x v="5"/>
    <x v="0"/>
    <s v="français"/>
    <x v="0"/>
    <n v="10.5"/>
    <n v="1"/>
    <n v="0"/>
    <m/>
    <x v="2"/>
  </r>
  <r>
    <x v="493"/>
    <x v="6"/>
    <x v="5"/>
    <x v="0"/>
    <s v="français"/>
    <x v="0"/>
    <n v="10.5"/>
    <n v="1"/>
    <n v="0"/>
    <m/>
    <x v="5"/>
  </r>
  <r>
    <x v="494"/>
    <x v="6"/>
    <x v="5"/>
    <x v="0"/>
    <s v="français"/>
    <x v="3"/>
    <n v="20"/>
    <n v="1"/>
    <n v="0"/>
    <m/>
    <x v="6"/>
  </r>
  <r>
    <x v="495"/>
    <x v="8"/>
    <x v="5"/>
    <x v="0"/>
    <s v="français"/>
    <x v="1"/>
    <n v="0.5"/>
    <n v="0"/>
    <n v="0"/>
    <m/>
    <x v="0"/>
  </r>
  <r>
    <x v="496"/>
    <x v="8"/>
    <x v="5"/>
    <x v="0"/>
    <s v="français"/>
    <x v="2"/>
    <n v="3"/>
    <n v="0"/>
    <n v="0"/>
    <m/>
    <x v="8"/>
  </r>
  <r>
    <x v="497"/>
    <x v="3"/>
    <x v="0"/>
    <x v="0"/>
    <s v="français"/>
    <x v="1"/>
    <n v="0.5"/>
    <n v="0"/>
    <n v="0"/>
    <s v="Où est le formulaire du PEB sur Swisscovery ?"/>
    <x v="5"/>
  </r>
  <r>
    <x v="498"/>
    <x v="8"/>
    <x v="0"/>
    <x v="0"/>
    <s v="français"/>
    <x v="2"/>
    <n v="3"/>
    <n v="0"/>
    <n v="0"/>
    <m/>
    <x v="3"/>
  </r>
  <r>
    <x v="499"/>
    <x v="8"/>
    <x v="0"/>
    <x v="0"/>
    <s v="français"/>
    <x v="2"/>
    <n v="3"/>
    <n v="0"/>
    <n v="0"/>
    <m/>
    <x v="3"/>
  </r>
  <r>
    <x v="500"/>
    <x v="8"/>
    <x v="0"/>
    <x v="0"/>
    <s v="français"/>
    <x v="2"/>
    <n v="3"/>
    <n v="0"/>
    <n v="0"/>
    <m/>
    <x v="4"/>
  </r>
  <r>
    <x v="501"/>
    <x v="8"/>
    <x v="0"/>
    <x v="0"/>
    <s v="français"/>
    <x v="1"/>
    <n v="0.5"/>
    <n v="0"/>
    <n v="0"/>
    <m/>
    <x v="0"/>
  </r>
  <r>
    <x v="502"/>
    <x v="8"/>
    <x v="0"/>
    <x v="0"/>
    <s v="français"/>
    <x v="2"/>
    <n v="3"/>
    <n v="0"/>
    <n v="0"/>
    <m/>
    <x v="8"/>
  </r>
  <r>
    <x v="503"/>
    <x v="8"/>
    <x v="0"/>
    <x v="0"/>
    <s v="français"/>
    <x v="2"/>
    <n v="3"/>
    <n v="0"/>
    <n v="0"/>
    <m/>
    <x v="2"/>
  </r>
  <r>
    <x v="504"/>
    <x v="0"/>
    <x v="1"/>
    <x v="0"/>
    <s v="anglais"/>
    <x v="2"/>
    <n v="3"/>
    <n v="0"/>
    <n v="0"/>
    <m/>
    <x v="4"/>
  </r>
  <r>
    <x v="505"/>
    <x v="0"/>
    <x v="1"/>
    <x v="0"/>
    <s v="français"/>
    <x v="0"/>
    <n v="10.5"/>
    <n v="1"/>
    <n v="0"/>
    <m/>
    <x v="2"/>
  </r>
  <r>
    <x v="505"/>
    <x v="0"/>
    <x v="1"/>
    <x v="0"/>
    <s v="français"/>
    <x v="0"/>
    <n v="10.5"/>
    <n v="1"/>
    <n v="0"/>
    <m/>
    <x v="5"/>
  </r>
  <r>
    <x v="506"/>
    <x v="7"/>
    <x v="1"/>
    <x v="0"/>
    <s v="anglais"/>
    <x v="0"/>
    <n v="10.5"/>
    <n v="1"/>
    <n v="0"/>
    <m/>
    <x v="3"/>
  </r>
  <r>
    <x v="507"/>
    <x v="4"/>
    <x v="1"/>
    <x v="1"/>
    <s v="anglais"/>
    <x v="2"/>
    <n v="3"/>
    <n v="0"/>
    <n v="0"/>
    <s v="Evaluation de la valeur de livres anciens"/>
    <x v="1"/>
  </r>
  <r>
    <x v="508"/>
    <x v="1"/>
    <x v="1"/>
    <x v="1"/>
    <s v="français"/>
    <x v="0"/>
    <n v="10.5"/>
    <n v="1"/>
    <n v="0"/>
    <m/>
    <x v="2"/>
  </r>
  <r>
    <x v="508"/>
    <x v="1"/>
    <x v="1"/>
    <x v="1"/>
    <s v="français"/>
    <x v="0"/>
    <n v="10.5"/>
    <n v="1"/>
    <n v="0"/>
    <m/>
    <x v="5"/>
  </r>
  <r>
    <x v="509"/>
    <x v="1"/>
    <x v="1"/>
    <x v="1"/>
    <s v="français"/>
    <x v="2"/>
    <n v="3"/>
    <n v="0"/>
    <n v="0"/>
    <m/>
    <x v="7"/>
  </r>
  <r>
    <x v="510"/>
    <x v="0"/>
    <x v="3"/>
    <x v="0"/>
    <s v="anglais"/>
    <x v="1"/>
    <n v="0.5"/>
    <n v="0"/>
    <n v="0"/>
    <m/>
    <x v="4"/>
  </r>
  <r>
    <x v="511"/>
    <x v="0"/>
    <x v="3"/>
    <x v="0"/>
    <s v="français"/>
    <x v="1"/>
    <n v="0.5"/>
    <n v="0"/>
    <n v="0"/>
    <m/>
    <x v="4"/>
  </r>
  <r>
    <x v="512"/>
    <x v="3"/>
    <x v="3"/>
    <x v="0"/>
    <s v="français"/>
    <x v="1"/>
    <n v="0.5"/>
    <n v="0"/>
    <n v="0"/>
    <m/>
    <x v="4"/>
  </r>
  <r>
    <x v="513"/>
    <x v="3"/>
    <x v="3"/>
    <x v="0"/>
    <s v="français"/>
    <x v="0"/>
    <n v="10.5"/>
    <n v="0"/>
    <n v="0"/>
    <s v="Personne très mécontente qui venait pour une expo qui était aux Archives d'Etat... Elle a confondu les lieux "/>
    <x v="1"/>
  </r>
  <r>
    <x v="514"/>
    <x v="3"/>
    <x v="3"/>
    <x v="0"/>
    <s v="français"/>
    <x v="0"/>
    <n v="10.5"/>
    <n v="0"/>
    <n v="0"/>
    <m/>
    <x v="3"/>
  </r>
  <r>
    <x v="514"/>
    <x v="3"/>
    <x v="3"/>
    <x v="0"/>
    <s v="français"/>
    <x v="0"/>
    <n v="10.5"/>
    <n v="0"/>
    <n v="0"/>
    <m/>
    <x v="7"/>
  </r>
  <r>
    <x v="515"/>
    <x v="3"/>
    <x v="3"/>
    <x v="0"/>
    <s v="français"/>
    <x v="2"/>
    <n v="3"/>
    <n v="1"/>
    <n v="0"/>
    <m/>
    <x v="2"/>
  </r>
  <r>
    <x v="516"/>
    <x v="1"/>
    <x v="3"/>
    <x v="0"/>
    <s v="français"/>
    <x v="0"/>
    <n v="10.5"/>
    <n v="0"/>
    <n v="0"/>
    <m/>
    <x v="3"/>
  </r>
  <r>
    <x v="517"/>
    <x v="1"/>
    <x v="3"/>
    <x v="0"/>
    <s v="anglais"/>
    <x v="2"/>
    <n v="3"/>
    <n v="0"/>
    <n v="0"/>
    <m/>
    <x v="4"/>
  </r>
  <r>
    <x v="518"/>
    <x v="1"/>
    <x v="3"/>
    <x v="0"/>
    <s v="anglais"/>
    <x v="2"/>
    <n v="3"/>
    <n v="0"/>
    <n v="0"/>
    <m/>
    <x v="4"/>
  </r>
  <r>
    <x v="519"/>
    <x v="1"/>
    <x v="3"/>
    <x v="0"/>
    <s v="français"/>
    <x v="0"/>
    <n v="10.5"/>
    <n v="1"/>
    <n v="0"/>
    <s v="aide pour un PEB"/>
    <x v="2"/>
  </r>
  <r>
    <x v="520"/>
    <x v="1"/>
    <x v="3"/>
    <x v="0"/>
    <s v="français"/>
    <x v="0"/>
    <n v="10.5"/>
    <n v="1"/>
    <n v="0"/>
    <m/>
    <x v="3"/>
  </r>
  <r>
    <x v="521"/>
    <x v="2"/>
    <x v="3"/>
    <x v="0"/>
    <s v="anglais"/>
    <x v="2"/>
    <n v="3"/>
    <n v="0"/>
    <n v="0"/>
    <s v="problème pour avoir le wifi"/>
    <x v="8"/>
  </r>
  <r>
    <x v="521"/>
    <x v="2"/>
    <x v="3"/>
    <x v="0"/>
    <s v="anglais"/>
    <x v="2"/>
    <n v="3"/>
    <n v="0"/>
    <n v="0"/>
    <s v="problème pour avoir le wifi"/>
    <x v="1"/>
  </r>
  <r>
    <x v="522"/>
    <x v="2"/>
    <x v="3"/>
    <x v="0"/>
    <s v="français"/>
    <x v="2"/>
    <n v="3"/>
    <n v="1"/>
    <n v="0"/>
    <m/>
    <x v="2"/>
  </r>
  <r>
    <x v="523"/>
    <x v="6"/>
    <x v="3"/>
    <x v="0"/>
    <s v="français"/>
    <x v="1"/>
    <n v="0.5"/>
    <n v="0"/>
    <n v="0"/>
    <s v="agrafeuse"/>
    <x v="1"/>
  </r>
  <r>
    <x v="524"/>
    <x v="6"/>
    <x v="3"/>
    <x v="0"/>
    <s v="français"/>
    <x v="2"/>
    <n v="3"/>
    <n v="1"/>
    <n v="0"/>
    <s v="n'a pas abouti"/>
    <x v="3"/>
  </r>
  <r>
    <x v="525"/>
    <x v="8"/>
    <x v="3"/>
    <x v="0"/>
    <s v="français"/>
    <x v="2"/>
    <n v="3"/>
    <n v="0"/>
    <n v="0"/>
    <m/>
    <x v="3"/>
  </r>
  <r>
    <x v="526"/>
    <x v="8"/>
    <x v="3"/>
    <x v="0"/>
    <s v="français"/>
    <x v="2"/>
    <n v="3"/>
    <n v="0"/>
    <n v="0"/>
    <m/>
    <x v="7"/>
  </r>
  <r>
    <x v="527"/>
    <x v="8"/>
    <x v="3"/>
    <x v="1"/>
    <s v="français"/>
    <x v="2"/>
    <n v="3"/>
    <n v="0"/>
    <n v="0"/>
    <m/>
    <x v="2"/>
  </r>
  <r>
    <x v="528"/>
    <x v="8"/>
    <x v="3"/>
    <x v="0"/>
    <s v="français"/>
    <x v="2"/>
    <n v="3"/>
    <n v="0"/>
    <n v="0"/>
    <m/>
    <x v="8"/>
  </r>
  <r>
    <x v="529"/>
    <x v="3"/>
    <x v="5"/>
    <x v="0"/>
    <s v="français"/>
    <x v="0"/>
    <n v="10.5"/>
    <n v="0"/>
    <n v="0"/>
    <m/>
    <x v="3"/>
  </r>
  <r>
    <x v="530"/>
    <x v="3"/>
    <x v="5"/>
    <x v="0"/>
    <s v="français"/>
    <x v="1"/>
    <n v="0.5"/>
    <n v="0"/>
    <n v="0"/>
    <m/>
    <x v="0"/>
  </r>
  <r>
    <x v="531"/>
    <x v="4"/>
    <x v="5"/>
    <x v="0"/>
    <s v="français"/>
    <x v="0"/>
    <n v="10.5"/>
    <n v="0"/>
    <n v="0"/>
    <m/>
    <x v="6"/>
  </r>
  <r>
    <x v="531"/>
    <x v="4"/>
    <x v="5"/>
    <x v="0"/>
    <s v="français"/>
    <x v="0"/>
    <n v="10.5"/>
    <n v="0"/>
    <n v="0"/>
    <m/>
    <x v="3"/>
  </r>
  <r>
    <x v="532"/>
    <x v="1"/>
    <x v="5"/>
    <x v="0"/>
    <s v="français"/>
    <x v="2"/>
    <n v="3"/>
    <n v="0"/>
    <n v="0"/>
    <m/>
    <x v="2"/>
  </r>
  <r>
    <x v="533"/>
    <x v="1"/>
    <x v="5"/>
    <x v="0"/>
    <s v="français"/>
    <x v="1"/>
    <n v="0.5"/>
    <n v="0"/>
    <n v="0"/>
    <s v="Salle des périodiques"/>
    <x v="0"/>
  </r>
  <r>
    <x v="534"/>
    <x v="2"/>
    <x v="5"/>
    <x v="0"/>
    <s v="anglais"/>
    <x v="3"/>
    <n v="20"/>
    <n v="0"/>
    <n v="0"/>
    <s v="Manuscrits et anciennes éditions d'Avicenne"/>
    <x v="3"/>
  </r>
  <r>
    <x v="535"/>
    <x v="2"/>
    <x v="5"/>
    <x v="0"/>
    <s v="français"/>
    <x v="2"/>
    <n v="3"/>
    <n v="0"/>
    <n v="0"/>
    <m/>
    <x v="4"/>
  </r>
  <r>
    <x v="536"/>
    <x v="2"/>
    <x v="5"/>
    <x v="0"/>
    <s v="français"/>
    <x v="0"/>
    <n v="10.5"/>
    <n v="0"/>
    <n v="0"/>
    <s v="logiciel pour faire un inventaire de bibliothèque =&gt; Koha, PMB..."/>
    <x v="1"/>
  </r>
  <r>
    <x v="537"/>
    <x v="2"/>
    <x v="5"/>
    <x v="0"/>
    <s v="français"/>
    <x v="2"/>
    <n v="3"/>
    <n v="0"/>
    <n v="0"/>
    <s v="Numéro précédent de Bilan =&gt; à commander"/>
    <x v="2"/>
  </r>
  <r>
    <x v="538"/>
    <x v="6"/>
    <x v="5"/>
    <x v="0"/>
    <s v="français"/>
    <x v="0"/>
    <n v="10.5"/>
    <n v="0"/>
    <n v="0"/>
    <m/>
    <x v="6"/>
  </r>
  <r>
    <x v="538"/>
    <x v="6"/>
    <x v="5"/>
    <x v="0"/>
    <s v="français"/>
    <x v="0"/>
    <n v="10.5"/>
    <n v="0"/>
    <n v="0"/>
    <m/>
    <x v="3"/>
  </r>
  <r>
    <x v="539"/>
    <x v="8"/>
    <x v="5"/>
    <x v="0"/>
    <s v="français"/>
    <x v="0"/>
    <n v="10.5"/>
    <n v="0"/>
    <n v="0"/>
    <m/>
    <x v="3"/>
  </r>
  <r>
    <x v="540"/>
    <x v="8"/>
    <x v="5"/>
    <x v="0"/>
    <s v="français"/>
    <x v="0"/>
    <n v="10.5"/>
    <n v="1"/>
    <n v="0"/>
    <m/>
    <x v="2"/>
  </r>
  <r>
    <x v="541"/>
    <x v="8"/>
    <x v="5"/>
    <x v="0"/>
    <s v="français"/>
    <x v="0"/>
    <n v="10.5"/>
    <n v="1"/>
    <n v="1"/>
    <m/>
    <x v="2"/>
  </r>
  <r>
    <x v="542"/>
    <x v="8"/>
    <x v="5"/>
    <x v="0"/>
    <s v="français"/>
    <x v="0"/>
    <n v="10.5"/>
    <n v="0"/>
    <n v="0"/>
    <m/>
    <x v="7"/>
  </r>
  <r>
    <x v="543"/>
    <x v="3"/>
    <x v="0"/>
    <x v="0"/>
    <s v="français"/>
    <x v="0"/>
    <n v="10.5"/>
    <n v="1"/>
    <n v="0"/>
    <s v="Consulter des anciens n° du Monde"/>
    <x v="2"/>
  </r>
  <r>
    <x v="543"/>
    <x v="3"/>
    <x v="0"/>
    <x v="0"/>
    <s v="français"/>
    <x v="0"/>
    <n v="10.5"/>
    <n v="1"/>
    <n v="0"/>
    <s v="Consulter des anciens n° du Monde"/>
    <x v="4"/>
  </r>
  <r>
    <x v="543"/>
    <x v="3"/>
    <x v="0"/>
    <x v="0"/>
    <s v="français"/>
    <x v="0"/>
    <n v="10.5"/>
    <n v="1"/>
    <n v="0"/>
    <s v="Consulter des anciens n° du Monde"/>
    <x v="7"/>
  </r>
  <r>
    <x v="544"/>
    <x v="3"/>
    <x v="0"/>
    <x v="0"/>
    <s v="français"/>
    <x v="2"/>
    <n v="3"/>
    <n v="0"/>
    <n v="0"/>
    <m/>
    <x v="4"/>
  </r>
  <r>
    <x v="545"/>
    <x v="4"/>
    <x v="0"/>
    <x v="0"/>
    <s v="français"/>
    <x v="2"/>
    <n v="3"/>
    <n v="0"/>
    <n v="0"/>
    <s v="Impression document"/>
    <x v="8"/>
  </r>
  <r>
    <x v="545"/>
    <x v="4"/>
    <x v="0"/>
    <x v="0"/>
    <s v="français"/>
    <x v="2"/>
    <n v="3"/>
    <n v="0"/>
    <n v="0"/>
    <s v="Impression document"/>
    <x v="1"/>
  </r>
  <r>
    <x v="546"/>
    <x v="1"/>
    <x v="0"/>
    <x v="0"/>
    <s v="français"/>
    <x v="2"/>
    <n v="3"/>
    <n v="0"/>
    <n v="0"/>
    <m/>
    <x v="8"/>
  </r>
  <r>
    <x v="547"/>
    <x v="1"/>
    <x v="0"/>
    <x v="0"/>
    <s v="français"/>
    <x v="2"/>
    <n v="3"/>
    <n v="0"/>
    <n v="0"/>
    <m/>
    <x v="8"/>
  </r>
  <r>
    <x v="548"/>
    <x v="1"/>
    <x v="0"/>
    <x v="0"/>
    <s v="français"/>
    <x v="2"/>
    <n v="3"/>
    <n v="0"/>
    <n v="0"/>
    <m/>
    <x v="8"/>
  </r>
  <r>
    <x v="549"/>
    <x v="2"/>
    <x v="0"/>
    <x v="0"/>
    <s v="français"/>
    <x v="2"/>
    <n v="3"/>
    <n v="0"/>
    <n v="0"/>
    <m/>
    <x v="8"/>
  </r>
  <r>
    <x v="550"/>
    <x v="8"/>
    <x v="0"/>
    <x v="0"/>
    <s v="français"/>
    <x v="2"/>
    <n v="3"/>
    <n v="0"/>
    <n v="0"/>
    <m/>
    <x v="4"/>
  </r>
  <r>
    <x v="551"/>
    <x v="8"/>
    <x v="0"/>
    <x v="0"/>
    <s v="français"/>
    <x v="1"/>
    <n v="0.5"/>
    <n v="0"/>
    <n v="0"/>
    <m/>
    <x v="7"/>
  </r>
  <r>
    <x v="552"/>
    <x v="8"/>
    <x v="0"/>
    <x v="0"/>
    <s v="français"/>
    <x v="1"/>
    <n v="0.5"/>
    <n v="0"/>
    <n v="0"/>
    <m/>
    <x v="7"/>
  </r>
  <r>
    <x v="553"/>
    <x v="8"/>
    <x v="0"/>
    <x v="0"/>
    <s v="français"/>
    <x v="1"/>
    <n v="0.5"/>
    <n v="0"/>
    <n v="0"/>
    <m/>
    <x v="1"/>
  </r>
  <r>
    <x v="554"/>
    <x v="0"/>
    <x v="1"/>
    <x v="0"/>
    <s v="français"/>
    <x v="0"/>
    <n v="10.5"/>
    <n v="1"/>
    <n v="0"/>
    <m/>
    <x v="3"/>
  </r>
  <r>
    <x v="555"/>
    <x v="0"/>
    <x v="1"/>
    <x v="0"/>
    <s v="anglais"/>
    <x v="1"/>
    <n v="0.5"/>
    <n v="0"/>
    <n v="0"/>
    <m/>
    <x v="8"/>
  </r>
  <r>
    <x v="555"/>
    <x v="0"/>
    <x v="1"/>
    <x v="0"/>
    <s v="anglais"/>
    <x v="1"/>
    <n v="0.5"/>
    <n v="0"/>
    <n v="0"/>
    <m/>
    <x v="7"/>
  </r>
  <r>
    <x v="556"/>
    <x v="1"/>
    <x v="1"/>
    <x v="0"/>
    <s v="français"/>
    <x v="0"/>
    <n v="10.5"/>
    <n v="0"/>
    <n v="0"/>
    <m/>
    <x v="7"/>
  </r>
  <r>
    <x v="557"/>
    <x v="1"/>
    <x v="1"/>
    <x v="0"/>
    <s v="anglais"/>
    <x v="1"/>
    <n v="0.5"/>
    <n v="0"/>
    <n v="0"/>
    <m/>
    <x v="7"/>
  </r>
  <r>
    <x v="558"/>
    <x v="8"/>
    <x v="1"/>
    <x v="0"/>
    <s v="français"/>
    <x v="2"/>
    <n v="3"/>
    <n v="1"/>
    <n v="0"/>
    <m/>
    <x v="2"/>
  </r>
  <r>
    <x v="559"/>
    <x v="8"/>
    <x v="1"/>
    <x v="0"/>
    <s v="français"/>
    <x v="2"/>
    <n v="3"/>
    <n v="0"/>
    <n v="0"/>
    <m/>
    <x v="3"/>
  </r>
  <r>
    <x v="560"/>
    <x v="8"/>
    <x v="1"/>
    <x v="0"/>
    <s v="français"/>
    <x v="1"/>
    <n v="0.5"/>
    <n v="0"/>
    <n v="0"/>
    <m/>
    <x v="0"/>
  </r>
  <r>
    <x v="561"/>
    <x v="5"/>
    <x v="2"/>
    <x v="0"/>
    <s v="français"/>
    <x v="0"/>
    <n v="10.5"/>
    <n v="1"/>
    <n v="0"/>
    <m/>
    <x v="2"/>
  </r>
  <r>
    <x v="562"/>
    <x v="0"/>
    <x v="2"/>
    <x v="0"/>
    <s v="français"/>
    <x v="0"/>
    <n v="10.5"/>
    <n v="0"/>
    <n v="0"/>
    <m/>
    <x v="3"/>
  </r>
  <r>
    <x v="563"/>
    <x v="3"/>
    <x v="2"/>
    <x v="0"/>
    <s v="français"/>
    <x v="0"/>
    <n v="10.5"/>
    <n v="1"/>
    <n v="1"/>
    <m/>
    <x v="2"/>
  </r>
  <r>
    <x v="564"/>
    <x v="3"/>
    <x v="2"/>
    <x v="0"/>
    <s v="français"/>
    <x v="3"/>
    <n v="20"/>
    <n v="0"/>
    <n v="0"/>
    <m/>
    <x v="3"/>
  </r>
  <r>
    <x v="565"/>
    <x v="3"/>
    <x v="2"/>
    <x v="0"/>
    <s v="français"/>
    <x v="2"/>
    <n v="3"/>
    <n v="1"/>
    <n v="0"/>
    <m/>
    <x v="2"/>
  </r>
  <r>
    <x v="566"/>
    <x v="5"/>
    <x v="3"/>
    <x v="0"/>
    <s v="français"/>
    <x v="0"/>
    <n v="10.5"/>
    <n v="0"/>
    <n v="0"/>
    <m/>
    <x v="8"/>
  </r>
  <r>
    <x v="567"/>
    <x v="3"/>
    <x v="3"/>
    <x v="0"/>
    <s v="français"/>
    <x v="3"/>
    <n v="20"/>
    <n v="0"/>
    <n v="1"/>
    <m/>
    <x v="2"/>
  </r>
  <r>
    <x v="568"/>
    <x v="3"/>
    <x v="3"/>
    <x v="0"/>
    <s v="français"/>
    <x v="3"/>
    <n v="20"/>
    <n v="0"/>
    <n v="0"/>
    <m/>
    <x v="3"/>
  </r>
  <r>
    <x v="569"/>
    <x v="1"/>
    <x v="3"/>
    <x v="0"/>
    <s v="français"/>
    <x v="2"/>
    <n v="3"/>
    <n v="0"/>
    <n v="0"/>
    <s v="avait besoin d'une pièce de 10 cts contre 2 de 5 ;-) "/>
    <x v="1"/>
  </r>
  <r>
    <x v="570"/>
    <x v="6"/>
    <x v="3"/>
    <x v="0"/>
    <s v="français"/>
    <x v="2"/>
    <n v="3"/>
    <n v="0"/>
    <n v="0"/>
    <s v="pb avec la machine à café"/>
    <x v="1"/>
  </r>
  <r>
    <x v="571"/>
    <x v="7"/>
    <x v="4"/>
    <x v="0"/>
    <s v="français"/>
    <x v="2"/>
    <n v="3"/>
    <n v="0"/>
    <n v="0"/>
    <s v="Horaires d'ouvertures des Délices. Pas claire."/>
    <x v="7"/>
  </r>
  <r>
    <x v="572"/>
    <x v="7"/>
    <x v="5"/>
    <x v="0"/>
    <s v="anglais"/>
    <x v="0"/>
    <n v="10.5"/>
    <n v="0"/>
    <n v="0"/>
    <m/>
    <x v="0"/>
  </r>
  <r>
    <x v="573"/>
    <x v="7"/>
    <x v="5"/>
    <x v="0"/>
    <s v="français"/>
    <x v="1"/>
    <n v="0.5"/>
    <n v="0"/>
    <n v="0"/>
    <m/>
    <x v="8"/>
  </r>
  <r>
    <x v="574"/>
    <x v="7"/>
    <x v="5"/>
    <x v="0"/>
    <s v="français"/>
    <x v="0"/>
    <n v="10.5"/>
    <n v="1"/>
    <n v="0"/>
    <m/>
    <x v="2"/>
  </r>
  <r>
    <x v="575"/>
    <x v="7"/>
    <x v="5"/>
    <x v="0"/>
    <s v="français"/>
    <x v="2"/>
    <n v="3"/>
    <n v="1"/>
    <n v="0"/>
    <m/>
    <x v="2"/>
  </r>
  <r>
    <x v="576"/>
    <x v="7"/>
    <x v="5"/>
    <x v="0"/>
    <s v="français"/>
    <x v="1"/>
    <n v="0.5"/>
    <n v="0"/>
    <n v="0"/>
    <m/>
    <x v="8"/>
  </r>
  <r>
    <x v="577"/>
    <x v="7"/>
    <x v="5"/>
    <x v="0"/>
    <s v="anglais"/>
    <x v="1"/>
    <n v="0.5"/>
    <n v="0"/>
    <n v="0"/>
    <m/>
    <x v="8"/>
  </r>
  <r>
    <x v="578"/>
    <x v="7"/>
    <x v="5"/>
    <x v="0"/>
    <s v="français"/>
    <x v="1"/>
    <n v="0.5"/>
    <n v="0"/>
    <n v="0"/>
    <m/>
    <x v="8"/>
  </r>
  <r>
    <x v="579"/>
    <x v="3"/>
    <x v="5"/>
    <x v="0"/>
    <s v="anglais"/>
    <x v="1"/>
    <n v="0.5"/>
    <n v="0"/>
    <n v="0"/>
    <m/>
    <x v="8"/>
  </r>
  <r>
    <x v="580"/>
    <x v="3"/>
    <x v="5"/>
    <x v="0"/>
    <s v="français"/>
    <x v="0"/>
    <n v="10.5"/>
    <n v="0"/>
    <n v="0"/>
    <m/>
    <x v="4"/>
  </r>
  <r>
    <x v="581"/>
    <x v="4"/>
    <x v="5"/>
    <x v="0"/>
    <s v="français"/>
    <x v="2"/>
    <n v="3"/>
    <n v="0"/>
    <n v="0"/>
    <m/>
    <x v="7"/>
  </r>
  <r>
    <x v="582"/>
    <x v="4"/>
    <x v="5"/>
    <x v="0"/>
    <s v="français"/>
    <x v="1"/>
    <n v="0.5"/>
    <n v="0"/>
    <n v="0"/>
    <m/>
    <x v="8"/>
  </r>
  <r>
    <x v="583"/>
    <x v="4"/>
    <x v="5"/>
    <x v="0"/>
    <s v="français"/>
    <x v="1"/>
    <n v="0.5"/>
    <n v="0"/>
    <n v="0"/>
    <m/>
    <x v="2"/>
  </r>
  <r>
    <x v="584"/>
    <x v="4"/>
    <x v="5"/>
    <x v="0"/>
    <s v="français"/>
    <x v="2"/>
    <n v="3"/>
    <n v="0"/>
    <n v="0"/>
    <m/>
    <x v="8"/>
  </r>
  <r>
    <x v="585"/>
    <x v="4"/>
    <x v="5"/>
    <x v="0"/>
    <s v="français"/>
    <x v="2"/>
    <n v="3"/>
    <n v="0"/>
    <n v="0"/>
    <m/>
    <x v="4"/>
  </r>
  <r>
    <x v="585"/>
    <x v="4"/>
    <x v="5"/>
    <x v="0"/>
    <s v="français"/>
    <x v="2"/>
    <n v="3"/>
    <n v="0"/>
    <n v="0"/>
    <m/>
    <x v="8"/>
  </r>
  <r>
    <x v="586"/>
    <x v="1"/>
    <x v="5"/>
    <x v="0"/>
    <s v="anglais"/>
    <x v="0"/>
    <n v="10.5"/>
    <n v="0"/>
    <n v="0"/>
    <s v="Utiliser internet directement sur la télévision de la salle de réunion sans passer par un ordinateur"/>
    <x v="8"/>
  </r>
  <r>
    <x v="587"/>
    <x v="1"/>
    <x v="5"/>
    <x v="0"/>
    <s v="français"/>
    <x v="2"/>
    <n v="3"/>
    <n v="0"/>
    <n v="0"/>
    <s v="Presse en ligne"/>
    <x v="7"/>
  </r>
  <r>
    <x v="588"/>
    <x v="1"/>
    <x v="5"/>
    <x v="0"/>
    <s v="français"/>
    <x v="2"/>
    <n v="3"/>
    <n v="0"/>
    <n v="0"/>
    <s v="Archives du &quot;Journal de Genève&quot; et de&quot;Banque et finance&quot;"/>
    <x v="2"/>
  </r>
  <r>
    <x v="589"/>
    <x v="3"/>
    <x v="0"/>
    <x v="0"/>
    <s v="français"/>
    <x v="2"/>
    <n v="3"/>
    <n v="0"/>
    <n v="0"/>
    <m/>
    <x v="8"/>
  </r>
  <r>
    <x v="590"/>
    <x v="3"/>
    <x v="0"/>
    <x v="0"/>
    <s v="français"/>
    <x v="1"/>
    <n v="0.5"/>
    <n v="0"/>
    <n v="0"/>
    <m/>
    <x v="8"/>
  </r>
  <r>
    <x v="591"/>
    <x v="3"/>
    <x v="0"/>
    <x v="0"/>
    <s v="français"/>
    <x v="2"/>
    <n v="3"/>
    <n v="0"/>
    <n v="0"/>
    <m/>
    <x v="4"/>
  </r>
  <r>
    <x v="592"/>
    <x v="3"/>
    <x v="0"/>
    <x v="1"/>
    <s v="anglais"/>
    <x v="2"/>
    <n v="3"/>
    <n v="1"/>
    <n v="0"/>
    <m/>
    <x v="2"/>
  </r>
  <r>
    <x v="593"/>
    <x v="3"/>
    <x v="1"/>
    <x v="0"/>
    <s v="français"/>
    <x v="0"/>
    <n v="10.5"/>
    <n v="1"/>
    <n v="1"/>
    <m/>
    <x v="6"/>
  </r>
  <r>
    <x v="594"/>
    <x v="3"/>
    <x v="1"/>
    <x v="0"/>
    <s v="français"/>
    <x v="0"/>
    <n v="10.5"/>
    <n v="1"/>
    <n v="0"/>
    <m/>
    <x v="2"/>
  </r>
  <r>
    <x v="595"/>
    <x v="3"/>
    <x v="1"/>
    <x v="0"/>
    <s v="français"/>
    <x v="1"/>
    <n v="0.5"/>
    <n v="0"/>
    <n v="0"/>
    <m/>
    <x v="8"/>
  </r>
  <r>
    <x v="596"/>
    <x v="4"/>
    <x v="1"/>
    <x v="0"/>
    <s v="français"/>
    <x v="0"/>
    <n v="10.5"/>
    <n v="1"/>
    <n v="0"/>
    <m/>
    <x v="2"/>
  </r>
  <r>
    <x v="596"/>
    <x v="4"/>
    <x v="1"/>
    <x v="0"/>
    <s v="français"/>
    <x v="0"/>
    <n v="10.5"/>
    <n v="1"/>
    <n v="0"/>
    <m/>
    <x v="7"/>
  </r>
  <r>
    <x v="597"/>
    <x v="1"/>
    <x v="1"/>
    <x v="0"/>
    <s v="français"/>
    <x v="2"/>
    <n v="3"/>
    <n v="1"/>
    <n v="0"/>
    <m/>
    <x v="2"/>
  </r>
  <r>
    <x v="597"/>
    <x v="1"/>
    <x v="1"/>
    <x v="0"/>
    <s v="français"/>
    <x v="2"/>
    <n v="3"/>
    <n v="1"/>
    <n v="0"/>
    <m/>
    <x v="5"/>
  </r>
  <r>
    <x v="598"/>
    <x v="1"/>
    <x v="1"/>
    <x v="0"/>
    <s v="français"/>
    <x v="2"/>
    <n v="3"/>
    <n v="1"/>
    <n v="0"/>
    <m/>
    <x v="6"/>
  </r>
  <r>
    <x v="598"/>
    <x v="1"/>
    <x v="1"/>
    <x v="0"/>
    <s v="français"/>
    <x v="2"/>
    <n v="3"/>
    <n v="1"/>
    <n v="0"/>
    <m/>
    <x v="5"/>
  </r>
  <r>
    <x v="598"/>
    <x v="1"/>
    <x v="1"/>
    <x v="0"/>
    <s v="français"/>
    <x v="2"/>
    <n v="3"/>
    <n v="1"/>
    <n v="0"/>
    <m/>
    <x v="0"/>
  </r>
  <r>
    <x v="599"/>
    <x v="8"/>
    <x v="1"/>
    <x v="0"/>
    <s v="français"/>
    <x v="2"/>
    <n v="3"/>
    <n v="1"/>
    <n v="0"/>
    <m/>
    <x v="2"/>
  </r>
  <r>
    <x v="600"/>
    <x v="8"/>
    <x v="1"/>
    <x v="0"/>
    <s v="français"/>
    <x v="2"/>
    <n v="3"/>
    <n v="0"/>
    <n v="0"/>
    <m/>
    <x v="3"/>
  </r>
  <r>
    <x v="601"/>
    <x v="8"/>
    <x v="1"/>
    <x v="1"/>
    <s v="français"/>
    <x v="2"/>
    <n v="3"/>
    <n v="0"/>
    <n v="0"/>
    <m/>
    <x v="0"/>
  </r>
  <r>
    <x v="602"/>
    <x v="8"/>
    <x v="1"/>
    <x v="1"/>
    <s v="français"/>
    <x v="2"/>
    <n v="3"/>
    <n v="0"/>
    <n v="0"/>
    <m/>
    <x v="7"/>
  </r>
  <r>
    <x v="602"/>
    <x v="8"/>
    <x v="1"/>
    <x v="1"/>
    <s v="français"/>
    <x v="2"/>
    <n v="3"/>
    <n v="0"/>
    <n v="0"/>
    <m/>
    <x v="0"/>
  </r>
  <r>
    <x v="603"/>
    <x v="8"/>
    <x v="1"/>
    <x v="0"/>
    <s v="français"/>
    <x v="2"/>
    <n v="3"/>
    <n v="0"/>
    <n v="0"/>
    <m/>
    <x v="5"/>
  </r>
  <r>
    <x v="604"/>
    <x v="7"/>
    <x v="2"/>
    <x v="0"/>
    <s v="français"/>
    <x v="3"/>
    <n v="20"/>
    <n v="1"/>
    <n v="0"/>
    <m/>
    <x v="2"/>
  </r>
  <r>
    <x v="604"/>
    <x v="7"/>
    <x v="2"/>
    <x v="0"/>
    <s v="français"/>
    <x v="3"/>
    <n v="20"/>
    <n v="1"/>
    <n v="0"/>
    <m/>
    <x v="5"/>
  </r>
  <r>
    <x v="605"/>
    <x v="7"/>
    <x v="2"/>
    <x v="1"/>
    <s v="français"/>
    <x v="1"/>
    <n v="0.5"/>
    <n v="0"/>
    <n v="0"/>
    <m/>
    <x v="0"/>
  </r>
  <r>
    <x v="606"/>
    <x v="7"/>
    <x v="2"/>
    <x v="0"/>
    <s v="français"/>
    <x v="0"/>
    <n v="10.5"/>
    <n v="0"/>
    <n v="0"/>
    <m/>
    <x v="5"/>
  </r>
  <r>
    <x v="607"/>
    <x v="3"/>
    <x v="2"/>
    <x v="0"/>
    <s v="français"/>
    <x v="2"/>
    <n v="3"/>
    <n v="0"/>
    <n v="0"/>
    <m/>
    <x v="2"/>
  </r>
  <r>
    <x v="608"/>
    <x v="4"/>
    <x v="2"/>
    <x v="0"/>
    <s v="français"/>
    <x v="1"/>
    <n v="0.5"/>
    <n v="0"/>
    <n v="0"/>
    <m/>
    <x v="0"/>
  </r>
  <r>
    <x v="609"/>
    <x v="2"/>
    <x v="2"/>
    <x v="0"/>
    <s v="français"/>
    <x v="0"/>
    <n v="10.5"/>
    <n v="0"/>
    <n v="0"/>
    <m/>
    <x v="3"/>
  </r>
  <r>
    <x v="610"/>
    <x v="8"/>
    <x v="2"/>
    <x v="0"/>
    <s v="français"/>
    <x v="0"/>
    <n v="10.5"/>
    <n v="1"/>
    <n v="0"/>
    <m/>
    <x v="2"/>
  </r>
  <r>
    <x v="611"/>
    <x v="8"/>
    <x v="2"/>
    <x v="0"/>
    <s v="français"/>
    <x v="2"/>
    <n v="3"/>
    <n v="0"/>
    <n v="0"/>
    <m/>
    <x v="3"/>
  </r>
  <r>
    <x v="612"/>
    <x v="8"/>
    <x v="2"/>
    <x v="0"/>
    <s v="français"/>
    <x v="2"/>
    <n v="3"/>
    <n v="0"/>
    <n v="0"/>
    <m/>
    <x v="4"/>
  </r>
  <r>
    <x v="613"/>
    <x v="8"/>
    <x v="2"/>
    <x v="0"/>
    <s v="français"/>
    <x v="1"/>
    <n v="0.5"/>
    <n v="0"/>
    <n v="0"/>
    <m/>
    <x v="0"/>
  </r>
  <r>
    <x v="614"/>
    <x v="8"/>
    <x v="2"/>
    <x v="0"/>
    <s v="français"/>
    <x v="1"/>
    <n v="0.5"/>
    <n v="0"/>
    <n v="0"/>
    <m/>
    <x v="7"/>
  </r>
  <r>
    <x v="615"/>
    <x v="5"/>
    <x v="3"/>
    <x v="0"/>
    <s v="français"/>
    <x v="1"/>
    <n v="0.5"/>
    <n v="0"/>
    <n v="0"/>
    <m/>
    <x v="0"/>
  </r>
  <r>
    <x v="616"/>
    <x v="7"/>
    <x v="3"/>
    <x v="0"/>
    <s v="français"/>
    <x v="2"/>
    <n v="3"/>
    <n v="0"/>
    <n v="0"/>
    <m/>
    <x v="2"/>
  </r>
  <r>
    <x v="617"/>
    <x v="4"/>
    <x v="3"/>
    <x v="0"/>
    <s v="français"/>
    <x v="1"/>
    <n v="0.5"/>
    <n v="0"/>
    <n v="0"/>
    <m/>
    <x v="7"/>
  </r>
  <r>
    <x v="618"/>
    <x v="8"/>
    <x v="3"/>
    <x v="0"/>
    <s v="français"/>
    <x v="2"/>
    <n v="3"/>
    <n v="0"/>
    <n v="0"/>
    <m/>
    <x v="3"/>
  </r>
  <r>
    <x v="619"/>
    <x v="8"/>
    <x v="3"/>
    <x v="0"/>
    <s v="français"/>
    <x v="0"/>
    <n v="10.5"/>
    <n v="0"/>
    <n v="0"/>
    <m/>
    <x v="3"/>
  </r>
  <r>
    <x v="620"/>
    <x v="8"/>
    <x v="3"/>
    <x v="0"/>
    <s v="français"/>
    <x v="2"/>
    <n v="3"/>
    <n v="1"/>
    <n v="0"/>
    <m/>
    <x v="2"/>
  </r>
  <r>
    <x v="621"/>
    <x v="8"/>
    <x v="3"/>
    <x v="0"/>
    <s v="français"/>
    <x v="2"/>
    <n v="3"/>
    <n v="0"/>
    <n v="0"/>
    <m/>
    <x v="2"/>
  </r>
  <r>
    <x v="622"/>
    <x v="8"/>
    <x v="3"/>
    <x v="0"/>
    <s v="français"/>
    <x v="1"/>
    <n v="0.5"/>
    <n v="0"/>
    <n v="0"/>
    <m/>
    <x v="0"/>
  </r>
  <r>
    <x v="623"/>
    <x v="8"/>
    <x v="3"/>
    <x v="0"/>
    <s v="français"/>
    <x v="1"/>
    <n v="0.5"/>
    <n v="0"/>
    <n v="0"/>
    <m/>
    <x v="0"/>
  </r>
  <r>
    <x v="624"/>
    <x v="8"/>
    <x v="3"/>
    <x v="0"/>
    <s v="français"/>
    <x v="2"/>
    <n v="3"/>
    <n v="0"/>
    <n v="0"/>
    <m/>
    <x v="7"/>
  </r>
  <r>
    <x v="625"/>
    <x v="0"/>
    <x v="4"/>
    <x v="0"/>
    <s v="français"/>
    <x v="1"/>
    <n v="0.5"/>
    <n v="0"/>
    <n v="0"/>
    <s v="Où sont les toilettes ?"/>
    <x v="7"/>
  </r>
  <r>
    <x v="626"/>
    <x v="0"/>
    <x v="4"/>
    <x v="0"/>
    <s v="français"/>
    <x v="2"/>
    <n v="3"/>
    <n v="0"/>
    <n v="0"/>
    <s v="Lectrice envoyée en face aux Bastions car livre des Bastions souhaité"/>
    <x v="2"/>
  </r>
  <r>
    <x v="626"/>
    <x v="0"/>
    <x v="4"/>
    <x v="0"/>
    <s v="français"/>
    <x v="2"/>
    <n v="3"/>
    <n v="0"/>
    <n v="0"/>
    <s v="Lectrice envoyée en face aux Bastions car livre des Bastions souhaité"/>
    <x v="1"/>
  </r>
  <r>
    <x v="627"/>
    <x v="0"/>
    <x v="4"/>
    <x v="0"/>
    <s v="français"/>
    <x v="2"/>
    <n v="3"/>
    <n v="0"/>
    <n v="0"/>
    <m/>
    <x v="8"/>
  </r>
  <r>
    <x v="627"/>
    <x v="0"/>
    <x v="4"/>
    <x v="0"/>
    <s v="français"/>
    <x v="2"/>
    <n v="3"/>
    <n v="0"/>
    <n v="0"/>
    <m/>
    <x v="7"/>
  </r>
  <r>
    <x v="628"/>
    <x v="0"/>
    <x v="4"/>
    <x v="0"/>
    <s v="français"/>
    <x v="1"/>
    <n v="0.5"/>
    <n v="0"/>
    <n v="0"/>
    <m/>
    <x v="7"/>
  </r>
  <r>
    <x v="629"/>
    <x v="7"/>
    <x v="4"/>
    <x v="0"/>
    <s v="français"/>
    <x v="2"/>
    <n v="3"/>
    <n v="0"/>
    <n v="0"/>
    <m/>
    <x v="4"/>
  </r>
  <r>
    <x v="630"/>
    <x v="3"/>
    <x v="5"/>
    <x v="0"/>
    <s v="anglais"/>
    <x v="0"/>
    <n v="10.5"/>
    <n v="0"/>
    <n v="0"/>
    <m/>
    <x v="4"/>
  </r>
  <r>
    <x v="631"/>
    <x v="4"/>
    <x v="5"/>
    <x v="0"/>
    <s v="français"/>
    <x v="0"/>
    <n v="10.5"/>
    <n v="0"/>
    <n v="0"/>
    <m/>
    <x v="3"/>
  </r>
  <r>
    <x v="632"/>
    <x v="4"/>
    <x v="5"/>
    <x v="0"/>
    <s v="français"/>
    <x v="1"/>
    <n v="0.5"/>
    <n v="0"/>
    <n v="0"/>
    <m/>
    <x v="0"/>
  </r>
  <r>
    <x v="633"/>
    <x v="1"/>
    <x v="5"/>
    <x v="0"/>
    <s v="français"/>
    <x v="2"/>
    <n v="3"/>
    <n v="0"/>
    <n v="0"/>
    <m/>
    <x v="2"/>
  </r>
  <r>
    <x v="634"/>
    <x v="1"/>
    <x v="5"/>
    <x v="1"/>
    <s v="français"/>
    <x v="2"/>
    <n v="3"/>
    <n v="0"/>
    <n v="0"/>
    <s v="Droit Moyen Âge France"/>
    <x v="6"/>
  </r>
  <r>
    <x v="635"/>
    <x v="2"/>
    <x v="5"/>
    <x v="0"/>
    <s v="français"/>
    <x v="2"/>
    <n v="3"/>
    <n v="0"/>
    <n v="0"/>
    <m/>
    <x v="4"/>
  </r>
  <r>
    <x v="636"/>
    <x v="2"/>
    <x v="5"/>
    <x v="0"/>
    <s v="français"/>
    <x v="2"/>
    <n v="3"/>
    <n v="0"/>
    <n v="0"/>
    <m/>
    <x v="8"/>
  </r>
  <r>
    <x v="637"/>
    <x v="2"/>
    <x v="5"/>
    <x v="0"/>
    <s v="français"/>
    <x v="1"/>
    <n v="0.5"/>
    <n v="0"/>
    <n v="0"/>
    <m/>
    <x v="0"/>
  </r>
  <r>
    <x v="638"/>
    <x v="2"/>
    <x v="5"/>
    <x v="0"/>
    <s v="français"/>
    <x v="2"/>
    <n v="3"/>
    <n v="0"/>
    <n v="0"/>
    <s v="Réservation salle"/>
    <x v="7"/>
  </r>
  <r>
    <x v="638"/>
    <x v="2"/>
    <x v="5"/>
    <x v="0"/>
    <s v="français"/>
    <x v="2"/>
    <n v="3"/>
    <n v="0"/>
    <n v="0"/>
    <s v="Réservation salle"/>
    <x v="0"/>
  </r>
  <r>
    <x v="639"/>
    <x v="6"/>
    <x v="5"/>
    <x v="0"/>
    <s v="français"/>
    <x v="0"/>
    <n v="10.5"/>
    <n v="0"/>
    <n v="0"/>
    <m/>
    <x v="8"/>
  </r>
  <r>
    <x v="640"/>
    <x v="6"/>
    <x v="5"/>
    <x v="0"/>
    <s v="français"/>
    <x v="1"/>
    <n v="0.5"/>
    <n v="0"/>
    <n v="0"/>
    <s v="vers le prêt"/>
    <x v="0"/>
  </r>
  <r>
    <x v="641"/>
    <x v="6"/>
    <x v="5"/>
    <x v="0"/>
    <s v="français"/>
    <x v="2"/>
    <n v="3"/>
    <n v="0"/>
    <n v="0"/>
    <s v="Login Mondo pc"/>
    <x v="7"/>
  </r>
  <r>
    <x v="642"/>
    <x v="3"/>
    <x v="0"/>
    <x v="0"/>
    <s v="français"/>
    <x v="0"/>
    <n v="10.5"/>
    <n v="0"/>
    <n v="0"/>
    <m/>
    <x v="3"/>
  </r>
  <r>
    <x v="643"/>
    <x v="1"/>
    <x v="0"/>
    <x v="0"/>
    <s v="français"/>
    <x v="2"/>
    <n v="3"/>
    <n v="0"/>
    <n v="0"/>
    <m/>
    <x v="4"/>
  </r>
  <r>
    <x v="644"/>
    <x v="1"/>
    <x v="0"/>
    <x v="0"/>
    <s v="français"/>
    <x v="3"/>
    <n v="20"/>
    <n v="0"/>
    <n v="0"/>
    <m/>
    <x v="3"/>
  </r>
  <r>
    <x v="645"/>
    <x v="0"/>
    <x v="1"/>
    <x v="0"/>
    <s v="français"/>
    <x v="3"/>
    <n v="20"/>
    <n v="1"/>
    <n v="0"/>
    <m/>
    <x v="6"/>
  </r>
  <r>
    <x v="645"/>
    <x v="0"/>
    <x v="1"/>
    <x v="0"/>
    <s v="français"/>
    <x v="3"/>
    <n v="20"/>
    <n v="1"/>
    <n v="0"/>
    <m/>
    <x v="3"/>
  </r>
  <r>
    <x v="645"/>
    <x v="0"/>
    <x v="1"/>
    <x v="0"/>
    <s v="français"/>
    <x v="3"/>
    <n v="20"/>
    <n v="1"/>
    <n v="0"/>
    <m/>
    <x v="5"/>
  </r>
  <r>
    <x v="645"/>
    <x v="0"/>
    <x v="1"/>
    <x v="0"/>
    <s v="français"/>
    <x v="3"/>
    <n v="20"/>
    <n v="1"/>
    <n v="0"/>
    <m/>
    <x v="7"/>
  </r>
  <r>
    <x v="646"/>
    <x v="0"/>
    <x v="1"/>
    <x v="0"/>
    <s v="français"/>
    <x v="2"/>
    <n v="3"/>
    <n v="0"/>
    <n v="0"/>
    <s v="Connexion wi-fi"/>
    <x v="1"/>
  </r>
  <r>
    <x v="647"/>
    <x v="3"/>
    <x v="1"/>
    <x v="0"/>
    <s v="français"/>
    <x v="0"/>
    <n v="10.5"/>
    <n v="1"/>
    <n v="0"/>
    <m/>
    <x v="3"/>
  </r>
  <r>
    <x v="648"/>
    <x v="3"/>
    <x v="1"/>
    <x v="0"/>
    <s v="français"/>
    <x v="0"/>
    <n v="10.5"/>
    <n v="0"/>
    <n v="0"/>
    <m/>
    <x v="4"/>
  </r>
  <r>
    <x v="648"/>
    <x v="3"/>
    <x v="1"/>
    <x v="0"/>
    <s v="français"/>
    <x v="0"/>
    <n v="10.5"/>
    <n v="0"/>
    <n v="0"/>
    <m/>
    <x v="8"/>
  </r>
  <r>
    <x v="649"/>
    <x v="3"/>
    <x v="1"/>
    <x v="0"/>
    <s v="français"/>
    <x v="2"/>
    <n v="3"/>
    <n v="0"/>
    <n v="0"/>
    <m/>
    <x v="7"/>
  </r>
  <r>
    <x v="650"/>
    <x v="1"/>
    <x v="1"/>
    <x v="0"/>
    <s v="français"/>
    <x v="0"/>
    <n v="10.5"/>
    <n v="1"/>
    <n v="0"/>
    <m/>
    <x v="3"/>
  </r>
  <r>
    <x v="650"/>
    <x v="1"/>
    <x v="1"/>
    <x v="0"/>
    <s v="français"/>
    <x v="0"/>
    <n v="10.5"/>
    <n v="1"/>
    <n v="0"/>
    <m/>
    <x v="7"/>
  </r>
  <r>
    <x v="651"/>
    <x v="1"/>
    <x v="1"/>
    <x v="0"/>
    <s v="français"/>
    <x v="2"/>
    <n v="3"/>
    <n v="0"/>
    <n v="0"/>
    <m/>
    <x v="7"/>
  </r>
  <r>
    <x v="652"/>
    <x v="2"/>
    <x v="1"/>
    <x v="0"/>
    <s v="français"/>
    <x v="2"/>
    <n v="3"/>
    <n v="0"/>
    <n v="0"/>
    <m/>
    <x v="4"/>
  </r>
  <r>
    <x v="653"/>
    <x v="8"/>
    <x v="1"/>
    <x v="0"/>
    <s v="français"/>
    <x v="2"/>
    <n v="3"/>
    <n v="0"/>
    <n v="0"/>
    <m/>
    <x v="4"/>
  </r>
  <r>
    <x v="654"/>
    <x v="8"/>
    <x v="1"/>
    <x v="0"/>
    <s v="français"/>
    <x v="2"/>
    <n v="3"/>
    <n v="0"/>
    <n v="0"/>
    <m/>
    <x v="4"/>
  </r>
  <r>
    <x v="655"/>
    <x v="8"/>
    <x v="1"/>
    <x v="0"/>
    <s v="français"/>
    <x v="2"/>
    <n v="3"/>
    <n v="0"/>
    <n v="0"/>
    <m/>
    <x v="3"/>
  </r>
  <r>
    <x v="656"/>
    <x v="8"/>
    <x v="1"/>
    <x v="0"/>
    <s v="français"/>
    <x v="2"/>
    <n v="3"/>
    <n v="0"/>
    <n v="0"/>
    <m/>
    <x v="8"/>
  </r>
  <r>
    <x v="657"/>
    <x v="8"/>
    <x v="1"/>
    <x v="0"/>
    <s v="français"/>
    <x v="1"/>
    <n v="0.5"/>
    <n v="0"/>
    <n v="0"/>
    <m/>
    <x v="0"/>
  </r>
  <r>
    <x v="658"/>
    <x v="5"/>
    <x v="2"/>
    <x v="0"/>
    <s v="anglais"/>
    <x v="0"/>
    <n v="10.5"/>
    <n v="1"/>
    <n v="0"/>
    <m/>
    <x v="3"/>
  </r>
  <r>
    <x v="659"/>
    <x v="5"/>
    <x v="2"/>
    <x v="0"/>
    <s v="français"/>
    <x v="0"/>
    <n v="10.5"/>
    <n v="1"/>
    <n v="0"/>
    <m/>
    <x v="2"/>
  </r>
  <r>
    <x v="659"/>
    <x v="5"/>
    <x v="2"/>
    <x v="0"/>
    <s v="français"/>
    <x v="0"/>
    <n v="10.5"/>
    <n v="1"/>
    <n v="0"/>
    <m/>
    <x v="5"/>
  </r>
  <r>
    <x v="660"/>
    <x v="5"/>
    <x v="2"/>
    <x v="0"/>
    <s v="français"/>
    <x v="1"/>
    <n v="0.5"/>
    <n v="0"/>
    <n v="0"/>
    <m/>
    <x v="0"/>
  </r>
  <r>
    <x v="661"/>
    <x v="3"/>
    <x v="2"/>
    <x v="0"/>
    <s v="français"/>
    <x v="2"/>
    <n v="3"/>
    <n v="0"/>
    <n v="0"/>
    <m/>
    <x v="7"/>
  </r>
  <r>
    <x v="662"/>
    <x v="3"/>
    <x v="2"/>
    <x v="0"/>
    <s v="français"/>
    <x v="0"/>
    <n v="10.5"/>
    <n v="1"/>
    <n v="1"/>
    <m/>
    <x v="6"/>
  </r>
  <r>
    <x v="663"/>
    <x v="3"/>
    <x v="2"/>
    <x v="0"/>
    <s v="français"/>
    <x v="2"/>
    <n v="3"/>
    <n v="0"/>
    <n v="0"/>
    <m/>
    <x v="7"/>
  </r>
  <r>
    <x v="664"/>
    <x v="1"/>
    <x v="2"/>
    <x v="0"/>
    <s v="français"/>
    <x v="3"/>
    <n v="20"/>
    <n v="1"/>
    <n v="0"/>
    <s v="Livres de Michelle Maurois (fille d'André Maurois)"/>
    <x v="2"/>
  </r>
  <r>
    <x v="665"/>
    <x v="1"/>
    <x v="2"/>
    <x v="0"/>
    <s v="français"/>
    <x v="1"/>
    <n v="0.5"/>
    <n v="0"/>
    <n v="0"/>
    <s v="retour casque "/>
    <x v="1"/>
  </r>
  <r>
    <x v="666"/>
    <x v="1"/>
    <x v="2"/>
    <x v="0"/>
    <s v="français"/>
    <x v="0"/>
    <n v="10.5"/>
    <n v="0"/>
    <n v="0"/>
    <s v="Où trouver des livres sur l'électricité (normes CH, etc.) -&gt; Bibliothèque de l'HEPIA / Bibliothèque UNIGE Science 2"/>
    <x v="1"/>
  </r>
  <r>
    <x v="667"/>
    <x v="0"/>
    <x v="3"/>
    <x v="0"/>
    <s v="français"/>
    <x v="0"/>
    <n v="10.5"/>
    <n v="1"/>
    <n v="0"/>
    <m/>
    <x v="6"/>
  </r>
  <r>
    <x v="668"/>
    <x v="7"/>
    <x v="3"/>
    <x v="0"/>
    <s v="anglais"/>
    <x v="1"/>
    <n v="0.5"/>
    <n v="0"/>
    <n v="0"/>
    <m/>
    <x v="0"/>
  </r>
  <r>
    <x v="669"/>
    <x v="4"/>
    <x v="3"/>
    <x v="1"/>
    <s v="français"/>
    <x v="3"/>
    <n v="20"/>
    <n v="1"/>
    <n v="0"/>
    <m/>
    <x v="2"/>
  </r>
  <r>
    <x v="670"/>
    <x v="1"/>
    <x v="3"/>
    <x v="0"/>
    <s v="français"/>
    <x v="2"/>
    <n v="3"/>
    <n v="0"/>
    <n v="0"/>
    <m/>
    <x v="7"/>
  </r>
  <r>
    <x v="671"/>
    <x v="8"/>
    <x v="3"/>
    <x v="0"/>
    <s v="français"/>
    <x v="2"/>
    <n v="3"/>
    <n v="0"/>
    <n v="0"/>
    <m/>
    <x v="3"/>
  </r>
  <r>
    <x v="672"/>
    <x v="8"/>
    <x v="3"/>
    <x v="0"/>
    <s v="français"/>
    <x v="2"/>
    <n v="3"/>
    <n v="0"/>
    <n v="0"/>
    <m/>
    <x v="3"/>
  </r>
  <r>
    <x v="673"/>
    <x v="8"/>
    <x v="3"/>
    <x v="0"/>
    <s v="français"/>
    <x v="2"/>
    <n v="3"/>
    <n v="0"/>
    <n v="0"/>
    <m/>
    <x v="5"/>
  </r>
  <r>
    <x v="674"/>
    <x v="8"/>
    <x v="3"/>
    <x v="0"/>
    <s v="français"/>
    <x v="2"/>
    <n v="3"/>
    <n v="0"/>
    <n v="0"/>
    <m/>
    <x v="5"/>
  </r>
  <r>
    <x v="675"/>
    <x v="8"/>
    <x v="3"/>
    <x v="0"/>
    <s v="français"/>
    <x v="2"/>
    <n v="3"/>
    <n v="0"/>
    <n v="0"/>
    <m/>
    <x v="7"/>
  </r>
  <r>
    <x v="676"/>
    <x v="8"/>
    <x v="3"/>
    <x v="0"/>
    <s v="français"/>
    <x v="1"/>
    <n v="0.5"/>
    <n v="0"/>
    <n v="0"/>
    <m/>
    <x v="0"/>
  </r>
  <r>
    <x v="677"/>
    <x v="8"/>
    <x v="3"/>
    <x v="0"/>
    <s v="français"/>
    <x v="1"/>
    <n v="0.5"/>
    <n v="1"/>
    <n v="0"/>
    <m/>
    <x v="2"/>
  </r>
  <r>
    <x v="678"/>
    <x v="5"/>
    <x v="4"/>
    <x v="0"/>
    <s v="français"/>
    <x v="0"/>
    <n v="10.5"/>
    <n v="1"/>
    <n v="1"/>
    <s v="Revue Le Muséon jusqu'alors à Bonivard - le lecteur voulait consulter toute la série à la salle Bonivard jusqu'à récemment et désormais en magasin Bonivard. Dernier numéro en salle des périodes présenté."/>
    <x v="2"/>
  </r>
  <r>
    <x v="679"/>
    <x v="7"/>
    <x v="4"/>
    <x v="0"/>
    <s v="français"/>
    <x v="3"/>
    <n v="20"/>
    <n v="0"/>
    <n v="0"/>
    <m/>
    <x v="3"/>
  </r>
  <r>
    <x v="680"/>
    <x v="7"/>
    <x v="4"/>
    <x v="0"/>
    <s v="français"/>
    <x v="0"/>
    <n v="10.5"/>
    <n v="1"/>
    <n v="0"/>
    <s v="Histoire économique genevoise"/>
    <x v="6"/>
  </r>
  <r>
    <x v="681"/>
    <x v="3"/>
    <x v="4"/>
    <x v="0"/>
    <s v="français"/>
    <x v="0"/>
    <n v="10.5"/>
    <n v="0"/>
    <n v="0"/>
    <m/>
    <x v="3"/>
  </r>
  <r>
    <x v="682"/>
    <x v="3"/>
    <x v="5"/>
    <x v="0"/>
    <s v="français"/>
    <x v="2"/>
    <n v="3"/>
    <n v="0"/>
    <n v="0"/>
    <m/>
    <x v="3"/>
  </r>
  <r>
    <x v="683"/>
    <x v="4"/>
    <x v="5"/>
    <x v="0"/>
    <s v="français"/>
    <x v="3"/>
    <n v="20"/>
    <n v="0"/>
    <n v="0"/>
    <m/>
    <x v="2"/>
  </r>
  <r>
    <x v="683"/>
    <x v="4"/>
    <x v="5"/>
    <x v="0"/>
    <s v="français"/>
    <x v="3"/>
    <n v="20"/>
    <n v="0"/>
    <n v="0"/>
    <m/>
    <x v="3"/>
  </r>
  <r>
    <x v="683"/>
    <x v="4"/>
    <x v="5"/>
    <x v="0"/>
    <s v="français"/>
    <x v="3"/>
    <n v="20"/>
    <n v="0"/>
    <n v="0"/>
    <m/>
    <x v="4"/>
  </r>
  <r>
    <x v="684"/>
    <x v="1"/>
    <x v="5"/>
    <x v="0"/>
    <s v="anglais"/>
    <x v="2"/>
    <n v="3"/>
    <n v="0"/>
    <n v="0"/>
    <m/>
    <x v="7"/>
  </r>
  <r>
    <x v="685"/>
    <x v="1"/>
    <x v="5"/>
    <x v="0"/>
    <s v="anglais"/>
    <x v="2"/>
    <n v="3"/>
    <n v="0"/>
    <n v="0"/>
    <s v="Réservation d'une salle pour événement =&gt; contacter la communication"/>
    <x v="1"/>
  </r>
  <r>
    <x v="686"/>
    <x v="1"/>
    <x v="5"/>
    <x v="0"/>
    <s v="français"/>
    <x v="0"/>
    <n v="10.5"/>
    <n v="0"/>
    <n v="0"/>
    <s v="Emprunt dictionnaire"/>
    <x v="2"/>
  </r>
  <r>
    <x v="686"/>
    <x v="1"/>
    <x v="5"/>
    <x v="0"/>
    <s v="français"/>
    <x v="0"/>
    <n v="10.5"/>
    <n v="0"/>
    <n v="0"/>
    <s v="Emprunt dictionnaire"/>
    <x v="3"/>
  </r>
  <r>
    <x v="686"/>
    <x v="1"/>
    <x v="5"/>
    <x v="0"/>
    <s v="français"/>
    <x v="0"/>
    <n v="10.5"/>
    <n v="0"/>
    <n v="0"/>
    <s v="Emprunt dictionnaire"/>
    <x v="5"/>
  </r>
  <r>
    <x v="687"/>
    <x v="1"/>
    <x v="5"/>
    <x v="0"/>
    <s v="anglais"/>
    <x v="0"/>
    <n v="10.5"/>
    <n v="0"/>
    <n v="0"/>
    <m/>
    <x v="3"/>
  </r>
  <r>
    <x v="688"/>
    <x v="2"/>
    <x v="5"/>
    <x v="0"/>
    <s v="français"/>
    <x v="2"/>
    <n v="3"/>
    <n v="0"/>
    <n v="0"/>
    <s v="Connexion wifi"/>
    <x v="8"/>
  </r>
  <r>
    <x v="689"/>
    <x v="2"/>
    <x v="5"/>
    <x v="0"/>
    <s v="français"/>
    <x v="1"/>
    <n v="0.5"/>
    <n v="0"/>
    <n v="0"/>
    <m/>
    <x v="0"/>
  </r>
  <r>
    <x v="690"/>
    <x v="1"/>
    <x v="0"/>
    <x v="1"/>
    <s v="français"/>
    <x v="0"/>
    <n v="10.5"/>
    <n v="0"/>
    <n v="0"/>
    <m/>
    <x v="3"/>
  </r>
  <r>
    <x v="691"/>
    <x v="1"/>
    <x v="0"/>
    <x v="0"/>
    <s v="français"/>
    <x v="2"/>
    <n v="3"/>
    <n v="0"/>
    <n v="0"/>
    <s v="Usager mangeant des chips dans la Salle des périodiques et dérangeant une usagère par le bruit (Aymen appelé)"/>
    <x v="1"/>
  </r>
  <r>
    <x v="692"/>
    <x v="1"/>
    <x v="0"/>
    <x v="0"/>
    <s v="français"/>
    <x v="1"/>
    <n v="0.5"/>
    <n v="0"/>
    <n v="0"/>
    <m/>
    <x v="0"/>
  </r>
  <r>
    <x v="693"/>
    <x v="1"/>
    <x v="0"/>
    <x v="0"/>
    <s v="français"/>
    <x v="1"/>
    <n v="0.5"/>
    <n v="0"/>
    <n v="0"/>
    <s v="Argent pour machine à café"/>
    <x v="1"/>
  </r>
  <r>
    <x v="694"/>
    <x v="8"/>
    <x v="0"/>
    <x v="0"/>
    <s v="français"/>
    <x v="2"/>
    <n v="3"/>
    <n v="0"/>
    <n v="0"/>
    <m/>
    <x v="3"/>
  </r>
  <r>
    <x v="695"/>
    <x v="8"/>
    <x v="0"/>
    <x v="0"/>
    <s v="français"/>
    <x v="1"/>
    <n v="0.5"/>
    <n v="0"/>
    <n v="0"/>
    <m/>
    <x v="0"/>
  </r>
  <r>
    <x v="696"/>
    <x v="8"/>
    <x v="0"/>
    <x v="0"/>
    <s v="français"/>
    <x v="2"/>
    <n v="3"/>
    <n v="0"/>
    <n v="0"/>
    <m/>
    <x v="7"/>
  </r>
  <r>
    <x v="697"/>
    <x v="7"/>
    <x v="1"/>
    <x v="0"/>
    <s v="français"/>
    <x v="0"/>
    <n v="10.5"/>
    <n v="1"/>
    <n v="0"/>
    <m/>
    <x v="3"/>
  </r>
  <r>
    <x v="697"/>
    <x v="7"/>
    <x v="1"/>
    <x v="0"/>
    <s v="français"/>
    <x v="0"/>
    <n v="10.5"/>
    <n v="1"/>
    <n v="0"/>
    <m/>
    <x v="7"/>
  </r>
  <r>
    <x v="698"/>
    <x v="1"/>
    <x v="1"/>
    <x v="0"/>
    <s v="français"/>
    <x v="2"/>
    <n v="3"/>
    <n v="0"/>
    <n v="0"/>
    <m/>
    <x v="4"/>
  </r>
  <r>
    <x v="699"/>
    <x v="8"/>
    <x v="1"/>
    <x v="0"/>
    <s v="français"/>
    <x v="2"/>
    <n v="3"/>
    <n v="1"/>
    <n v="0"/>
    <m/>
    <x v="2"/>
  </r>
  <r>
    <x v="700"/>
    <x v="8"/>
    <x v="1"/>
    <x v="0"/>
    <s v="français"/>
    <x v="2"/>
    <n v="3"/>
    <n v="0"/>
    <n v="0"/>
    <m/>
    <x v="8"/>
  </r>
  <r>
    <x v="701"/>
    <x v="8"/>
    <x v="1"/>
    <x v="0"/>
    <s v="français"/>
    <x v="1"/>
    <n v="0.5"/>
    <n v="0"/>
    <n v="0"/>
    <m/>
    <x v="0"/>
  </r>
  <r>
    <x v="702"/>
    <x v="8"/>
    <x v="1"/>
    <x v="0"/>
    <s v="français"/>
    <x v="2"/>
    <n v="3"/>
    <n v="1"/>
    <n v="0"/>
    <m/>
    <x v="2"/>
  </r>
  <r>
    <x v="703"/>
    <x v="5"/>
    <x v="2"/>
    <x v="1"/>
    <s v="français"/>
    <x v="2"/>
    <n v="3"/>
    <n v="0"/>
    <n v="0"/>
    <s v="Cherchait des informations mais pour l'UNIGE"/>
    <x v="1"/>
  </r>
  <r>
    <x v="704"/>
    <x v="5"/>
    <x v="2"/>
    <x v="0"/>
    <s v="français"/>
    <x v="2"/>
    <n v="3"/>
    <n v="0"/>
    <n v="0"/>
    <m/>
    <x v="2"/>
  </r>
  <r>
    <x v="705"/>
    <x v="5"/>
    <x v="2"/>
    <x v="1"/>
    <s v="français"/>
    <x v="0"/>
    <n v="10.5"/>
    <n v="1"/>
    <n v="0"/>
    <m/>
    <x v="2"/>
  </r>
  <r>
    <x v="706"/>
    <x v="5"/>
    <x v="2"/>
    <x v="0"/>
    <s v="français"/>
    <x v="1"/>
    <n v="0.5"/>
    <n v="0"/>
    <n v="0"/>
    <m/>
    <x v="7"/>
  </r>
  <r>
    <x v="707"/>
    <x v="0"/>
    <x v="2"/>
    <x v="0"/>
    <s v="français"/>
    <x v="0"/>
    <n v="10.5"/>
    <n v="0"/>
    <n v="0"/>
    <m/>
    <x v="2"/>
  </r>
  <r>
    <x v="708"/>
    <x v="0"/>
    <x v="2"/>
    <x v="1"/>
    <s v="français"/>
    <x v="0"/>
    <n v="10.5"/>
    <n v="1"/>
    <n v="1"/>
    <m/>
    <x v="2"/>
  </r>
  <r>
    <x v="709"/>
    <x v="1"/>
    <x v="2"/>
    <x v="0"/>
    <s v="français"/>
    <x v="2"/>
    <n v="3"/>
    <n v="0"/>
    <n v="0"/>
    <m/>
    <x v="4"/>
  </r>
  <r>
    <x v="710"/>
    <x v="2"/>
    <x v="2"/>
    <x v="0"/>
    <s v="français"/>
    <x v="2"/>
    <n v="3"/>
    <n v="1"/>
    <n v="0"/>
    <m/>
    <x v="2"/>
  </r>
  <r>
    <x v="711"/>
    <x v="5"/>
    <x v="3"/>
    <x v="0"/>
    <s v="français"/>
    <x v="1"/>
    <n v="0.5"/>
    <n v="0"/>
    <n v="0"/>
    <m/>
    <x v="7"/>
  </r>
  <r>
    <x v="712"/>
    <x v="7"/>
    <x v="3"/>
    <x v="0"/>
    <s v="français"/>
    <x v="2"/>
    <n v="3"/>
    <n v="0"/>
    <n v="0"/>
    <m/>
    <x v="4"/>
  </r>
  <r>
    <x v="713"/>
    <x v="3"/>
    <x v="3"/>
    <x v="1"/>
    <s v="français"/>
    <x v="0"/>
    <n v="10.5"/>
    <n v="1"/>
    <n v="0"/>
    <m/>
    <x v="2"/>
  </r>
  <r>
    <x v="714"/>
    <x v="4"/>
    <x v="3"/>
    <x v="1"/>
    <s v="français"/>
    <x v="0"/>
    <n v="10.5"/>
    <n v="0"/>
    <n v="0"/>
    <s v="Presse genevoise"/>
    <x v="2"/>
  </r>
  <r>
    <x v="715"/>
    <x v="6"/>
    <x v="3"/>
    <x v="0"/>
    <s v="français"/>
    <x v="2"/>
    <n v="3"/>
    <n v="0"/>
    <n v="0"/>
    <s v="ascenseur"/>
    <x v="1"/>
  </r>
  <r>
    <x v="716"/>
    <x v="6"/>
    <x v="3"/>
    <x v="0"/>
    <s v="français"/>
    <x v="2"/>
    <n v="3"/>
    <n v="1"/>
    <n v="0"/>
    <m/>
    <x v="2"/>
  </r>
  <r>
    <x v="717"/>
    <x v="6"/>
    <x v="3"/>
    <x v="0"/>
    <s v="français"/>
    <x v="2"/>
    <n v="3"/>
    <n v="1"/>
    <n v="0"/>
    <m/>
    <x v="2"/>
  </r>
  <r>
    <x v="718"/>
    <x v="7"/>
    <x v="4"/>
    <x v="0"/>
    <s v="français"/>
    <x v="0"/>
    <n v="10.5"/>
    <n v="1"/>
    <n v="0"/>
    <m/>
    <x v="2"/>
  </r>
  <r>
    <x v="719"/>
    <x v="7"/>
    <x v="4"/>
    <x v="0"/>
    <s v="français"/>
    <x v="2"/>
    <n v="3"/>
    <n v="0"/>
    <n v="0"/>
    <m/>
    <x v="0"/>
  </r>
  <r>
    <x v="720"/>
    <x v="7"/>
    <x v="4"/>
    <x v="1"/>
    <s v="français"/>
    <x v="2"/>
    <n v="3"/>
    <n v="0"/>
    <n v="0"/>
    <m/>
    <x v="1"/>
  </r>
  <r>
    <x v="721"/>
    <x v="0"/>
    <x v="5"/>
    <x v="0"/>
    <s v="français"/>
    <x v="0"/>
    <n v="10.5"/>
    <n v="0"/>
    <n v="0"/>
    <s v="Impressions"/>
    <x v="8"/>
  </r>
  <r>
    <x v="722"/>
    <x v="0"/>
    <x v="5"/>
    <x v="0"/>
    <s v="français"/>
    <x v="2"/>
    <n v="3"/>
    <n v="0"/>
    <n v="0"/>
    <s v="Impression"/>
    <x v="8"/>
  </r>
  <r>
    <x v="723"/>
    <x v="0"/>
    <x v="5"/>
    <x v="0"/>
    <s v="français"/>
    <x v="0"/>
    <n v="10.5"/>
    <n v="0"/>
    <n v="0"/>
    <m/>
    <x v="5"/>
  </r>
  <r>
    <x v="724"/>
    <x v="7"/>
    <x v="5"/>
    <x v="0"/>
    <s v="français"/>
    <x v="3"/>
    <n v="20"/>
    <n v="1"/>
    <n v="0"/>
    <m/>
    <x v="3"/>
  </r>
  <r>
    <x v="724"/>
    <x v="7"/>
    <x v="5"/>
    <x v="0"/>
    <s v="français"/>
    <x v="3"/>
    <n v="20"/>
    <n v="1"/>
    <n v="0"/>
    <m/>
    <x v="7"/>
  </r>
  <r>
    <x v="725"/>
    <x v="3"/>
    <x v="5"/>
    <x v="0"/>
    <s v="français"/>
    <x v="0"/>
    <n v="10.5"/>
    <n v="0"/>
    <n v="0"/>
    <m/>
    <x v="4"/>
  </r>
  <r>
    <x v="726"/>
    <x v="3"/>
    <x v="5"/>
    <x v="0"/>
    <s v="français"/>
    <x v="0"/>
    <n v="10.5"/>
    <n v="1"/>
    <n v="0"/>
    <m/>
    <x v="6"/>
  </r>
  <r>
    <x v="727"/>
    <x v="3"/>
    <x v="5"/>
    <x v="0"/>
    <s v="français"/>
    <x v="3"/>
    <n v="20"/>
    <n v="1"/>
    <n v="0"/>
    <m/>
    <x v="3"/>
  </r>
  <r>
    <x v="727"/>
    <x v="3"/>
    <x v="5"/>
    <x v="0"/>
    <s v="français"/>
    <x v="3"/>
    <n v="20"/>
    <n v="1"/>
    <n v="0"/>
    <m/>
    <x v="7"/>
  </r>
  <r>
    <x v="728"/>
    <x v="4"/>
    <x v="5"/>
    <x v="0"/>
    <s v="français"/>
    <x v="1"/>
    <n v="0.5"/>
    <n v="0"/>
    <n v="0"/>
    <m/>
    <x v="0"/>
  </r>
  <r>
    <x v="729"/>
    <x v="4"/>
    <x v="5"/>
    <x v="0"/>
    <s v="français"/>
    <x v="2"/>
    <n v="3"/>
    <n v="0"/>
    <n v="0"/>
    <m/>
    <x v="8"/>
  </r>
  <r>
    <x v="730"/>
    <x v="4"/>
    <x v="5"/>
    <x v="1"/>
    <s v="français"/>
    <x v="2"/>
    <n v="3"/>
    <n v="0"/>
    <n v="0"/>
    <s v="Recherche sur une loi votée en 1977 =&gt; redirigé sur interroge et les archives de la ville / de l'état"/>
    <x v="6"/>
  </r>
  <r>
    <x v="730"/>
    <x v="4"/>
    <x v="5"/>
    <x v="1"/>
    <s v="français"/>
    <x v="2"/>
    <n v="3"/>
    <n v="0"/>
    <n v="0"/>
    <s v="Recherche sur une loi votée en 1977 =&gt; redirigé sur interroge et les archives de la ville / de l'état"/>
    <x v="7"/>
  </r>
  <r>
    <x v="731"/>
    <x v="4"/>
    <x v="5"/>
    <x v="0"/>
    <s v="français"/>
    <x v="1"/>
    <n v="0.5"/>
    <n v="0"/>
    <n v="0"/>
    <m/>
    <x v="0"/>
  </r>
  <r>
    <x v="732"/>
    <x v="1"/>
    <x v="5"/>
    <x v="0"/>
    <s v="français"/>
    <x v="2"/>
    <n v="3"/>
    <n v="0"/>
    <n v="0"/>
    <m/>
    <x v="6"/>
  </r>
  <r>
    <x v="733"/>
    <x v="1"/>
    <x v="5"/>
    <x v="1"/>
    <s v="français"/>
    <x v="2"/>
    <n v="3"/>
    <n v="0"/>
    <n v="0"/>
    <s v=" Numéros de Le Travail : quotidien socialiste"/>
    <x v="2"/>
  </r>
  <r>
    <x v="734"/>
    <x v="1"/>
    <x v="5"/>
    <x v="0"/>
    <s v="français"/>
    <x v="0"/>
    <n v="10.5"/>
    <n v="0"/>
    <n v="0"/>
    <m/>
    <x v="3"/>
  </r>
  <r>
    <x v="734"/>
    <x v="1"/>
    <x v="5"/>
    <x v="0"/>
    <s v="français"/>
    <x v="0"/>
    <n v="10.5"/>
    <n v="0"/>
    <n v="0"/>
    <m/>
    <x v="1"/>
  </r>
  <r>
    <x v="735"/>
    <x v="2"/>
    <x v="5"/>
    <x v="0"/>
    <s v="français"/>
    <x v="0"/>
    <n v="10.5"/>
    <n v="0"/>
    <n v="0"/>
    <s v="Inscription pour accès ressources électroniques"/>
    <x v="3"/>
  </r>
  <r>
    <x v="736"/>
    <x v="2"/>
    <x v="5"/>
    <x v="0"/>
    <s v="français"/>
    <x v="3"/>
    <n v="20"/>
    <n v="0"/>
    <n v="0"/>
    <s v="Dictionnaires et traductions français-russe et français-ukrainien"/>
    <x v="6"/>
  </r>
  <r>
    <x v="736"/>
    <x v="2"/>
    <x v="5"/>
    <x v="0"/>
    <s v="français"/>
    <x v="3"/>
    <n v="20"/>
    <n v="0"/>
    <n v="0"/>
    <s v="Dictionnaires et traductions français-russe et français-ukrainien"/>
    <x v="5"/>
  </r>
  <r>
    <x v="736"/>
    <x v="2"/>
    <x v="5"/>
    <x v="0"/>
    <s v="français"/>
    <x v="3"/>
    <n v="20"/>
    <n v="0"/>
    <n v="0"/>
    <s v="Dictionnaires et traductions français-russe et français-ukrainien"/>
    <x v="0"/>
  </r>
  <r>
    <x v="736"/>
    <x v="2"/>
    <x v="5"/>
    <x v="0"/>
    <s v="français"/>
    <x v="3"/>
    <n v="20"/>
    <n v="0"/>
    <n v="0"/>
    <s v="Dictionnaires et traductions français-russe et français-ukrainien"/>
    <x v="1"/>
  </r>
  <r>
    <x v="737"/>
    <x v="2"/>
    <x v="5"/>
    <x v="0"/>
    <s v="français"/>
    <x v="0"/>
    <n v="10.5"/>
    <n v="0"/>
    <n v="0"/>
    <m/>
    <x v="2"/>
  </r>
  <r>
    <x v="738"/>
    <x v="2"/>
    <x v="5"/>
    <x v="0"/>
    <s v="français"/>
    <x v="1"/>
    <n v="0.5"/>
    <n v="0"/>
    <n v="0"/>
    <s v="Papier imprimante"/>
    <x v="8"/>
  </r>
  <r>
    <x v="739"/>
    <x v="2"/>
    <x v="5"/>
    <x v="0"/>
    <s v="français"/>
    <x v="2"/>
    <n v="3"/>
    <n v="0"/>
    <n v="0"/>
    <m/>
    <x v="5"/>
  </r>
  <r>
    <x v="739"/>
    <x v="2"/>
    <x v="5"/>
    <x v="0"/>
    <s v="français"/>
    <x v="2"/>
    <n v="3"/>
    <n v="0"/>
    <n v="0"/>
    <m/>
    <x v="7"/>
  </r>
  <r>
    <x v="740"/>
    <x v="8"/>
    <x v="5"/>
    <x v="0"/>
    <s v="français"/>
    <x v="2"/>
    <n v="3"/>
    <n v="0"/>
    <n v="0"/>
    <m/>
    <x v="4"/>
  </r>
  <r>
    <x v="741"/>
    <x v="1"/>
    <x v="0"/>
    <x v="0"/>
    <s v="français"/>
    <x v="0"/>
    <n v="10.5"/>
    <n v="0"/>
    <n v="0"/>
    <m/>
    <x v="3"/>
  </r>
  <r>
    <x v="742"/>
    <x v="1"/>
    <x v="0"/>
    <x v="0"/>
    <s v="français"/>
    <x v="1"/>
    <n v="0.5"/>
    <n v="0"/>
    <n v="0"/>
    <m/>
    <x v="8"/>
  </r>
  <r>
    <x v="742"/>
    <x v="1"/>
    <x v="0"/>
    <x v="0"/>
    <s v="français"/>
    <x v="1"/>
    <n v="0.5"/>
    <n v="0"/>
    <n v="0"/>
    <m/>
    <x v="1"/>
  </r>
  <r>
    <x v="743"/>
    <x v="1"/>
    <x v="0"/>
    <x v="0"/>
    <s v="français"/>
    <x v="2"/>
    <n v="3"/>
    <n v="1"/>
    <n v="0"/>
    <m/>
    <x v="2"/>
  </r>
  <r>
    <x v="744"/>
    <x v="2"/>
    <x v="0"/>
    <x v="0"/>
    <s v="français"/>
    <x v="3"/>
    <n v="20"/>
    <n v="1"/>
    <n v="0"/>
    <m/>
    <x v="2"/>
  </r>
  <r>
    <x v="744"/>
    <x v="2"/>
    <x v="0"/>
    <x v="0"/>
    <s v="français"/>
    <x v="3"/>
    <n v="20"/>
    <n v="1"/>
    <n v="0"/>
    <m/>
    <x v="4"/>
  </r>
  <r>
    <x v="745"/>
    <x v="8"/>
    <x v="0"/>
    <x v="0"/>
    <s v="français"/>
    <x v="2"/>
    <n v="3"/>
    <n v="0"/>
    <n v="0"/>
    <m/>
    <x v="7"/>
  </r>
  <r>
    <x v="746"/>
    <x v="8"/>
    <x v="0"/>
    <x v="0"/>
    <s v="français"/>
    <x v="1"/>
    <n v="0.5"/>
    <n v="0"/>
    <n v="0"/>
    <m/>
    <x v="0"/>
  </r>
  <r>
    <x v="747"/>
    <x v="8"/>
    <x v="0"/>
    <x v="0"/>
    <s v="français"/>
    <x v="1"/>
    <n v="0.5"/>
    <n v="0"/>
    <n v="0"/>
    <m/>
    <x v="1"/>
  </r>
  <r>
    <x v="748"/>
    <x v="0"/>
    <x v="1"/>
    <x v="1"/>
    <s v="français"/>
    <x v="0"/>
    <n v="10.5"/>
    <n v="0"/>
    <n v="0"/>
    <m/>
    <x v="2"/>
  </r>
  <r>
    <x v="748"/>
    <x v="0"/>
    <x v="1"/>
    <x v="1"/>
    <s v="français"/>
    <x v="0"/>
    <n v="10.5"/>
    <n v="0"/>
    <n v="0"/>
    <m/>
    <x v="7"/>
  </r>
  <r>
    <x v="749"/>
    <x v="0"/>
    <x v="1"/>
    <x v="0"/>
    <s v="français"/>
    <x v="2"/>
    <n v="3"/>
    <n v="0"/>
    <n v="0"/>
    <m/>
    <x v="8"/>
  </r>
  <r>
    <x v="749"/>
    <x v="0"/>
    <x v="1"/>
    <x v="0"/>
    <s v="français"/>
    <x v="2"/>
    <n v="3"/>
    <n v="0"/>
    <n v="0"/>
    <m/>
    <x v="7"/>
  </r>
  <r>
    <x v="750"/>
    <x v="3"/>
    <x v="1"/>
    <x v="0"/>
    <s v="français"/>
    <x v="2"/>
    <n v="3"/>
    <n v="0"/>
    <n v="0"/>
    <m/>
    <x v="0"/>
  </r>
  <r>
    <x v="751"/>
    <x v="3"/>
    <x v="1"/>
    <x v="1"/>
    <s v="français"/>
    <x v="2"/>
    <n v="3"/>
    <n v="0"/>
    <n v="0"/>
    <m/>
    <x v="7"/>
  </r>
  <r>
    <x v="752"/>
    <x v="4"/>
    <x v="1"/>
    <x v="0"/>
    <s v="français"/>
    <x v="0"/>
    <n v="10.5"/>
    <n v="1"/>
    <n v="0"/>
    <m/>
    <x v="5"/>
  </r>
  <r>
    <x v="753"/>
    <x v="4"/>
    <x v="1"/>
    <x v="0"/>
    <s v="français"/>
    <x v="1"/>
    <n v="0.5"/>
    <n v="0"/>
    <n v="0"/>
    <m/>
    <x v="4"/>
  </r>
  <r>
    <x v="754"/>
    <x v="1"/>
    <x v="1"/>
    <x v="0"/>
    <s v="anglais"/>
    <x v="2"/>
    <n v="3"/>
    <n v="0"/>
    <n v="0"/>
    <m/>
    <x v="7"/>
  </r>
  <r>
    <x v="755"/>
    <x v="1"/>
    <x v="1"/>
    <x v="0"/>
    <s v="français"/>
    <x v="2"/>
    <n v="3"/>
    <n v="0"/>
    <n v="0"/>
    <s v="Personne qui reviendra pour l'inscription car sa carte d'identité est échue"/>
    <x v="3"/>
  </r>
  <r>
    <x v="756"/>
    <x v="1"/>
    <x v="1"/>
    <x v="0"/>
    <s v="français"/>
    <x v="1"/>
    <n v="0.5"/>
    <n v="0"/>
    <n v="0"/>
    <m/>
    <x v="7"/>
  </r>
  <r>
    <x v="757"/>
    <x v="8"/>
    <x v="1"/>
    <x v="0"/>
    <s v="français"/>
    <x v="2"/>
    <n v="3"/>
    <n v="0"/>
    <n v="0"/>
    <m/>
    <x v="8"/>
  </r>
  <r>
    <x v="758"/>
    <x v="8"/>
    <x v="1"/>
    <x v="0"/>
    <s v="français"/>
    <x v="1"/>
    <n v="0.5"/>
    <n v="0"/>
    <n v="0"/>
    <m/>
    <x v="8"/>
  </r>
  <r>
    <x v="759"/>
    <x v="8"/>
    <x v="1"/>
    <x v="0"/>
    <s v="français"/>
    <x v="2"/>
    <n v="3"/>
    <n v="1"/>
    <n v="0"/>
    <m/>
    <x v="2"/>
  </r>
  <r>
    <x v="760"/>
    <x v="8"/>
    <x v="1"/>
    <x v="0"/>
    <s v="français"/>
    <x v="2"/>
    <n v="3"/>
    <n v="0"/>
    <n v="0"/>
    <m/>
    <x v="7"/>
  </r>
  <r>
    <x v="761"/>
    <x v="8"/>
    <x v="1"/>
    <x v="0"/>
    <s v="français"/>
    <x v="1"/>
    <n v="0.5"/>
    <n v="0"/>
    <n v="0"/>
    <m/>
    <x v="1"/>
  </r>
  <r>
    <x v="762"/>
    <x v="5"/>
    <x v="2"/>
    <x v="0"/>
    <s v="français"/>
    <x v="2"/>
    <n v="3"/>
    <n v="0"/>
    <n v="0"/>
    <m/>
    <x v="5"/>
  </r>
  <r>
    <x v="762"/>
    <x v="5"/>
    <x v="2"/>
    <x v="0"/>
    <s v="français"/>
    <x v="2"/>
    <n v="3"/>
    <n v="0"/>
    <n v="0"/>
    <m/>
    <x v="7"/>
  </r>
  <r>
    <x v="762"/>
    <x v="5"/>
    <x v="2"/>
    <x v="0"/>
    <s v="français"/>
    <x v="2"/>
    <n v="3"/>
    <n v="0"/>
    <n v="0"/>
    <m/>
    <x v="0"/>
  </r>
  <r>
    <x v="763"/>
    <x v="7"/>
    <x v="2"/>
    <x v="0"/>
    <s v="français"/>
    <x v="1"/>
    <n v="0.5"/>
    <n v="0"/>
    <n v="0"/>
    <m/>
    <x v="0"/>
  </r>
  <r>
    <x v="764"/>
    <x v="7"/>
    <x v="2"/>
    <x v="0"/>
    <s v="français"/>
    <x v="1"/>
    <n v="0.5"/>
    <n v="0"/>
    <n v="0"/>
    <m/>
    <x v="0"/>
  </r>
  <r>
    <x v="765"/>
    <x v="7"/>
    <x v="2"/>
    <x v="0"/>
    <s v="français"/>
    <x v="2"/>
    <n v="3"/>
    <n v="0"/>
    <n v="0"/>
    <m/>
    <x v="1"/>
  </r>
  <r>
    <x v="766"/>
    <x v="7"/>
    <x v="2"/>
    <x v="0"/>
    <s v="français"/>
    <x v="0"/>
    <n v="10.5"/>
    <n v="0"/>
    <n v="0"/>
    <m/>
    <x v="8"/>
  </r>
  <r>
    <x v="767"/>
    <x v="7"/>
    <x v="2"/>
    <x v="0"/>
    <s v="français"/>
    <x v="1"/>
    <n v="0.5"/>
    <n v="0"/>
    <n v="0"/>
    <m/>
    <x v="4"/>
  </r>
  <r>
    <x v="768"/>
    <x v="3"/>
    <x v="2"/>
    <x v="0"/>
    <s v="français"/>
    <x v="3"/>
    <n v="20"/>
    <n v="0"/>
    <n v="0"/>
    <m/>
    <x v="3"/>
  </r>
  <r>
    <x v="769"/>
    <x v="2"/>
    <x v="2"/>
    <x v="0"/>
    <s v="français"/>
    <x v="0"/>
    <n v="10.5"/>
    <n v="1"/>
    <n v="1"/>
    <m/>
    <x v="2"/>
  </r>
  <r>
    <x v="770"/>
    <x v="1"/>
    <x v="3"/>
    <x v="0"/>
    <s v="français"/>
    <x v="0"/>
    <n v="10.5"/>
    <n v="0"/>
    <n v="0"/>
    <m/>
    <x v="3"/>
  </r>
  <r>
    <x v="771"/>
    <x v="1"/>
    <x v="3"/>
    <x v="0"/>
    <s v="français"/>
    <x v="0"/>
    <n v="10.5"/>
    <n v="1"/>
    <n v="0"/>
    <m/>
    <x v="2"/>
  </r>
  <r>
    <x v="772"/>
    <x v="2"/>
    <x v="3"/>
    <x v="0"/>
    <s v="français"/>
    <x v="2"/>
    <n v="3"/>
    <n v="1"/>
    <n v="0"/>
    <s v="livres de Maurois"/>
    <x v="2"/>
  </r>
  <r>
    <x v="773"/>
    <x v="2"/>
    <x v="3"/>
    <x v="0"/>
    <s v="français"/>
    <x v="1"/>
    <n v="0.5"/>
    <n v="0"/>
    <n v="0"/>
    <s v="Y a-t-il qqch à voir sur/de Calvin à la BGE ?"/>
    <x v="1"/>
  </r>
  <r>
    <x v="774"/>
    <x v="2"/>
    <x v="3"/>
    <x v="0"/>
    <s v="français"/>
    <x v="2"/>
    <n v="3"/>
    <n v="1"/>
    <n v="0"/>
    <s v="Propagande radiophonique nazie"/>
    <x v="2"/>
  </r>
  <r>
    <x v="775"/>
    <x v="2"/>
    <x v="3"/>
    <x v="0"/>
    <s v="français"/>
    <x v="2"/>
    <n v="3"/>
    <n v="1"/>
    <n v="0"/>
    <s v="propagande radiophonique nazie"/>
    <x v="6"/>
  </r>
  <r>
    <x v="776"/>
    <x v="8"/>
    <x v="3"/>
    <x v="0"/>
    <s v="français"/>
    <x v="2"/>
    <n v="3"/>
    <n v="0"/>
    <n v="0"/>
    <m/>
    <x v="3"/>
  </r>
  <r>
    <x v="777"/>
    <x v="8"/>
    <x v="3"/>
    <x v="0"/>
    <s v="français"/>
    <x v="1"/>
    <n v="0.5"/>
    <n v="0"/>
    <n v="0"/>
    <m/>
    <x v="0"/>
  </r>
  <r>
    <x v="778"/>
    <x v="8"/>
    <x v="3"/>
    <x v="0"/>
    <s v="français"/>
    <x v="2"/>
    <n v="3"/>
    <n v="0"/>
    <n v="0"/>
    <m/>
    <x v="4"/>
  </r>
  <r>
    <x v="779"/>
    <x v="8"/>
    <x v="3"/>
    <x v="0"/>
    <s v="français"/>
    <x v="1"/>
    <n v="0.5"/>
    <n v="0"/>
    <n v="0"/>
    <m/>
    <x v="0"/>
  </r>
  <r>
    <x v="780"/>
    <x v="8"/>
    <x v="3"/>
    <x v="0"/>
    <s v="français"/>
    <x v="1"/>
    <n v="0.5"/>
    <n v="0"/>
    <n v="0"/>
    <m/>
    <x v="1"/>
  </r>
  <r>
    <x v="781"/>
    <x v="0"/>
    <x v="5"/>
    <x v="0"/>
    <s v="français"/>
    <x v="0"/>
    <n v="10.5"/>
    <n v="0"/>
    <n v="0"/>
    <m/>
    <x v="3"/>
  </r>
  <r>
    <x v="782"/>
    <x v="0"/>
    <x v="5"/>
    <x v="0"/>
    <s v="français"/>
    <x v="0"/>
    <n v="10.5"/>
    <n v="0"/>
    <n v="0"/>
    <m/>
    <x v="6"/>
  </r>
  <r>
    <x v="783"/>
    <x v="0"/>
    <x v="5"/>
    <x v="0"/>
    <s v="français"/>
    <x v="2"/>
    <n v="3"/>
    <n v="1"/>
    <n v="0"/>
    <m/>
    <x v="2"/>
  </r>
  <r>
    <x v="784"/>
    <x v="0"/>
    <x v="5"/>
    <x v="0"/>
    <s v="français"/>
    <x v="2"/>
    <n v="3"/>
    <n v="0"/>
    <n v="0"/>
    <s v="Recherche d'un exemplaire de la NZZ"/>
    <x v="1"/>
  </r>
  <r>
    <x v="785"/>
    <x v="7"/>
    <x v="5"/>
    <x v="0"/>
    <s v="français"/>
    <x v="2"/>
    <n v="3"/>
    <n v="0"/>
    <n v="0"/>
    <m/>
    <x v="8"/>
  </r>
  <r>
    <x v="786"/>
    <x v="3"/>
    <x v="5"/>
    <x v="0"/>
    <s v="français"/>
    <x v="2"/>
    <n v="3"/>
    <n v="0"/>
    <n v="0"/>
    <m/>
    <x v="3"/>
  </r>
  <r>
    <x v="787"/>
    <x v="1"/>
    <x v="5"/>
    <x v="0"/>
    <s v="français"/>
    <x v="2"/>
    <n v="3"/>
    <n v="0"/>
    <n v="0"/>
    <m/>
    <x v="4"/>
  </r>
  <r>
    <x v="788"/>
    <x v="1"/>
    <x v="5"/>
    <x v="0"/>
    <s v="français"/>
    <x v="2"/>
    <n v="3"/>
    <n v="0"/>
    <n v="0"/>
    <m/>
    <x v="2"/>
  </r>
  <r>
    <x v="789"/>
    <x v="1"/>
    <x v="5"/>
    <x v="0"/>
    <s v="français"/>
    <x v="3"/>
    <n v="20"/>
    <n v="0"/>
    <n v="0"/>
    <m/>
    <x v="8"/>
  </r>
  <r>
    <x v="790"/>
    <x v="1"/>
    <x v="5"/>
    <x v="0"/>
    <s v="français"/>
    <x v="2"/>
    <n v="3"/>
    <n v="0"/>
    <n v="0"/>
    <m/>
    <x v="7"/>
  </r>
  <r>
    <x v="790"/>
    <x v="1"/>
    <x v="5"/>
    <x v="0"/>
    <s v="français"/>
    <x v="2"/>
    <n v="3"/>
    <n v="0"/>
    <n v="0"/>
    <m/>
    <x v="0"/>
  </r>
  <r>
    <x v="791"/>
    <x v="2"/>
    <x v="5"/>
    <x v="0"/>
    <s v="anglais"/>
    <x v="2"/>
    <n v="3"/>
    <n v="0"/>
    <n v="0"/>
    <m/>
    <x v="4"/>
  </r>
  <r>
    <x v="792"/>
    <x v="2"/>
    <x v="5"/>
    <x v="0"/>
    <s v="français"/>
    <x v="2"/>
    <n v="3"/>
    <n v="0"/>
    <n v="0"/>
    <m/>
    <x v="2"/>
  </r>
  <r>
    <x v="793"/>
    <x v="2"/>
    <x v="5"/>
    <x v="0"/>
    <s v="français"/>
    <x v="1"/>
    <n v="0.5"/>
    <n v="0"/>
    <n v="0"/>
    <s v="Réservation salle de réunion"/>
    <x v="7"/>
  </r>
  <r>
    <x v="794"/>
    <x v="2"/>
    <x v="5"/>
    <x v="0"/>
    <s v="français"/>
    <x v="1"/>
    <n v="0.5"/>
    <n v="0"/>
    <n v="0"/>
    <m/>
    <x v="8"/>
  </r>
  <r>
    <x v="795"/>
    <x v="2"/>
    <x v="5"/>
    <x v="0"/>
    <s v="français"/>
    <x v="2"/>
    <n v="3"/>
    <n v="0"/>
    <n v="0"/>
    <m/>
    <x v="2"/>
  </r>
  <r>
    <x v="795"/>
    <x v="2"/>
    <x v="5"/>
    <x v="0"/>
    <s v="français"/>
    <x v="2"/>
    <n v="3"/>
    <n v="0"/>
    <n v="0"/>
    <m/>
    <x v="5"/>
  </r>
  <r>
    <x v="796"/>
    <x v="6"/>
    <x v="0"/>
    <x v="0"/>
    <s v="français"/>
    <x v="2"/>
    <n v="3"/>
    <n v="0"/>
    <n v="0"/>
    <m/>
    <x v="3"/>
  </r>
  <r>
    <x v="797"/>
    <x v="6"/>
    <x v="0"/>
    <x v="1"/>
    <s v="français"/>
    <x v="2"/>
    <n v="3"/>
    <n v="0"/>
    <n v="0"/>
    <m/>
    <x v="0"/>
  </r>
  <r>
    <x v="798"/>
    <x v="6"/>
    <x v="0"/>
    <x v="0"/>
    <s v="français"/>
    <x v="2"/>
    <n v="3"/>
    <n v="1"/>
    <n v="0"/>
    <m/>
    <x v="2"/>
  </r>
  <r>
    <x v="799"/>
    <x v="0"/>
    <x v="1"/>
    <x v="0"/>
    <s v="français"/>
    <x v="0"/>
    <n v="10.5"/>
    <n v="0"/>
    <n v="0"/>
    <m/>
    <x v="3"/>
  </r>
  <r>
    <x v="799"/>
    <x v="0"/>
    <x v="1"/>
    <x v="0"/>
    <s v="français"/>
    <x v="0"/>
    <n v="10.5"/>
    <n v="0"/>
    <n v="0"/>
    <m/>
    <x v="7"/>
  </r>
  <r>
    <x v="800"/>
    <x v="3"/>
    <x v="1"/>
    <x v="0"/>
    <s v="français"/>
    <x v="1"/>
    <n v="0.5"/>
    <n v="0"/>
    <n v="0"/>
    <m/>
    <x v="8"/>
  </r>
  <r>
    <x v="801"/>
    <x v="3"/>
    <x v="1"/>
    <x v="0"/>
    <s v="français"/>
    <x v="1"/>
    <n v="0.5"/>
    <n v="0"/>
    <n v="0"/>
    <m/>
    <x v="8"/>
  </r>
  <r>
    <x v="802"/>
    <x v="4"/>
    <x v="1"/>
    <x v="1"/>
    <s v="français"/>
    <x v="2"/>
    <n v="3"/>
    <n v="1"/>
    <n v="0"/>
    <m/>
    <x v="2"/>
  </r>
  <r>
    <x v="803"/>
    <x v="4"/>
    <x v="1"/>
    <x v="0"/>
    <s v="français"/>
    <x v="0"/>
    <n v="10.5"/>
    <n v="0"/>
    <n v="0"/>
    <m/>
    <x v="8"/>
  </r>
  <r>
    <x v="804"/>
    <x v="1"/>
    <x v="1"/>
    <x v="0"/>
    <s v="français"/>
    <x v="1"/>
    <n v="0.5"/>
    <n v="0"/>
    <n v="0"/>
    <m/>
    <x v="0"/>
  </r>
  <r>
    <x v="805"/>
    <x v="1"/>
    <x v="1"/>
    <x v="0"/>
    <s v="français"/>
    <x v="1"/>
    <n v="0.5"/>
    <n v="0"/>
    <n v="0"/>
    <m/>
    <x v="7"/>
  </r>
  <r>
    <x v="806"/>
    <x v="1"/>
    <x v="1"/>
    <x v="0"/>
    <s v="français"/>
    <x v="2"/>
    <n v="3"/>
    <n v="0"/>
    <n v="0"/>
    <s v="Demande d'impression gratuite... Des exceptions ayant été faites pour cette dame au minimum déjà deux fois, j'ai refusé sa demande et lui ai dit d'aller acheter une carte à la loge"/>
    <x v="1"/>
  </r>
  <r>
    <x v="807"/>
    <x v="5"/>
    <x v="3"/>
    <x v="0"/>
    <s v="français"/>
    <x v="0"/>
    <n v="10.5"/>
    <n v="1"/>
    <n v="0"/>
    <m/>
    <x v="2"/>
  </r>
  <r>
    <x v="808"/>
    <x v="5"/>
    <x v="3"/>
    <x v="0"/>
    <s v="français"/>
    <x v="1"/>
    <n v="0.5"/>
    <n v="0"/>
    <n v="0"/>
    <m/>
    <x v="0"/>
  </r>
  <r>
    <x v="809"/>
    <x v="5"/>
    <x v="3"/>
    <x v="1"/>
    <s v="français"/>
    <x v="1"/>
    <n v="0.5"/>
    <n v="0"/>
    <n v="0"/>
    <m/>
    <x v="7"/>
  </r>
  <r>
    <x v="810"/>
    <x v="0"/>
    <x v="3"/>
    <x v="0"/>
    <s v="français"/>
    <x v="2"/>
    <n v="3"/>
    <n v="1"/>
    <n v="0"/>
    <m/>
    <x v="2"/>
  </r>
  <r>
    <x v="811"/>
    <x v="0"/>
    <x v="3"/>
    <x v="0"/>
    <s v="français"/>
    <x v="2"/>
    <n v="3"/>
    <n v="0"/>
    <n v="0"/>
    <m/>
    <x v="3"/>
  </r>
  <r>
    <x v="812"/>
    <x v="7"/>
    <x v="3"/>
    <x v="0"/>
    <s v="français"/>
    <x v="0"/>
    <n v="10.5"/>
    <n v="1"/>
    <n v="0"/>
    <m/>
    <x v="2"/>
  </r>
  <r>
    <x v="813"/>
    <x v="7"/>
    <x v="3"/>
    <x v="0"/>
    <s v="français"/>
    <x v="1"/>
    <n v="0.5"/>
    <n v="1"/>
    <n v="0"/>
    <m/>
    <x v="2"/>
  </r>
  <r>
    <x v="814"/>
    <x v="7"/>
    <x v="3"/>
    <x v="0"/>
    <s v="français"/>
    <x v="1"/>
    <n v="0.5"/>
    <n v="0"/>
    <n v="0"/>
    <m/>
    <x v="0"/>
  </r>
  <r>
    <x v="815"/>
    <x v="7"/>
    <x v="3"/>
    <x v="1"/>
    <s v="français"/>
    <x v="1"/>
    <n v="0.5"/>
    <n v="0"/>
    <n v="0"/>
    <s v="question sur service civil"/>
    <x v="1"/>
  </r>
  <r>
    <x v="816"/>
    <x v="3"/>
    <x v="3"/>
    <x v="1"/>
    <s v="français"/>
    <x v="0"/>
    <n v="10.5"/>
    <n v="0"/>
    <n v="0"/>
    <m/>
    <x v="7"/>
  </r>
  <r>
    <x v="817"/>
    <x v="3"/>
    <x v="3"/>
    <x v="0"/>
    <s v="français"/>
    <x v="0"/>
    <n v="10.5"/>
    <n v="1"/>
    <n v="0"/>
    <m/>
    <x v="5"/>
  </r>
  <r>
    <x v="818"/>
    <x v="1"/>
    <x v="3"/>
    <x v="0"/>
    <s v="français"/>
    <x v="0"/>
    <n v="10.5"/>
    <n v="1"/>
    <n v="0"/>
    <m/>
    <x v="5"/>
  </r>
  <r>
    <x v="818"/>
    <x v="1"/>
    <x v="3"/>
    <x v="0"/>
    <s v="français"/>
    <x v="0"/>
    <n v="10.5"/>
    <n v="1"/>
    <n v="0"/>
    <m/>
    <x v="7"/>
  </r>
  <r>
    <x v="819"/>
    <x v="1"/>
    <x v="3"/>
    <x v="0"/>
    <s v="français"/>
    <x v="2"/>
    <n v="3"/>
    <n v="0"/>
    <n v="0"/>
    <m/>
    <x v="0"/>
  </r>
  <r>
    <x v="820"/>
    <x v="1"/>
    <x v="3"/>
    <x v="0"/>
    <s v="français"/>
    <x v="2"/>
    <n v="3"/>
    <n v="0"/>
    <n v="0"/>
    <m/>
    <x v="8"/>
  </r>
  <r>
    <x v="821"/>
    <x v="5"/>
    <x v="4"/>
    <x v="0"/>
    <s v="français"/>
    <x v="2"/>
    <n v="3"/>
    <n v="0"/>
    <n v="0"/>
    <m/>
    <x v="4"/>
  </r>
  <r>
    <x v="822"/>
    <x v="5"/>
    <x v="4"/>
    <x v="0"/>
    <s v="français"/>
    <x v="0"/>
    <n v="10.5"/>
    <n v="1"/>
    <n v="0"/>
    <m/>
    <x v="2"/>
  </r>
  <r>
    <x v="822"/>
    <x v="5"/>
    <x v="4"/>
    <x v="0"/>
    <s v="français"/>
    <x v="0"/>
    <n v="10.5"/>
    <n v="1"/>
    <n v="0"/>
    <m/>
    <x v="7"/>
  </r>
  <r>
    <x v="823"/>
    <x v="7"/>
    <x v="4"/>
    <x v="0"/>
    <s v="français"/>
    <x v="0"/>
    <n v="10.5"/>
    <n v="1"/>
    <n v="0"/>
    <m/>
    <x v="3"/>
  </r>
  <r>
    <x v="823"/>
    <x v="7"/>
    <x v="4"/>
    <x v="0"/>
    <s v="français"/>
    <x v="0"/>
    <n v="10.5"/>
    <n v="1"/>
    <n v="0"/>
    <m/>
    <x v="7"/>
  </r>
  <r>
    <x v="824"/>
    <x v="7"/>
    <x v="4"/>
    <x v="0"/>
    <s v="français"/>
    <x v="2"/>
    <n v="3"/>
    <n v="1"/>
    <n v="0"/>
    <m/>
    <x v="2"/>
  </r>
  <r>
    <x v="824"/>
    <x v="7"/>
    <x v="4"/>
    <x v="0"/>
    <s v="français"/>
    <x v="2"/>
    <n v="3"/>
    <n v="1"/>
    <n v="0"/>
    <m/>
    <x v="5"/>
  </r>
  <r>
    <x v="825"/>
    <x v="7"/>
    <x v="4"/>
    <x v="0"/>
    <s v="français"/>
    <x v="0"/>
    <n v="10.5"/>
    <n v="1"/>
    <n v="0"/>
    <m/>
    <x v="3"/>
  </r>
  <r>
    <x v="825"/>
    <x v="7"/>
    <x v="4"/>
    <x v="0"/>
    <s v="français"/>
    <x v="0"/>
    <n v="10.5"/>
    <n v="1"/>
    <n v="0"/>
    <m/>
    <x v="7"/>
  </r>
  <r>
    <x v="826"/>
    <x v="7"/>
    <x v="4"/>
    <x v="0"/>
    <s v="français"/>
    <x v="1"/>
    <n v="0.5"/>
    <n v="0"/>
    <n v="0"/>
    <s v="Plainte car un usager dors et ronfle "/>
    <x v="1"/>
  </r>
  <r>
    <x v="827"/>
    <x v="5"/>
    <x v="5"/>
    <x v="1"/>
    <s v="français"/>
    <x v="2"/>
    <n v="3"/>
    <n v="0"/>
    <n v="1"/>
    <s v="Recherche d'un ancien article de la TDG: explications quant à l'utillisation du lecteur de microformes en SL"/>
    <x v="2"/>
  </r>
  <r>
    <x v="828"/>
    <x v="5"/>
    <x v="5"/>
    <x v="0"/>
    <s v="français"/>
    <x v="0"/>
    <n v="10.5"/>
    <n v="0"/>
    <n v="0"/>
    <s v="Tentative d'accéder au WIFI Ville sur un smartphone privé"/>
    <x v="8"/>
  </r>
  <r>
    <x v="829"/>
    <x v="7"/>
    <x v="5"/>
    <x v="0"/>
    <s v="français"/>
    <x v="1"/>
    <n v="0.5"/>
    <n v="0"/>
    <n v="0"/>
    <m/>
    <x v="0"/>
  </r>
  <r>
    <x v="830"/>
    <x v="7"/>
    <x v="5"/>
    <x v="0"/>
    <s v="français"/>
    <x v="1"/>
    <n v="0.5"/>
    <n v="0"/>
    <n v="0"/>
    <m/>
    <x v="0"/>
  </r>
  <r>
    <x v="831"/>
    <x v="3"/>
    <x v="5"/>
    <x v="0"/>
    <s v="français"/>
    <x v="0"/>
    <n v="10.5"/>
    <n v="1"/>
    <n v="0"/>
    <m/>
    <x v="3"/>
  </r>
  <r>
    <x v="831"/>
    <x v="3"/>
    <x v="5"/>
    <x v="0"/>
    <s v="français"/>
    <x v="0"/>
    <n v="10.5"/>
    <n v="1"/>
    <n v="0"/>
    <m/>
    <x v="7"/>
  </r>
  <r>
    <x v="832"/>
    <x v="3"/>
    <x v="5"/>
    <x v="0"/>
    <s v="français"/>
    <x v="0"/>
    <n v="10.5"/>
    <n v="0"/>
    <n v="0"/>
    <m/>
    <x v="3"/>
  </r>
  <r>
    <x v="833"/>
    <x v="3"/>
    <x v="5"/>
    <x v="0"/>
    <s v="français"/>
    <x v="0"/>
    <n v="10.5"/>
    <n v="0"/>
    <n v="0"/>
    <m/>
    <x v="7"/>
  </r>
  <r>
    <x v="833"/>
    <x v="3"/>
    <x v="5"/>
    <x v="0"/>
    <s v="français"/>
    <x v="0"/>
    <n v="10.5"/>
    <n v="0"/>
    <n v="0"/>
    <m/>
    <x v="0"/>
  </r>
  <r>
    <x v="834"/>
    <x v="1"/>
    <x v="5"/>
    <x v="0"/>
    <s v="français"/>
    <x v="1"/>
    <n v="0.5"/>
    <n v="0"/>
    <n v="0"/>
    <m/>
    <x v="4"/>
  </r>
  <r>
    <x v="835"/>
    <x v="1"/>
    <x v="5"/>
    <x v="0"/>
    <s v="français"/>
    <x v="1"/>
    <n v="0.5"/>
    <n v="0"/>
    <n v="0"/>
    <s v="Emprunt casque"/>
    <x v="1"/>
  </r>
  <r>
    <x v="836"/>
    <x v="1"/>
    <x v="5"/>
    <x v="0"/>
    <s v="français"/>
    <x v="1"/>
    <n v="0.5"/>
    <n v="0"/>
    <n v="0"/>
    <m/>
    <x v="0"/>
  </r>
  <r>
    <x v="837"/>
    <x v="2"/>
    <x v="5"/>
    <x v="0"/>
    <s v="français"/>
    <x v="2"/>
    <n v="3"/>
    <n v="0"/>
    <n v="0"/>
    <m/>
    <x v="3"/>
  </r>
  <r>
    <x v="838"/>
    <x v="2"/>
    <x v="5"/>
    <x v="0"/>
    <s v="français"/>
    <x v="0"/>
    <n v="10.5"/>
    <n v="0"/>
    <n v="0"/>
    <m/>
    <x v="3"/>
  </r>
  <r>
    <x v="839"/>
    <x v="2"/>
    <x v="5"/>
    <x v="0"/>
    <s v="français"/>
    <x v="1"/>
    <n v="0.5"/>
    <n v="0"/>
    <n v="0"/>
    <m/>
    <x v="0"/>
  </r>
  <r>
    <x v="840"/>
    <x v="2"/>
    <x v="5"/>
    <x v="0"/>
    <s v="français"/>
    <x v="1"/>
    <n v="0.5"/>
    <n v="0"/>
    <n v="0"/>
    <m/>
    <x v="8"/>
  </r>
  <r>
    <x v="841"/>
    <x v="2"/>
    <x v="5"/>
    <x v="0"/>
    <s v="français"/>
    <x v="0"/>
    <n v="10.5"/>
    <n v="0"/>
    <n v="0"/>
    <m/>
    <x v="2"/>
  </r>
  <r>
    <x v="841"/>
    <x v="2"/>
    <x v="5"/>
    <x v="0"/>
    <s v="français"/>
    <x v="0"/>
    <n v="10.5"/>
    <n v="0"/>
    <n v="0"/>
    <m/>
    <x v="3"/>
  </r>
  <r>
    <x v="841"/>
    <x v="2"/>
    <x v="5"/>
    <x v="0"/>
    <s v="français"/>
    <x v="0"/>
    <n v="10.5"/>
    <n v="0"/>
    <n v="0"/>
    <m/>
    <x v="7"/>
  </r>
  <r>
    <x v="842"/>
    <x v="2"/>
    <x v="5"/>
    <x v="0"/>
    <s v="français"/>
    <x v="2"/>
    <n v="3"/>
    <n v="0"/>
    <n v="0"/>
    <m/>
    <x v="4"/>
  </r>
  <r>
    <x v="843"/>
    <x v="2"/>
    <x v="5"/>
    <x v="0"/>
    <s v="français"/>
    <x v="2"/>
    <n v="3"/>
    <n v="0"/>
    <n v="0"/>
    <m/>
    <x v="8"/>
  </r>
  <r>
    <x v="844"/>
    <x v="2"/>
    <x v="5"/>
    <x v="0"/>
    <s v="français"/>
    <x v="1"/>
    <n v="0.5"/>
    <n v="0"/>
    <n v="0"/>
    <s v="Guide numérique et photo des bustes"/>
    <x v="1"/>
  </r>
  <r>
    <x v="845"/>
    <x v="2"/>
    <x v="5"/>
    <x v="1"/>
    <s v="français"/>
    <x v="2"/>
    <n v="3"/>
    <n v="0"/>
    <n v="0"/>
    <m/>
    <x v="3"/>
  </r>
  <r>
    <x v="846"/>
    <x v="2"/>
    <x v="5"/>
    <x v="1"/>
    <s v="français"/>
    <x v="2"/>
    <n v="3"/>
    <n v="0"/>
    <n v="0"/>
    <m/>
    <x v="0"/>
  </r>
  <r>
    <x v="847"/>
    <x v="2"/>
    <x v="5"/>
    <x v="0"/>
    <s v="français"/>
    <x v="2"/>
    <n v="3"/>
    <n v="0"/>
    <n v="0"/>
    <m/>
    <x v="5"/>
  </r>
  <r>
    <x v="848"/>
    <x v="6"/>
    <x v="5"/>
    <x v="0"/>
    <s v="français"/>
    <x v="1"/>
    <n v="0.5"/>
    <n v="0"/>
    <n v="0"/>
    <s v="Journaux des semaines passées"/>
    <x v="6"/>
  </r>
  <r>
    <x v="849"/>
    <x v="8"/>
    <x v="5"/>
    <x v="0"/>
    <s v="français"/>
    <x v="3"/>
    <n v="20"/>
    <n v="0"/>
    <n v="0"/>
    <m/>
    <x v="3"/>
  </r>
  <r>
    <x v="850"/>
    <x v="8"/>
    <x v="5"/>
    <x v="0"/>
    <s v="français"/>
    <x v="0"/>
    <n v="10.5"/>
    <n v="0"/>
    <n v="0"/>
    <m/>
    <x v="3"/>
  </r>
  <r>
    <x v="851"/>
    <x v="8"/>
    <x v="5"/>
    <x v="1"/>
    <s v="français"/>
    <x v="2"/>
    <n v="3"/>
    <n v="0"/>
    <n v="0"/>
    <m/>
    <x v="3"/>
  </r>
  <r>
    <x v="852"/>
    <x v="8"/>
    <x v="5"/>
    <x v="0"/>
    <s v="français"/>
    <x v="2"/>
    <n v="3"/>
    <n v="1"/>
    <n v="0"/>
    <m/>
    <x v="6"/>
  </r>
  <r>
    <x v="853"/>
    <x v="8"/>
    <x v="5"/>
    <x v="0"/>
    <s v="français"/>
    <x v="2"/>
    <n v="3"/>
    <n v="0"/>
    <n v="0"/>
    <m/>
    <x v="7"/>
  </r>
  <r>
    <x v="854"/>
    <x v="8"/>
    <x v="5"/>
    <x v="0"/>
    <s v="français"/>
    <x v="0"/>
    <n v="10.5"/>
    <n v="0"/>
    <n v="0"/>
    <m/>
    <x v="6"/>
  </r>
  <r>
    <x v="855"/>
    <x v="5"/>
    <x v="0"/>
    <x v="0"/>
    <s v="anglais"/>
    <x v="1"/>
    <n v="0.5"/>
    <n v="0"/>
    <n v="0"/>
    <s v="Salle du catalogue et wifi"/>
    <x v="0"/>
  </r>
  <r>
    <x v="856"/>
    <x v="7"/>
    <x v="0"/>
    <x v="0"/>
    <s v="français"/>
    <x v="2"/>
    <n v="3"/>
    <n v="0"/>
    <n v="0"/>
    <m/>
    <x v="4"/>
  </r>
  <r>
    <x v="857"/>
    <x v="7"/>
    <x v="0"/>
    <x v="0"/>
    <s v="français"/>
    <x v="0"/>
    <n v="10.5"/>
    <n v="0"/>
    <n v="0"/>
    <s v="Inscription toujours en cours"/>
    <x v="3"/>
  </r>
  <r>
    <x v="858"/>
    <x v="4"/>
    <x v="0"/>
    <x v="0"/>
    <s v="français"/>
    <x v="0"/>
    <n v="10.5"/>
    <n v="0"/>
    <n v="0"/>
    <m/>
    <x v="8"/>
  </r>
  <r>
    <x v="859"/>
    <x v="4"/>
    <x v="0"/>
    <x v="0"/>
    <s v="français"/>
    <x v="1"/>
    <n v="0.5"/>
    <n v="0"/>
    <n v="0"/>
    <m/>
    <x v="0"/>
  </r>
  <r>
    <x v="860"/>
    <x v="4"/>
    <x v="0"/>
    <x v="0"/>
    <s v="français"/>
    <x v="1"/>
    <n v="0.5"/>
    <n v="0"/>
    <n v="0"/>
    <s v="Mineure =&gt; don formulaire"/>
    <x v="3"/>
  </r>
  <r>
    <x v="861"/>
    <x v="4"/>
    <x v="0"/>
    <x v="0"/>
    <s v="français"/>
    <x v="2"/>
    <n v="3"/>
    <n v="0"/>
    <n v="0"/>
    <m/>
    <x v="4"/>
  </r>
  <r>
    <x v="862"/>
    <x v="1"/>
    <x v="0"/>
    <x v="0"/>
    <s v="français"/>
    <x v="2"/>
    <n v="3"/>
    <n v="0"/>
    <n v="0"/>
    <s v="Plan de Genève pour touriste"/>
    <x v="1"/>
  </r>
  <r>
    <x v="863"/>
    <x v="1"/>
    <x v="0"/>
    <x v="0"/>
    <s v="français"/>
    <x v="2"/>
    <n v="3"/>
    <n v="0"/>
    <n v="0"/>
    <m/>
    <x v="4"/>
  </r>
  <r>
    <x v="864"/>
    <x v="1"/>
    <x v="0"/>
    <x v="0"/>
    <s v="français"/>
    <x v="1"/>
    <n v="0.5"/>
    <n v="0"/>
    <n v="0"/>
    <m/>
    <x v="0"/>
  </r>
  <r>
    <x v="865"/>
    <x v="1"/>
    <x v="0"/>
    <x v="0"/>
    <s v="français"/>
    <x v="1"/>
    <n v="0.5"/>
    <n v="0"/>
    <n v="0"/>
    <m/>
    <x v="0"/>
  </r>
  <r>
    <x v="866"/>
    <x v="1"/>
    <x v="0"/>
    <x v="0"/>
    <s v="français"/>
    <x v="1"/>
    <n v="0.5"/>
    <n v="0"/>
    <n v="0"/>
    <s v="Allumer les lumières"/>
    <x v="1"/>
  </r>
  <r>
    <x v="867"/>
    <x v="6"/>
    <x v="0"/>
    <x v="0"/>
    <s v="français"/>
    <x v="2"/>
    <n v="3"/>
    <n v="1"/>
    <n v="0"/>
    <m/>
    <x v="2"/>
  </r>
  <r>
    <x v="868"/>
    <x v="6"/>
    <x v="0"/>
    <x v="0"/>
    <s v="français"/>
    <x v="2"/>
    <n v="3"/>
    <n v="0"/>
    <n v="0"/>
    <s v="Prendre un monsieur en photo pour mettre à jour son profil Linkedin"/>
    <x v="1"/>
  </r>
  <r>
    <x v="869"/>
    <x v="5"/>
    <x v="1"/>
    <x v="0"/>
    <s v="français"/>
    <x v="0"/>
    <n v="10.5"/>
    <n v="1"/>
    <n v="0"/>
    <m/>
    <x v="2"/>
  </r>
  <r>
    <x v="870"/>
    <x v="5"/>
    <x v="1"/>
    <x v="0"/>
    <s v="français"/>
    <x v="2"/>
    <n v="3"/>
    <n v="0"/>
    <n v="0"/>
    <m/>
    <x v="5"/>
  </r>
  <r>
    <x v="871"/>
    <x v="3"/>
    <x v="1"/>
    <x v="0"/>
    <s v="français"/>
    <x v="0"/>
    <n v="10.5"/>
    <n v="1"/>
    <n v="0"/>
    <m/>
    <x v="2"/>
  </r>
  <r>
    <x v="872"/>
    <x v="3"/>
    <x v="1"/>
    <x v="0"/>
    <s v="français"/>
    <x v="0"/>
    <n v="10.5"/>
    <n v="0"/>
    <n v="0"/>
    <m/>
    <x v="1"/>
  </r>
  <r>
    <x v="873"/>
    <x v="3"/>
    <x v="1"/>
    <x v="0"/>
    <s v="français"/>
    <x v="1"/>
    <n v="0.5"/>
    <n v="0"/>
    <n v="0"/>
    <m/>
    <x v="0"/>
  </r>
  <r>
    <x v="874"/>
    <x v="4"/>
    <x v="1"/>
    <x v="0"/>
    <s v="français"/>
    <x v="0"/>
    <n v="10.5"/>
    <n v="0"/>
    <n v="0"/>
    <m/>
    <x v="3"/>
  </r>
  <r>
    <x v="875"/>
    <x v="1"/>
    <x v="1"/>
    <x v="0"/>
    <s v="français"/>
    <x v="2"/>
    <n v="3"/>
    <n v="0"/>
    <n v="0"/>
    <m/>
    <x v="0"/>
  </r>
  <r>
    <x v="876"/>
    <x v="1"/>
    <x v="1"/>
    <x v="0"/>
    <s v="français"/>
    <x v="1"/>
    <n v="0.5"/>
    <n v="0"/>
    <n v="0"/>
    <m/>
    <x v="8"/>
  </r>
  <r>
    <x v="876"/>
    <x v="1"/>
    <x v="1"/>
    <x v="0"/>
    <s v="français"/>
    <x v="1"/>
    <n v="0.5"/>
    <n v="0"/>
    <n v="0"/>
    <m/>
    <x v="7"/>
  </r>
  <r>
    <x v="877"/>
    <x v="8"/>
    <x v="1"/>
    <x v="0"/>
    <s v="français"/>
    <x v="2"/>
    <n v="3"/>
    <n v="0"/>
    <n v="0"/>
    <m/>
    <x v="3"/>
  </r>
  <r>
    <x v="878"/>
    <x v="8"/>
    <x v="1"/>
    <x v="0"/>
    <s v="français"/>
    <x v="2"/>
    <n v="3"/>
    <n v="0"/>
    <n v="0"/>
    <m/>
    <x v="3"/>
  </r>
  <r>
    <x v="879"/>
    <x v="8"/>
    <x v="1"/>
    <x v="0"/>
    <s v="français"/>
    <x v="2"/>
    <n v="3"/>
    <n v="0"/>
    <n v="0"/>
    <m/>
    <x v="4"/>
  </r>
  <r>
    <x v="880"/>
    <x v="8"/>
    <x v="1"/>
    <x v="0"/>
    <s v="français"/>
    <x v="2"/>
    <n v="3"/>
    <n v="1"/>
    <n v="0"/>
    <m/>
    <x v="2"/>
  </r>
  <r>
    <x v="881"/>
    <x v="0"/>
    <x v="2"/>
    <x v="1"/>
    <s v="français"/>
    <x v="0"/>
    <n v="10.5"/>
    <n v="0"/>
    <n v="0"/>
    <m/>
    <x v="7"/>
  </r>
  <r>
    <x v="881"/>
    <x v="0"/>
    <x v="2"/>
    <x v="1"/>
    <s v="français"/>
    <x v="0"/>
    <n v="10.5"/>
    <n v="0"/>
    <n v="0"/>
    <m/>
    <x v="0"/>
  </r>
  <r>
    <x v="882"/>
    <x v="0"/>
    <x v="2"/>
    <x v="0"/>
    <s v="anglais"/>
    <x v="0"/>
    <n v="10.5"/>
    <n v="0"/>
    <n v="0"/>
    <s v="Statue de Ferdinand De Saussure"/>
    <x v="0"/>
  </r>
  <r>
    <x v="882"/>
    <x v="0"/>
    <x v="2"/>
    <x v="0"/>
    <s v="anglais"/>
    <x v="0"/>
    <n v="10.5"/>
    <n v="0"/>
    <n v="0"/>
    <s v="Statue de Ferdinand De Saussure"/>
    <x v="1"/>
  </r>
  <r>
    <x v="883"/>
    <x v="1"/>
    <x v="2"/>
    <x v="0"/>
    <s v="français"/>
    <x v="0"/>
    <n v="10.5"/>
    <n v="0"/>
    <n v="0"/>
    <s v="Problème avec le wifi de la Ville. "/>
    <x v="8"/>
  </r>
  <r>
    <x v="884"/>
    <x v="1"/>
    <x v="2"/>
    <x v="0"/>
    <s v="français"/>
    <x v="0"/>
    <n v="10.5"/>
    <n v="0"/>
    <n v="0"/>
    <m/>
    <x v="3"/>
  </r>
  <r>
    <x v="885"/>
    <x v="1"/>
    <x v="2"/>
    <x v="0"/>
    <s v="français"/>
    <x v="2"/>
    <n v="3"/>
    <n v="0"/>
    <n v="0"/>
    <s v="une des vitrines avec les nouveautés est fermée à clé. Thierry a finalement trouvé la clé."/>
    <x v="1"/>
  </r>
  <r>
    <x v="886"/>
    <x v="8"/>
    <x v="2"/>
    <x v="0"/>
    <s v="français"/>
    <x v="1"/>
    <n v="0.5"/>
    <n v="0"/>
    <n v="0"/>
    <m/>
    <x v="1"/>
  </r>
  <r>
    <x v="887"/>
    <x v="8"/>
    <x v="2"/>
    <x v="0"/>
    <s v="français"/>
    <x v="1"/>
    <n v="0.5"/>
    <n v="0"/>
    <n v="0"/>
    <m/>
    <x v="0"/>
  </r>
  <r>
    <x v="888"/>
    <x v="5"/>
    <x v="3"/>
    <x v="0"/>
    <s v="français"/>
    <x v="1"/>
    <n v="0.5"/>
    <n v="0"/>
    <n v="0"/>
    <m/>
    <x v="0"/>
  </r>
  <r>
    <x v="889"/>
    <x v="5"/>
    <x v="3"/>
    <x v="0"/>
    <s v="français"/>
    <x v="0"/>
    <n v="10.5"/>
    <n v="0"/>
    <n v="0"/>
    <m/>
    <x v="3"/>
  </r>
  <r>
    <x v="890"/>
    <x v="0"/>
    <x v="3"/>
    <x v="1"/>
    <s v="français"/>
    <x v="0"/>
    <n v="10.5"/>
    <n v="1"/>
    <n v="0"/>
    <m/>
    <x v="2"/>
  </r>
  <r>
    <x v="891"/>
    <x v="7"/>
    <x v="3"/>
    <x v="0"/>
    <s v="français"/>
    <x v="3"/>
    <n v="20"/>
    <n v="0"/>
    <n v="0"/>
    <s v="L'usager est en train d'effectuer des recherches généalogiques sur un étudiant genevois théologien du 19e siècle. Il veut connaître les sources que nous avons chez nous et les autres institutions susceptibles d'en avoir. On lui a dit qu'en venant sur place, il aurait plus d'informations qu'à distance. Je lui ai parlé et montré les sources que je connaissais et lui ai conseillé de passer au département des archives et manuscrits pour des informations plus complètes et pertinentes."/>
    <x v="0"/>
  </r>
  <r>
    <x v="892"/>
    <x v="3"/>
    <x v="3"/>
    <x v="1"/>
    <s v="français"/>
    <x v="0"/>
    <n v="10.5"/>
    <n v="0"/>
    <n v="0"/>
    <s v="Proposition de don"/>
    <x v="1"/>
  </r>
  <r>
    <x v="893"/>
    <x v="1"/>
    <x v="3"/>
    <x v="0"/>
    <s v="français"/>
    <x v="1"/>
    <n v="0.5"/>
    <n v="0"/>
    <n v="0"/>
    <s v="feuilles de brouillon"/>
    <x v="1"/>
  </r>
  <r>
    <x v="894"/>
    <x v="2"/>
    <x v="3"/>
    <x v="0"/>
    <s v="français"/>
    <x v="0"/>
    <n v="10.5"/>
    <n v="0"/>
    <n v="0"/>
    <s v="probleme avec le wifi"/>
    <x v="7"/>
  </r>
  <r>
    <x v="895"/>
    <x v="2"/>
    <x v="3"/>
    <x v="0"/>
    <s v="français"/>
    <x v="0"/>
    <n v="10.5"/>
    <n v="0"/>
    <n v="0"/>
    <s v="jeune homme (16 ans) qui souhaitait s'inscrire et  chercherait des livres sur l'horogerie XVIII, mécanisme, etc. Je lui ai montré comment se créer un compte puis faire des recherches en épinglant les notices intéressantes. Puis il reviendra avec l'autorisation signée pour pouvoir recevoir sa carte et emprunter"/>
    <x v="7"/>
  </r>
  <r>
    <x v="896"/>
    <x v="8"/>
    <x v="3"/>
    <x v="0"/>
    <s v="français"/>
    <x v="0"/>
    <n v="10.5"/>
    <n v="0"/>
    <n v="0"/>
    <m/>
    <x v="3"/>
  </r>
  <r>
    <x v="897"/>
    <x v="8"/>
    <x v="3"/>
    <x v="0"/>
    <s v="français"/>
    <x v="1"/>
    <n v="0.5"/>
    <n v="0"/>
    <n v="0"/>
    <m/>
    <x v="1"/>
  </r>
  <r>
    <x v="898"/>
    <x v="8"/>
    <x v="3"/>
    <x v="0"/>
    <s v="français"/>
    <x v="1"/>
    <n v="0.5"/>
    <n v="0"/>
    <n v="0"/>
    <m/>
    <x v="0"/>
  </r>
  <r>
    <x v="899"/>
    <x v="0"/>
    <x v="4"/>
    <x v="0"/>
    <s v="français"/>
    <x v="1"/>
    <n v="0.5"/>
    <n v="0"/>
    <n v="0"/>
    <m/>
    <x v="7"/>
  </r>
  <r>
    <x v="900"/>
    <x v="7"/>
    <x v="5"/>
    <x v="0"/>
    <s v="français"/>
    <x v="2"/>
    <n v="3"/>
    <n v="0"/>
    <n v="0"/>
    <m/>
    <x v="7"/>
  </r>
  <r>
    <x v="901"/>
    <x v="7"/>
    <x v="5"/>
    <x v="0"/>
    <s v="français"/>
    <x v="2"/>
    <n v="3"/>
    <n v="0"/>
    <n v="0"/>
    <m/>
    <x v="0"/>
  </r>
  <r>
    <x v="902"/>
    <x v="7"/>
    <x v="5"/>
    <x v="0"/>
    <s v="français"/>
    <x v="2"/>
    <n v="3"/>
    <n v="0"/>
    <n v="0"/>
    <m/>
    <x v="8"/>
  </r>
  <r>
    <x v="903"/>
    <x v="7"/>
    <x v="5"/>
    <x v="0"/>
    <s v="français"/>
    <x v="2"/>
    <n v="3"/>
    <n v="0"/>
    <n v="0"/>
    <m/>
    <x v="8"/>
  </r>
  <r>
    <x v="904"/>
    <x v="7"/>
    <x v="5"/>
    <x v="0"/>
    <s v="français"/>
    <x v="0"/>
    <n v="10.5"/>
    <n v="1"/>
    <n v="0"/>
    <m/>
    <x v="2"/>
  </r>
  <r>
    <x v="905"/>
    <x v="4"/>
    <x v="5"/>
    <x v="0"/>
    <s v="français"/>
    <x v="1"/>
    <n v="0.5"/>
    <n v="0"/>
    <n v="0"/>
    <m/>
    <x v="0"/>
  </r>
  <r>
    <x v="906"/>
    <x v="4"/>
    <x v="5"/>
    <x v="0"/>
    <s v="français"/>
    <x v="0"/>
    <n v="10.5"/>
    <n v="0"/>
    <n v="0"/>
    <m/>
    <x v="3"/>
  </r>
  <r>
    <x v="907"/>
    <x v="1"/>
    <x v="5"/>
    <x v="0"/>
    <s v="français"/>
    <x v="1"/>
    <n v="0.5"/>
    <n v="0"/>
    <n v="0"/>
    <m/>
    <x v="7"/>
  </r>
  <r>
    <x v="908"/>
    <x v="1"/>
    <x v="5"/>
    <x v="0"/>
    <s v="français"/>
    <x v="0"/>
    <n v="10.5"/>
    <n v="1"/>
    <n v="0"/>
    <m/>
    <x v="6"/>
  </r>
  <r>
    <x v="909"/>
    <x v="1"/>
    <x v="5"/>
    <x v="1"/>
    <s v="français"/>
    <x v="2"/>
    <n v="3"/>
    <n v="0"/>
    <n v="0"/>
    <m/>
    <x v="6"/>
  </r>
  <r>
    <x v="910"/>
    <x v="2"/>
    <x v="5"/>
    <x v="0"/>
    <s v="français"/>
    <x v="2"/>
    <n v="3"/>
    <n v="0"/>
    <n v="0"/>
    <s v="Réservation salle de réunion"/>
    <x v="1"/>
  </r>
  <r>
    <x v="911"/>
    <x v="2"/>
    <x v="5"/>
    <x v="0"/>
    <s v="français"/>
    <x v="2"/>
    <n v="3"/>
    <n v="0"/>
    <n v="0"/>
    <m/>
    <x v="5"/>
  </r>
  <r>
    <x v="912"/>
    <x v="2"/>
    <x v="5"/>
    <x v="0"/>
    <s v="anglais"/>
    <x v="2"/>
    <n v="3"/>
    <n v="0"/>
    <n v="0"/>
    <m/>
    <x v="4"/>
  </r>
  <r>
    <x v="913"/>
    <x v="6"/>
    <x v="5"/>
    <x v="1"/>
    <s v="français"/>
    <x v="0"/>
    <n v="10.5"/>
    <n v="1"/>
    <n v="0"/>
    <s v="Demande de livres sur les tests psychotechniques d'entrée aux universités de Genève"/>
    <x v="2"/>
  </r>
  <r>
    <x v="914"/>
    <x v="7"/>
    <x v="0"/>
    <x v="0"/>
    <s v="français"/>
    <x v="2"/>
    <n v="3"/>
    <n v="0"/>
    <n v="0"/>
    <m/>
    <x v="3"/>
  </r>
  <r>
    <x v="915"/>
    <x v="7"/>
    <x v="0"/>
    <x v="0"/>
    <s v="français"/>
    <x v="2"/>
    <n v="3"/>
    <n v="0"/>
    <n v="0"/>
    <m/>
    <x v="3"/>
  </r>
  <r>
    <x v="915"/>
    <x v="7"/>
    <x v="0"/>
    <x v="0"/>
    <s v="français"/>
    <x v="2"/>
    <n v="3"/>
    <n v="0"/>
    <n v="0"/>
    <m/>
    <x v="7"/>
  </r>
  <r>
    <x v="916"/>
    <x v="7"/>
    <x v="0"/>
    <x v="0"/>
    <s v="français"/>
    <x v="2"/>
    <n v="3"/>
    <n v="0"/>
    <n v="0"/>
    <m/>
    <x v="8"/>
  </r>
  <r>
    <x v="917"/>
    <x v="7"/>
    <x v="0"/>
    <x v="0"/>
    <s v="français"/>
    <x v="2"/>
    <n v="3"/>
    <n v="1"/>
    <n v="0"/>
    <s v="Oeuvres complètes de Cingria à l'Age d'Homme"/>
    <x v="2"/>
  </r>
  <r>
    <x v="918"/>
    <x v="4"/>
    <x v="0"/>
    <x v="0"/>
    <s v="français"/>
    <x v="2"/>
    <n v="3"/>
    <n v="0"/>
    <n v="0"/>
    <s v="Théâtre anglais et théâtre de Dürrenmatt"/>
    <x v="6"/>
  </r>
  <r>
    <x v="919"/>
    <x v="1"/>
    <x v="0"/>
    <x v="0"/>
    <s v="français"/>
    <x v="0"/>
    <n v="10.5"/>
    <n v="0"/>
    <n v="0"/>
    <s v="De nouveau  le théâtre anglais"/>
    <x v="6"/>
  </r>
  <r>
    <x v="920"/>
    <x v="1"/>
    <x v="0"/>
    <x v="0"/>
    <s v="français"/>
    <x v="0"/>
    <n v="10.5"/>
    <n v="1"/>
    <n v="0"/>
    <m/>
    <x v="2"/>
  </r>
  <r>
    <x v="920"/>
    <x v="1"/>
    <x v="0"/>
    <x v="0"/>
    <s v="français"/>
    <x v="0"/>
    <n v="10.5"/>
    <n v="1"/>
    <n v="0"/>
    <m/>
    <x v="3"/>
  </r>
  <r>
    <x v="921"/>
    <x v="2"/>
    <x v="0"/>
    <x v="0"/>
    <s v="français"/>
    <x v="2"/>
    <n v="3"/>
    <n v="0"/>
    <n v="0"/>
    <m/>
    <x v="4"/>
  </r>
  <r>
    <x v="922"/>
    <x v="8"/>
    <x v="0"/>
    <x v="0"/>
    <s v="français"/>
    <x v="2"/>
    <n v="3"/>
    <n v="0"/>
    <n v="0"/>
    <m/>
    <x v="3"/>
  </r>
  <r>
    <x v="923"/>
    <x v="8"/>
    <x v="0"/>
    <x v="0"/>
    <s v="français"/>
    <x v="2"/>
    <n v="3"/>
    <n v="0"/>
    <n v="0"/>
    <m/>
    <x v="3"/>
  </r>
  <r>
    <x v="924"/>
    <x v="8"/>
    <x v="0"/>
    <x v="0"/>
    <s v="français"/>
    <x v="2"/>
    <n v="3"/>
    <n v="1"/>
    <n v="0"/>
    <m/>
    <x v="2"/>
  </r>
  <r>
    <x v="925"/>
    <x v="8"/>
    <x v="0"/>
    <x v="0"/>
    <s v="français"/>
    <x v="1"/>
    <n v="0.5"/>
    <n v="0"/>
    <n v="0"/>
    <m/>
    <x v="0"/>
  </r>
  <r>
    <x v="926"/>
    <x v="0"/>
    <x v="1"/>
    <x v="1"/>
    <s v="français"/>
    <x v="2"/>
    <n v="3"/>
    <n v="1"/>
    <n v="0"/>
    <m/>
    <x v="2"/>
  </r>
  <r>
    <x v="927"/>
    <x v="0"/>
    <x v="1"/>
    <x v="1"/>
    <s v="français"/>
    <x v="2"/>
    <n v="3"/>
    <n v="0"/>
    <n v="0"/>
    <m/>
    <x v="7"/>
  </r>
  <r>
    <x v="928"/>
    <x v="7"/>
    <x v="1"/>
    <x v="1"/>
    <s v="français"/>
    <x v="0"/>
    <n v="10.5"/>
    <n v="1"/>
    <n v="0"/>
    <s v="Le lecteur avait besoin d'un article dans le Nouvelliste auquel nous n'avons pas accès via Europresse. J'ai demandé à ma maman de faire la photo et je lui ai envoyé l'article. Anne-Sophie"/>
    <x v="2"/>
  </r>
  <r>
    <x v="928"/>
    <x v="7"/>
    <x v="1"/>
    <x v="1"/>
    <s v="français"/>
    <x v="0"/>
    <n v="10.5"/>
    <n v="1"/>
    <n v="0"/>
    <s v="Le lecteur avait besoin d'un article dans le Nouvelliste auquel nous n'avons pas accès via Europresse. J'ai demandé à ma maman de faire la photo et je lui ai envoyé l'article. Anne-Sophie"/>
    <x v="1"/>
  </r>
  <r>
    <x v="929"/>
    <x v="3"/>
    <x v="1"/>
    <x v="0"/>
    <s v="français"/>
    <x v="2"/>
    <n v="3"/>
    <n v="0"/>
    <n v="0"/>
    <m/>
    <x v="4"/>
  </r>
  <r>
    <x v="930"/>
    <x v="3"/>
    <x v="1"/>
    <x v="0"/>
    <s v="français"/>
    <x v="2"/>
    <n v="3"/>
    <n v="0"/>
    <n v="0"/>
    <s v="Restitution du lecteur DVD/VHS"/>
    <x v="8"/>
  </r>
  <r>
    <x v="931"/>
    <x v="3"/>
    <x v="1"/>
    <x v="0"/>
    <s v="français"/>
    <x v="2"/>
    <n v="3"/>
    <n v="0"/>
    <n v="0"/>
    <s v="Recherche d'un livre consacré à Charles le Téméraire"/>
    <x v="2"/>
  </r>
  <r>
    <x v="932"/>
    <x v="1"/>
    <x v="1"/>
    <x v="0"/>
    <s v="français"/>
    <x v="0"/>
    <n v="10.5"/>
    <n v="0"/>
    <n v="0"/>
    <m/>
    <x v="3"/>
  </r>
  <r>
    <x v="932"/>
    <x v="1"/>
    <x v="1"/>
    <x v="0"/>
    <s v="français"/>
    <x v="0"/>
    <n v="10.5"/>
    <n v="0"/>
    <n v="0"/>
    <m/>
    <x v="7"/>
  </r>
  <r>
    <x v="933"/>
    <x v="1"/>
    <x v="1"/>
    <x v="0"/>
    <s v="français"/>
    <x v="0"/>
    <n v="10.5"/>
    <n v="1"/>
    <n v="0"/>
    <m/>
    <x v="6"/>
  </r>
  <r>
    <x v="934"/>
    <x v="1"/>
    <x v="1"/>
    <x v="0"/>
    <s v="français"/>
    <x v="1"/>
    <n v="0.5"/>
    <n v="0"/>
    <n v="0"/>
    <m/>
    <x v="0"/>
  </r>
  <r>
    <x v="935"/>
    <x v="2"/>
    <x v="1"/>
    <x v="0"/>
    <s v="français"/>
    <x v="2"/>
    <n v="3"/>
    <n v="1"/>
    <n v="0"/>
    <m/>
    <x v="6"/>
  </r>
  <r>
    <x v="936"/>
    <x v="6"/>
    <x v="1"/>
    <x v="0"/>
    <s v="français"/>
    <x v="2"/>
    <n v="3"/>
    <n v="0"/>
    <n v="0"/>
    <s v="problème pour imprimer"/>
    <x v="7"/>
  </r>
  <r>
    <x v="937"/>
    <x v="6"/>
    <x v="1"/>
    <x v="0"/>
    <s v="français"/>
    <x v="1"/>
    <n v="0.5"/>
    <n v="0"/>
    <n v="0"/>
    <s v="comment supprimer un doc. qu'on ne souhaite pas imprimer ?"/>
    <x v="8"/>
  </r>
  <r>
    <x v="938"/>
    <x v="8"/>
    <x v="1"/>
    <x v="0"/>
    <s v="français"/>
    <x v="2"/>
    <n v="3"/>
    <n v="0"/>
    <n v="0"/>
    <s v="Pré-inscription d'une jeune de 15 ans qui reviendra dans quelques jours prendre sa carte dès qu'elle aura 16 ans et fait signer la feuille à ses parents ;-)"/>
    <x v="3"/>
  </r>
  <r>
    <x v="939"/>
    <x v="5"/>
    <x v="2"/>
    <x v="1"/>
    <s v="français"/>
    <x v="2"/>
    <n v="3"/>
    <n v="0"/>
    <n v="0"/>
    <s v="Proposition de don de livre en arabe -&gt; pas Genevensia donc renvoyé à l'unige"/>
    <x v="1"/>
  </r>
  <r>
    <x v="940"/>
    <x v="0"/>
    <x v="2"/>
    <x v="0"/>
    <s v="français"/>
    <x v="2"/>
    <n v="3"/>
    <n v="0"/>
    <n v="0"/>
    <m/>
    <x v="7"/>
  </r>
  <r>
    <x v="941"/>
    <x v="0"/>
    <x v="2"/>
    <x v="0"/>
    <s v="français"/>
    <x v="2"/>
    <n v="3"/>
    <n v="0"/>
    <n v="0"/>
    <m/>
    <x v="7"/>
  </r>
  <r>
    <x v="942"/>
    <x v="7"/>
    <x v="2"/>
    <x v="0"/>
    <s v="français"/>
    <x v="1"/>
    <n v="0.5"/>
    <n v="0"/>
    <n v="0"/>
    <m/>
    <x v="0"/>
  </r>
  <r>
    <x v="943"/>
    <x v="7"/>
    <x v="2"/>
    <x v="1"/>
    <s v="anglais"/>
    <x v="2"/>
    <n v="3"/>
    <n v="0"/>
    <n v="0"/>
    <s v="Quelqu'un en fauteuil roulant devant porte côté Bastions"/>
    <x v="1"/>
  </r>
  <r>
    <x v="944"/>
    <x v="3"/>
    <x v="2"/>
    <x v="0"/>
    <s v="anglais"/>
    <x v="0"/>
    <n v="10.5"/>
    <n v="1"/>
    <n v="0"/>
    <m/>
    <x v="3"/>
  </r>
  <r>
    <x v="945"/>
    <x v="4"/>
    <x v="2"/>
    <x v="0"/>
    <s v="français"/>
    <x v="2"/>
    <n v="3"/>
    <n v="0"/>
    <n v="0"/>
    <m/>
    <x v="4"/>
  </r>
  <r>
    <x v="946"/>
    <x v="1"/>
    <x v="2"/>
    <x v="0"/>
    <s v="français"/>
    <x v="2"/>
    <n v="3"/>
    <n v="1"/>
    <n v="0"/>
    <m/>
    <x v="2"/>
  </r>
  <r>
    <x v="947"/>
    <x v="1"/>
    <x v="2"/>
    <x v="0"/>
    <s v="français"/>
    <x v="2"/>
    <n v="3"/>
    <n v="0"/>
    <n v="0"/>
    <s v="Impression"/>
    <x v="8"/>
  </r>
  <r>
    <x v="948"/>
    <x v="8"/>
    <x v="2"/>
    <x v="0"/>
    <s v="français"/>
    <x v="1"/>
    <n v="0.5"/>
    <n v="0"/>
    <n v="0"/>
    <m/>
    <x v="1"/>
  </r>
  <r>
    <x v="949"/>
    <x v="8"/>
    <x v="2"/>
    <x v="0"/>
    <s v="français"/>
    <x v="1"/>
    <n v="0.5"/>
    <n v="0"/>
    <n v="0"/>
    <m/>
    <x v="0"/>
  </r>
  <r>
    <x v="950"/>
    <x v="8"/>
    <x v="2"/>
    <x v="0"/>
    <s v="français"/>
    <x v="1"/>
    <n v="0.5"/>
    <n v="0"/>
    <n v="0"/>
    <m/>
    <x v="0"/>
  </r>
  <r>
    <x v="951"/>
    <x v="8"/>
    <x v="2"/>
    <x v="0"/>
    <s v="français"/>
    <x v="1"/>
    <n v="0.5"/>
    <n v="0"/>
    <n v="0"/>
    <m/>
    <x v="0"/>
  </r>
  <r>
    <x v="952"/>
    <x v="8"/>
    <x v="2"/>
    <x v="0"/>
    <s v="français"/>
    <x v="2"/>
    <n v="3"/>
    <n v="0"/>
    <n v="0"/>
    <m/>
    <x v="4"/>
  </r>
  <r>
    <x v="953"/>
    <x v="8"/>
    <x v="2"/>
    <x v="1"/>
    <s v="français"/>
    <x v="2"/>
    <n v="3"/>
    <n v="1"/>
    <n v="0"/>
    <m/>
    <x v="2"/>
  </r>
  <r>
    <x v="954"/>
    <x v="7"/>
    <x v="3"/>
    <x v="0"/>
    <s v="français"/>
    <x v="1"/>
    <n v="0.5"/>
    <n v="0"/>
    <n v="0"/>
    <m/>
    <x v="0"/>
  </r>
  <r>
    <x v="955"/>
    <x v="7"/>
    <x v="3"/>
    <x v="0"/>
    <s v="français"/>
    <x v="1"/>
    <n v="0.5"/>
    <n v="0"/>
    <n v="0"/>
    <m/>
    <x v="7"/>
  </r>
  <r>
    <x v="955"/>
    <x v="7"/>
    <x v="3"/>
    <x v="0"/>
    <s v="français"/>
    <x v="1"/>
    <n v="0.5"/>
    <n v="0"/>
    <n v="0"/>
    <m/>
    <x v="0"/>
  </r>
  <r>
    <x v="956"/>
    <x v="3"/>
    <x v="3"/>
    <x v="0"/>
    <s v="français"/>
    <x v="2"/>
    <n v="3"/>
    <n v="0"/>
    <n v="0"/>
    <m/>
    <x v="7"/>
  </r>
  <r>
    <x v="957"/>
    <x v="1"/>
    <x v="3"/>
    <x v="0"/>
    <s v="français"/>
    <x v="3"/>
    <n v="20"/>
    <n v="0"/>
    <n v="0"/>
    <m/>
    <x v="3"/>
  </r>
  <r>
    <x v="958"/>
    <x v="1"/>
    <x v="3"/>
    <x v="0"/>
    <s v="français"/>
    <x v="3"/>
    <n v="20"/>
    <n v="0"/>
    <n v="0"/>
    <m/>
    <x v="3"/>
  </r>
  <r>
    <x v="959"/>
    <x v="1"/>
    <x v="3"/>
    <x v="0"/>
    <s v="français"/>
    <x v="2"/>
    <n v="3"/>
    <n v="0"/>
    <n v="0"/>
    <s v="Réservation salle de travail"/>
    <x v="7"/>
  </r>
  <r>
    <x v="960"/>
    <x v="1"/>
    <x v="3"/>
    <x v="0"/>
    <s v="français"/>
    <x v="2"/>
    <n v="3"/>
    <n v="0"/>
    <n v="0"/>
    <s v="Problème entre 2 lecteurs"/>
    <x v="1"/>
  </r>
  <r>
    <x v="961"/>
    <x v="2"/>
    <x v="3"/>
    <x v="0"/>
    <s v="français"/>
    <x v="2"/>
    <n v="3"/>
    <n v="0"/>
    <n v="0"/>
    <m/>
    <x v="2"/>
  </r>
  <r>
    <x v="962"/>
    <x v="2"/>
    <x v="3"/>
    <x v="0"/>
    <s v="français"/>
    <x v="2"/>
    <n v="3"/>
    <n v="0"/>
    <n v="0"/>
    <m/>
    <x v="2"/>
  </r>
  <r>
    <x v="963"/>
    <x v="2"/>
    <x v="3"/>
    <x v="0"/>
    <s v="français"/>
    <x v="0"/>
    <n v="10.5"/>
    <n v="0"/>
    <n v="0"/>
    <m/>
    <x v="8"/>
  </r>
  <r>
    <x v="964"/>
    <x v="2"/>
    <x v="3"/>
    <x v="0"/>
    <s v="français"/>
    <x v="2"/>
    <n v="3"/>
    <n v="1"/>
    <n v="0"/>
    <m/>
    <x v="2"/>
  </r>
  <r>
    <x v="965"/>
    <x v="8"/>
    <x v="3"/>
    <x v="0"/>
    <s v="français"/>
    <x v="2"/>
    <n v="3"/>
    <n v="0"/>
    <n v="0"/>
    <m/>
    <x v="7"/>
  </r>
  <r>
    <x v="966"/>
    <x v="8"/>
    <x v="3"/>
    <x v="1"/>
    <s v="français"/>
    <x v="2"/>
    <n v="3"/>
    <n v="0"/>
    <n v="0"/>
    <m/>
    <x v="0"/>
  </r>
  <r>
    <x v="967"/>
    <x v="0"/>
    <x v="4"/>
    <x v="0"/>
    <s v="français"/>
    <x v="0"/>
    <n v="10.5"/>
    <n v="0"/>
    <n v="0"/>
    <m/>
    <x v="3"/>
  </r>
  <r>
    <x v="968"/>
    <x v="0"/>
    <x v="4"/>
    <x v="0"/>
    <s v="français"/>
    <x v="0"/>
    <n v="10.5"/>
    <n v="0"/>
    <n v="0"/>
    <s v="&quot;Agent orange&quot; (le pesticide, pas Donald Trump)"/>
    <x v="6"/>
  </r>
  <r>
    <x v="969"/>
    <x v="7"/>
    <x v="4"/>
    <x v="0"/>
    <s v="français"/>
    <x v="0"/>
    <n v="10.5"/>
    <n v="0"/>
    <n v="0"/>
    <s v="Envoi d'un document word vers l'imprimante... impression en nb... puis en couleurs (rouge et noir)... puis en couleurs (auto). Ouf, réussi."/>
    <x v="8"/>
  </r>
  <r>
    <x v="970"/>
    <x v="7"/>
    <x v="5"/>
    <x v="0"/>
    <s v="français"/>
    <x v="0"/>
    <n v="10.5"/>
    <n v="0"/>
    <n v="0"/>
    <m/>
    <x v="5"/>
  </r>
  <r>
    <x v="971"/>
    <x v="4"/>
    <x v="5"/>
    <x v="0"/>
    <s v="français"/>
    <x v="0"/>
    <n v="10.5"/>
    <n v="0"/>
    <n v="0"/>
    <m/>
    <x v="3"/>
  </r>
  <r>
    <x v="972"/>
    <x v="4"/>
    <x v="5"/>
    <x v="0"/>
    <s v="français"/>
    <x v="0"/>
    <n v="10.5"/>
    <n v="0"/>
    <n v="0"/>
    <m/>
    <x v="3"/>
  </r>
  <r>
    <x v="973"/>
    <x v="4"/>
    <x v="5"/>
    <x v="0"/>
    <s v="français"/>
    <x v="1"/>
    <n v="0.5"/>
    <n v="0"/>
    <n v="0"/>
    <s v="Demande de mettre un petit panneau pour dire de nettoyer derrière soit dans l'espace café (certain ne respecte pas la propreté des tables ou des lieux)"/>
    <x v="1"/>
  </r>
  <r>
    <x v="974"/>
    <x v="1"/>
    <x v="5"/>
    <x v="0"/>
    <s v="français"/>
    <x v="1"/>
    <n v="0.5"/>
    <n v="0"/>
    <n v="0"/>
    <s v="Occupation salle de réunion"/>
    <x v="1"/>
  </r>
  <r>
    <x v="975"/>
    <x v="1"/>
    <x v="5"/>
    <x v="0"/>
    <s v="français"/>
    <x v="1"/>
    <n v="0.5"/>
    <n v="0"/>
    <n v="0"/>
    <s v="Chargeur téléphone pour wifi (natel déchargé)"/>
    <x v="1"/>
  </r>
  <r>
    <x v="976"/>
    <x v="1"/>
    <x v="5"/>
    <x v="0"/>
    <s v="français"/>
    <x v="1"/>
    <n v="0.5"/>
    <n v="0"/>
    <n v="1"/>
    <s v="Consultation livres SAR"/>
    <x v="2"/>
  </r>
  <r>
    <x v="976"/>
    <x v="1"/>
    <x v="5"/>
    <x v="0"/>
    <s v="français"/>
    <x v="1"/>
    <n v="0.5"/>
    <n v="0"/>
    <n v="1"/>
    <s v="Consultation livres SAR"/>
    <x v="1"/>
  </r>
  <r>
    <x v="977"/>
    <x v="1"/>
    <x v="5"/>
    <x v="0"/>
    <s v="français"/>
    <x v="2"/>
    <n v="3"/>
    <n v="1"/>
    <n v="0"/>
    <m/>
    <x v="2"/>
  </r>
  <r>
    <x v="978"/>
    <x v="2"/>
    <x v="5"/>
    <x v="0"/>
    <s v="français"/>
    <x v="0"/>
    <n v="10.5"/>
    <n v="0"/>
    <n v="0"/>
    <m/>
    <x v="2"/>
  </r>
  <r>
    <x v="978"/>
    <x v="2"/>
    <x v="5"/>
    <x v="0"/>
    <s v="français"/>
    <x v="0"/>
    <n v="10.5"/>
    <n v="0"/>
    <n v="0"/>
    <m/>
    <x v="8"/>
  </r>
  <r>
    <x v="979"/>
    <x v="2"/>
    <x v="5"/>
    <x v="0"/>
    <s v="français"/>
    <x v="2"/>
    <n v="3"/>
    <n v="0"/>
    <n v="0"/>
    <s v="Réservation Salle de Réunion"/>
    <x v="1"/>
  </r>
  <r>
    <x v="980"/>
    <x v="2"/>
    <x v="5"/>
    <x v="0"/>
    <s v="français"/>
    <x v="2"/>
    <n v="3"/>
    <n v="0"/>
    <n v="0"/>
    <s v="Consultation de la Suisse (1970)"/>
    <x v="1"/>
  </r>
  <r>
    <x v="981"/>
    <x v="0"/>
    <x v="0"/>
    <x v="0"/>
    <s v="français"/>
    <x v="1"/>
    <n v="0.5"/>
    <n v="0"/>
    <n v="0"/>
    <m/>
    <x v="7"/>
  </r>
  <r>
    <x v="982"/>
    <x v="0"/>
    <x v="0"/>
    <x v="1"/>
    <s v="français"/>
    <x v="0"/>
    <n v="10.5"/>
    <n v="0"/>
    <n v="0"/>
    <s v="Proposition de dons suite à un décès. J'ai dit non"/>
    <x v="1"/>
  </r>
  <r>
    <x v="983"/>
    <x v="3"/>
    <x v="0"/>
    <x v="0"/>
    <s v="français"/>
    <x v="2"/>
    <n v="3"/>
    <n v="1"/>
    <n v="0"/>
    <m/>
    <x v="2"/>
  </r>
  <r>
    <x v="984"/>
    <x v="3"/>
    <x v="0"/>
    <x v="0"/>
    <s v="français"/>
    <x v="1"/>
    <n v="0.5"/>
    <n v="0"/>
    <n v="0"/>
    <m/>
    <x v="0"/>
  </r>
  <r>
    <x v="985"/>
    <x v="3"/>
    <x v="0"/>
    <x v="0"/>
    <s v="français"/>
    <x v="0"/>
    <n v="10.5"/>
    <n v="1"/>
    <n v="1"/>
    <s v="Avons nous la collection Arsène Lupin de Lebanc"/>
    <x v="2"/>
  </r>
  <r>
    <x v="985"/>
    <x v="3"/>
    <x v="0"/>
    <x v="0"/>
    <s v="français"/>
    <x v="0"/>
    <n v="10.5"/>
    <n v="1"/>
    <n v="1"/>
    <s v="Avons nous la collection Arsène Lupin de Lebanc"/>
    <x v="1"/>
  </r>
  <r>
    <x v="986"/>
    <x v="6"/>
    <x v="0"/>
    <x v="0"/>
    <s v="français"/>
    <x v="0"/>
    <n v="10.5"/>
    <n v="0"/>
    <n v="0"/>
    <m/>
    <x v="3"/>
  </r>
  <r>
    <x v="986"/>
    <x v="6"/>
    <x v="0"/>
    <x v="0"/>
    <s v="français"/>
    <x v="0"/>
    <n v="10.5"/>
    <n v="0"/>
    <n v="0"/>
    <m/>
    <x v="5"/>
  </r>
  <r>
    <x v="987"/>
    <x v="6"/>
    <x v="0"/>
    <x v="1"/>
    <s v="français"/>
    <x v="2"/>
    <n v="3"/>
    <n v="1"/>
    <n v="0"/>
    <m/>
    <x v="2"/>
  </r>
  <r>
    <x v="988"/>
    <x v="6"/>
    <x v="0"/>
    <x v="0"/>
    <s v="français"/>
    <x v="1"/>
    <n v="0.5"/>
    <n v="0"/>
    <n v="0"/>
    <m/>
    <x v="0"/>
  </r>
  <r>
    <x v="989"/>
    <x v="6"/>
    <x v="0"/>
    <x v="0"/>
    <s v="français"/>
    <x v="1"/>
    <n v="0.5"/>
    <n v="0"/>
    <n v="0"/>
    <m/>
    <x v="0"/>
  </r>
  <r>
    <x v="990"/>
    <x v="3"/>
    <x v="1"/>
    <x v="0"/>
    <s v="français"/>
    <x v="3"/>
    <n v="20"/>
    <n v="1"/>
    <n v="0"/>
    <m/>
    <x v="2"/>
  </r>
  <r>
    <x v="990"/>
    <x v="3"/>
    <x v="1"/>
    <x v="0"/>
    <s v="français"/>
    <x v="3"/>
    <n v="20"/>
    <n v="1"/>
    <n v="0"/>
    <m/>
    <x v="3"/>
  </r>
  <r>
    <x v="990"/>
    <x v="3"/>
    <x v="1"/>
    <x v="0"/>
    <s v="français"/>
    <x v="3"/>
    <n v="20"/>
    <n v="1"/>
    <n v="0"/>
    <m/>
    <x v="5"/>
  </r>
  <r>
    <x v="991"/>
    <x v="1"/>
    <x v="1"/>
    <x v="0"/>
    <s v="français"/>
    <x v="0"/>
    <n v="10.5"/>
    <n v="1"/>
    <n v="0"/>
    <m/>
    <x v="2"/>
  </r>
  <r>
    <x v="992"/>
    <x v="2"/>
    <x v="1"/>
    <x v="0"/>
    <s v="français"/>
    <x v="1"/>
    <n v="0.5"/>
    <n v="0"/>
    <n v="0"/>
    <m/>
    <x v="8"/>
  </r>
  <r>
    <x v="993"/>
    <x v="8"/>
    <x v="1"/>
    <x v="0"/>
    <s v="français"/>
    <x v="1"/>
    <n v="0.5"/>
    <n v="0"/>
    <n v="0"/>
    <m/>
    <x v="1"/>
  </r>
  <r>
    <x v="994"/>
    <x v="8"/>
    <x v="1"/>
    <x v="0"/>
    <s v="français"/>
    <x v="1"/>
    <n v="0.5"/>
    <n v="0"/>
    <n v="0"/>
    <m/>
    <x v="1"/>
  </r>
  <r>
    <x v="995"/>
    <x v="8"/>
    <x v="1"/>
    <x v="0"/>
    <s v="français"/>
    <x v="2"/>
    <n v="3"/>
    <n v="0"/>
    <n v="0"/>
    <m/>
    <x v="4"/>
  </r>
  <r>
    <x v="996"/>
    <x v="8"/>
    <x v="1"/>
    <x v="0"/>
    <s v="français"/>
    <x v="2"/>
    <n v="3"/>
    <n v="0"/>
    <n v="0"/>
    <m/>
    <x v="8"/>
  </r>
  <r>
    <x v="997"/>
    <x v="8"/>
    <x v="1"/>
    <x v="0"/>
    <s v="français"/>
    <x v="1"/>
    <n v="0.5"/>
    <n v="0"/>
    <n v="0"/>
    <m/>
    <x v="7"/>
  </r>
  <r>
    <x v="998"/>
    <x v="5"/>
    <x v="2"/>
    <x v="0"/>
    <s v="français"/>
    <x v="2"/>
    <n v="3"/>
    <n v="0"/>
    <n v="0"/>
    <s v="Une usagère est venue se plaindre car la Salle Senebier était fermée"/>
    <x v="7"/>
  </r>
  <r>
    <x v="999"/>
    <x v="5"/>
    <x v="2"/>
    <x v="0"/>
    <s v="français"/>
    <x v="2"/>
    <n v="3"/>
    <n v="0"/>
    <n v="0"/>
    <m/>
    <x v="8"/>
  </r>
  <r>
    <x v="1000"/>
    <x v="5"/>
    <x v="2"/>
    <x v="0"/>
    <s v="français"/>
    <x v="1"/>
    <n v="0.5"/>
    <n v="0"/>
    <n v="0"/>
    <m/>
    <x v="0"/>
  </r>
  <r>
    <x v="1001"/>
    <x v="5"/>
    <x v="2"/>
    <x v="0"/>
    <s v="français"/>
    <x v="2"/>
    <n v="3"/>
    <n v="1"/>
    <n v="0"/>
    <m/>
    <x v="5"/>
  </r>
  <r>
    <x v="1002"/>
    <x v="5"/>
    <x v="2"/>
    <x v="0"/>
    <s v="français"/>
    <x v="0"/>
    <n v="10.5"/>
    <n v="0"/>
    <n v="0"/>
    <m/>
    <x v="7"/>
  </r>
  <r>
    <x v="1003"/>
    <x v="0"/>
    <x v="2"/>
    <x v="0"/>
    <s v="français"/>
    <x v="2"/>
    <n v="3"/>
    <n v="0"/>
    <n v="0"/>
    <s v="livre au DBU Uni pas possible de la commander via Swisscovery"/>
    <x v="1"/>
  </r>
  <r>
    <x v="1004"/>
    <x v="0"/>
    <x v="2"/>
    <x v="0"/>
    <s v="français"/>
    <x v="0"/>
    <n v="10.5"/>
    <n v="0"/>
    <n v="0"/>
    <m/>
    <x v="5"/>
  </r>
  <r>
    <x v="1005"/>
    <x v="0"/>
    <x v="2"/>
    <x v="0"/>
    <s v="français"/>
    <x v="0"/>
    <n v="10.5"/>
    <n v="0"/>
    <n v="0"/>
    <m/>
    <x v="5"/>
  </r>
  <r>
    <x v="1006"/>
    <x v="1"/>
    <x v="2"/>
    <x v="0"/>
    <s v="français"/>
    <x v="1"/>
    <n v="0.5"/>
    <n v="0"/>
    <n v="0"/>
    <m/>
    <x v="0"/>
  </r>
  <r>
    <x v="1007"/>
    <x v="1"/>
    <x v="2"/>
    <x v="0"/>
    <s v="français"/>
    <x v="2"/>
    <n v="3"/>
    <n v="1"/>
    <n v="0"/>
    <m/>
    <x v="2"/>
  </r>
  <r>
    <x v="1008"/>
    <x v="1"/>
    <x v="2"/>
    <x v="0"/>
    <s v="français"/>
    <x v="2"/>
    <n v="3"/>
    <n v="0"/>
    <n v="0"/>
    <m/>
    <x v="2"/>
  </r>
  <r>
    <x v="1008"/>
    <x v="1"/>
    <x v="2"/>
    <x v="0"/>
    <s v="français"/>
    <x v="2"/>
    <n v="3"/>
    <n v="0"/>
    <n v="0"/>
    <m/>
    <x v="5"/>
  </r>
  <r>
    <x v="1009"/>
    <x v="1"/>
    <x v="2"/>
    <x v="0"/>
    <s v="français"/>
    <x v="2"/>
    <n v="3"/>
    <n v="1"/>
    <n v="0"/>
    <m/>
    <x v="2"/>
  </r>
  <r>
    <x v="1009"/>
    <x v="1"/>
    <x v="2"/>
    <x v="0"/>
    <s v="français"/>
    <x v="2"/>
    <n v="3"/>
    <n v="1"/>
    <n v="0"/>
    <m/>
    <x v="5"/>
  </r>
  <r>
    <x v="1010"/>
    <x v="1"/>
    <x v="2"/>
    <x v="0"/>
    <s v="français"/>
    <x v="1"/>
    <n v="0.5"/>
    <n v="0"/>
    <n v="0"/>
    <s v="Où est l'expo de photo ?"/>
    <x v="1"/>
  </r>
  <r>
    <x v="1011"/>
    <x v="8"/>
    <x v="2"/>
    <x v="1"/>
    <s v="français"/>
    <x v="0"/>
    <n v="10.5"/>
    <n v="1"/>
    <n v="0"/>
    <m/>
    <x v="2"/>
  </r>
  <r>
    <x v="1011"/>
    <x v="8"/>
    <x v="2"/>
    <x v="1"/>
    <s v="français"/>
    <x v="0"/>
    <n v="10.5"/>
    <n v="1"/>
    <n v="0"/>
    <m/>
    <x v="0"/>
  </r>
  <r>
    <x v="1012"/>
    <x v="8"/>
    <x v="2"/>
    <x v="0"/>
    <s v="français"/>
    <x v="2"/>
    <n v="3"/>
    <n v="1"/>
    <n v="0"/>
    <m/>
    <x v="2"/>
  </r>
  <r>
    <x v="1013"/>
    <x v="8"/>
    <x v="2"/>
    <x v="0"/>
    <s v="français"/>
    <x v="1"/>
    <n v="0.5"/>
    <n v="0"/>
    <n v="0"/>
    <m/>
    <x v="0"/>
  </r>
  <r>
    <x v="1014"/>
    <x v="8"/>
    <x v="2"/>
    <x v="0"/>
    <s v="français"/>
    <x v="1"/>
    <n v="0.5"/>
    <n v="0"/>
    <n v="0"/>
    <m/>
    <x v="1"/>
  </r>
  <r>
    <x v="1015"/>
    <x v="8"/>
    <x v="2"/>
    <x v="0"/>
    <s v="français"/>
    <x v="1"/>
    <n v="0.5"/>
    <n v="0"/>
    <n v="0"/>
    <m/>
    <x v="8"/>
  </r>
  <r>
    <x v="1016"/>
    <x v="5"/>
    <x v="3"/>
    <x v="0"/>
    <s v="français"/>
    <x v="1"/>
    <n v="0.5"/>
    <n v="0"/>
    <n v="0"/>
    <m/>
    <x v="0"/>
  </r>
  <r>
    <x v="1017"/>
    <x v="3"/>
    <x v="3"/>
    <x v="0"/>
    <s v="français"/>
    <x v="2"/>
    <n v="3"/>
    <n v="0"/>
    <n v="0"/>
    <m/>
    <x v="7"/>
  </r>
  <r>
    <x v="1018"/>
    <x v="3"/>
    <x v="3"/>
    <x v="0"/>
    <s v="français"/>
    <x v="1"/>
    <n v="0.5"/>
    <n v="0"/>
    <n v="0"/>
    <m/>
    <x v="7"/>
  </r>
  <r>
    <x v="1019"/>
    <x v="4"/>
    <x v="3"/>
    <x v="0"/>
    <s v="français"/>
    <x v="0"/>
    <n v="10.5"/>
    <n v="0"/>
    <n v="0"/>
    <m/>
    <x v="3"/>
  </r>
  <r>
    <x v="1020"/>
    <x v="1"/>
    <x v="3"/>
    <x v="0"/>
    <s v="français"/>
    <x v="0"/>
    <n v="10.5"/>
    <n v="1"/>
    <n v="0"/>
    <m/>
    <x v="2"/>
  </r>
  <r>
    <x v="1021"/>
    <x v="1"/>
    <x v="3"/>
    <x v="0"/>
    <s v="français"/>
    <x v="1"/>
    <n v="0.5"/>
    <n v="0"/>
    <n v="0"/>
    <s v="pret"/>
    <x v="0"/>
  </r>
  <r>
    <x v="1022"/>
    <x v="2"/>
    <x v="3"/>
    <x v="0"/>
    <s v="français"/>
    <x v="0"/>
    <n v="10.5"/>
    <n v="0"/>
    <n v="0"/>
    <m/>
    <x v="3"/>
  </r>
  <r>
    <x v="1023"/>
    <x v="2"/>
    <x v="3"/>
    <x v="0"/>
    <s v="français"/>
    <x v="2"/>
    <n v="3"/>
    <n v="0"/>
    <n v="0"/>
    <m/>
    <x v="4"/>
  </r>
  <r>
    <x v="1024"/>
    <x v="2"/>
    <x v="3"/>
    <x v="0"/>
    <s v="français"/>
    <x v="2"/>
    <n v="3"/>
    <n v="1"/>
    <n v="0"/>
    <m/>
    <x v="2"/>
  </r>
  <r>
    <x v="1025"/>
    <x v="5"/>
    <x v="5"/>
    <x v="0"/>
    <s v="français"/>
    <x v="2"/>
    <n v="3"/>
    <n v="0"/>
    <n v="0"/>
    <m/>
    <x v="4"/>
  </r>
  <r>
    <x v="1026"/>
    <x v="5"/>
    <x v="5"/>
    <x v="0"/>
    <s v="français"/>
    <x v="2"/>
    <n v="3"/>
    <n v="0"/>
    <n v="0"/>
    <m/>
    <x v="4"/>
  </r>
  <r>
    <x v="1027"/>
    <x v="5"/>
    <x v="5"/>
    <x v="0"/>
    <s v="français"/>
    <x v="2"/>
    <n v="3"/>
    <n v="0"/>
    <n v="0"/>
    <m/>
    <x v="7"/>
  </r>
  <r>
    <x v="1028"/>
    <x v="0"/>
    <x v="5"/>
    <x v="0"/>
    <s v="français"/>
    <x v="2"/>
    <n v="3"/>
    <n v="1"/>
    <n v="0"/>
    <s v="Bible de Jérusalem"/>
    <x v="2"/>
  </r>
  <r>
    <x v="1029"/>
    <x v="0"/>
    <x v="5"/>
    <x v="0"/>
    <s v="français"/>
    <x v="2"/>
    <n v="3"/>
    <n v="0"/>
    <n v="0"/>
    <s v="Demande autorisation pour prendre des photos"/>
    <x v="1"/>
  </r>
  <r>
    <x v="1030"/>
    <x v="4"/>
    <x v="5"/>
    <x v="0"/>
    <s v="français"/>
    <x v="0"/>
    <n v="10.5"/>
    <n v="0"/>
    <n v="0"/>
    <m/>
    <x v="2"/>
  </r>
  <r>
    <x v="1031"/>
    <x v="4"/>
    <x v="5"/>
    <x v="0"/>
    <s v="français"/>
    <x v="0"/>
    <n v="10.5"/>
    <n v="0"/>
    <n v="0"/>
    <m/>
    <x v="3"/>
  </r>
  <r>
    <x v="1032"/>
    <x v="4"/>
    <x v="5"/>
    <x v="0"/>
    <s v="français"/>
    <x v="0"/>
    <n v="10.5"/>
    <n v="0"/>
    <n v="0"/>
    <m/>
    <x v="3"/>
  </r>
  <r>
    <x v="1033"/>
    <x v="1"/>
    <x v="5"/>
    <x v="1"/>
    <s v="français"/>
    <x v="3"/>
    <n v="20"/>
    <n v="0"/>
    <n v="0"/>
    <s v="Formation Zotero -&gt; Empruntez un bibliothécaire -&gt; formation Zotero"/>
    <x v="1"/>
  </r>
  <r>
    <x v="1034"/>
    <x v="1"/>
    <x v="5"/>
    <x v="0"/>
    <s v="français"/>
    <x v="2"/>
    <n v="3"/>
    <n v="0"/>
    <n v="0"/>
    <s v="Anciens numéros peridiques dans Salle du Catalogue  "/>
    <x v="1"/>
  </r>
  <r>
    <x v="1035"/>
    <x v="1"/>
    <x v="5"/>
    <x v="0"/>
    <s v="français"/>
    <x v="2"/>
    <n v="3"/>
    <n v="0"/>
    <n v="0"/>
    <m/>
    <x v="2"/>
  </r>
  <r>
    <x v="1036"/>
    <x v="1"/>
    <x v="5"/>
    <x v="0"/>
    <s v="français"/>
    <x v="0"/>
    <n v="10.5"/>
    <n v="1"/>
    <n v="1"/>
    <m/>
    <x v="6"/>
  </r>
  <r>
    <x v="1037"/>
    <x v="2"/>
    <x v="5"/>
    <x v="0"/>
    <s v="français"/>
    <x v="1"/>
    <n v="0.5"/>
    <n v="0"/>
    <n v="0"/>
    <s v="Réservation salle de réunion"/>
    <x v="1"/>
  </r>
  <r>
    <x v="1038"/>
    <x v="7"/>
    <x v="1"/>
    <x v="0"/>
    <s v="français"/>
    <x v="2"/>
    <n v="3"/>
    <n v="1"/>
    <n v="0"/>
    <m/>
    <x v="7"/>
  </r>
  <r>
    <x v="1039"/>
    <x v="1"/>
    <x v="1"/>
    <x v="0"/>
    <s v="français"/>
    <x v="3"/>
    <n v="20"/>
    <n v="1"/>
    <n v="0"/>
    <m/>
    <x v="2"/>
  </r>
  <r>
    <x v="1039"/>
    <x v="1"/>
    <x v="1"/>
    <x v="0"/>
    <s v="français"/>
    <x v="3"/>
    <n v="20"/>
    <n v="1"/>
    <n v="0"/>
    <m/>
    <x v="3"/>
  </r>
  <r>
    <x v="1039"/>
    <x v="1"/>
    <x v="1"/>
    <x v="0"/>
    <s v="français"/>
    <x v="3"/>
    <n v="20"/>
    <n v="1"/>
    <n v="0"/>
    <m/>
    <x v="5"/>
  </r>
  <r>
    <x v="1040"/>
    <x v="1"/>
    <x v="1"/>
    <x v="0"/>
    <s v="français"/>
    <x v="2"/>
    <n v="3"/>
    <n v="0"/>
    <n v="0"/>
    <s v="Labor et Fides DL"/>
    <x v="1"/>
  </r>
  <r>
    <x v="1041"/>
    <x v="1"/>
    <x v="1"/>
    <x v="0"/>
    <s v="français"/>
    <x v="2"/>
    <n v="3"/>
    <n v="1"/>
    <n v="0"/>
    <m/>
    <x v="2"/>
  </r>
  <r>
    <x v="1041"/>
    <x v="1"/>
    <x v="1"/>
    <x v="0"/>
    <s v="français"/>
    <x v="2"/>
    <n v="3"/>
    <n v="1"/>
    <n v="0"/>
    <m/>
    <x v="5"/>
  </r>
  <r>
    <x v="1042"/>
    <x v="1"/>
    <x v="1"/>
    <x v="0"/>
    <s v="français"/>
    <x v="2"/>
    <n v="3"/>
    <n v="1"/>
    <n v="0"/>
    <m/>
    <x v="2"/>
  </r>
  <r>
    <x v="1043"/>
    <x v="1"/>
    <x v="1"/>
    <x v="0"/>
    <s v="français"/>
    <x v="2"/>
    <n v="3"/>
    <n v="0"/>
    <n v="1"/>
    <s v="Bibliographies de Genève"/>
    <x v="6"/>
  </r>
  <r>
    <x v="1044"/>
    <x v="0"/>
    <x v="2"/>
    <x v="0"/>
    <s v="français"/>
    <x v="0"/>
    <n v="10.5"/>
    <n v="0"/>
    <n v="0"/>
    <m/>
    <x v="7"/>
  </r>
  <r>
    <x v="1045"/>
    <x v="0"/>
    <x v="2"/>
    <x v="0"/>
    <s v="français"/>
    <x v="2"/>
    <n v="3"/>
    <n v="0"/>
    <n v="0"/>
    <m/>
    <x v="7"/>
  </r>
  <r>
    <x v="1046"/>
    <x v="3"/>
    <x v="2"/>
    <x v="0"/>
    <s v="français"/>
    <x v="2"/>
    <n v="3"/>
    <n v="0"/>
    <n v="0"/>
    <m/>
    <x v="4"/>
  </r>
  <r>
    <x v="1047"/>
    <x v="4"/>
    <x v="2"/>
    <x v="0"/>
    <s v="français"/>
    <x v="3"/>
    <n v="20"/>
    <n v="0"/>
    <n v="0"/>
    <m/>
    <x v="2"/>
  </r>
  <r>
    <x v="1048"/>
    <x v="1"/>
    <x v="2"/>
    <x v="0"/>
    <s v="français"/>
    <x v="2"/>
    <n v="3"/>
    <n v="1"/>
    <n v="0"/>
    <m/>
    <x v="2"/>
  </r>
  <r>
    <x v="1049"/>
    <x v="1"/>
    <x v="2"/>
    <x v="0"/>
    <s v="français"/>
    <x v="1"/>
    <n v="0.5"/>
    <n v="0"/>
    <n v="0"/>
    <m/>
    <x v="0"/>
  </r>
  <r>
    <x v="1050"/>
    <x v="1"/>
    <x v="2"/>
    <x v="0"/>
    <s v="anglais"/>
    <x v="2"/>
    <n v="3"/>
    <n v="0"/>
    <n v="0"/>
    <m/>
    <x v="8"/>
  </r>
  <r>
    <x v="1051"/>
    <x v="1"/>
    <x v="2"/>
    <x v="0"/>
    <s v="français"/>
    <x v="0"/>
    <n v="10.5"/>
    <n v="1"/>
    <n v="0"/>
    <m/>
    <x v="3"/>
  </r>
  <r>
    <x v="1051"/>
    <x v="1"/>
    <x v="2"/>
    <x v="0"/>
    <s v="français"/>
    <x v="0"/>
    <n v="10.5"/>
    <n v="1"/>
    <n v="0"/>
    <m/>
    <x v="7"/>
  </r>
  <r>
    <x v="1052"/>
    <x v="1"/>
    <x v="2"/>
    <x v="0"/>
    <s v="français"/>
    <x v="2"/>
    <n v="3"/>
    <n v="1"/>
    <n v="0"/>
    <m/>
    <x v="2"/>
  </r>
  <r>
    <x v="1053"/>
    <x v="5"/>
    <x v="3"/>
    <x v="0"/>
    <s v="français"/>
    <x v="2"/>
    <n v="3"/>
    <n v="0"/>
    <n v="0"/>
    <m/>
    <x v="8"/>
  </r>
  <r>
    <x v="1054"/>
    <x v="5"/>
    <x v="3"/>
    <x v="0"/>
    <s v="français"/>
    <x v="1"/>
    <n v="0.5"/>
    <n v="0"/>
    <n v="0"/>
    <m/>
    <x v="1"/>
  </r>
  <r>
    <x v="1055"/>
    <x v="5"/>
    <x v="3"/>
    <x v="0"/>
    <s v="français"/>
    <x v="2"/>
    <n v="3"/>
    <n v="0"/>
    <n v="0"/>
    <m/>
    <x v="3"/>
  </r>
  <r>
    <x v="1055"/>
    <x v="5"/>
    <x v="3"/>
    <x v="0"/>
    <s v="français"/>
    <x v="2"/>
    <n v="3"/>
    <n v="0"/>
    <n v="0"/>
    <m/>
    <x v="5"/>
  </r>
  <r>
    <x v="1056"/>
    <x v="7"/>
    <x v="3"/>
    <x v="0"/>
    <s v="français"/>
    <x v="0"/>
    <n v="10.5"/>
    <n v="0"/>
    <n v="0"/>
    <s v="Propositions de dons"/>
    <x v="1"/>
  </r>
  <r>
    <x v="1057"/>
    <x v="7"/>
    <x v="3"/>
    <x v="0"/>
    <s v="français"/>
    <x v="2"/>
    <n v="3"/>
    <n v="1"/>
    <n v="0"/>
    <m/>
    <x v="2"/>
  </r>
  <r>
    <x v="1058"/>
    <x v="7"/>
    <x v="3"/>
    <x v="0"/>
    <s v="français"/>
    <x v="1"/>
    <n v="0.5"/>
    <n v="0"/>
    <n v="0"/>
    <m/>
    <x v="0"/>
  </r>
  <r>
    <x v="1059"/>
    <x v="3"/>
    <x v="3"/>
    <x v="0"/>
    <s v="français"/>
    <x v="2"/>
    <n v="3"/>
    <n v="0"/>
    <n v="0"/>
    <m/>
    <x v="2"/>
  </r>
  <r>
    <x v="1060"/>
    <x v="2"/>
    <x v="3"/>
    <x v="0"/>
    <s v="français"/>
    <x v="3"/>
    <n v="20"/>
    <n v="1"/>
    <n v="0"/>
    <m/>
    <x v="3"/>
  </r>
  <r>
    <x v="1060"/>
    <x v="2"/>
    <x v="3"/>
    <x v="0"/>
    <s v="français"/>
    <x v="3"/>
    <n v="20"/>
    <n v="1"/>
    <n v="0"/>
    <m/>
    <x v="7"/>
  </r>
  <r>
    <x v="1061"/>
    <x v="2"/>
    <x v="3"/>
    <x v="0"/>
    <s v="français"/>
    <x v="0"/>
    <n v="10.5"/>
    <n v="0"/>
    <n v="0"/>
    <m/>
    <x v="5"/>
  </r>
  <r>
    <x v="1062"/>
    <x v="2"/>
    <x v="3"/>
    <x v="0"/>
    <s v="français"/>
    <x v="2"/>
    <n v="3"/>
    <n v="0"/>
    <n v="0"/>
    <m/>
    <x v="3"/>
  </r>
  <r>
    <x v="1063"/>
    <x v="2"/>
    <x v="3"/>
    <x v="0"/>
    <s v="français"/>
    <x v="2"/>
    <n v="3"/>
    <n v="0"/>
    <n v="0"/>
    <m/>
    <x v="8"/>
  </r>
  <r>
    <x v="1064"/>
    <x v="0"/>
    <x v="5"/>
    <x v="0"/>
    <s v="français"/>
    <x v="0"/>
    <n v="10.5"/>
    <n v="0"/>
    <n v="0"/>
    <s v="Tentative d'imprimer directement depuis 1 clé USB"/>
    <x v="8"/>
  </r>
  <r>
    <x v="1065"/>
    <x v="7"/>
    <x v="5"/>
    <x v="0"/>
    <s v="français"/>
    <x v="1"/>
    <n v="0.5"/>
    <n v="0"/>
    <n v="0"/>
    <m/>
    <x v="7"/>
  </r>
  <r>
    <x v="1066"/>
    <x v="7"/>
    <x v="5"/>
    <x v="0"/>
    <s v="français"/>
    <x v="2"/>
    <n v="3"/>
    <n v="1"/>
    <n v="0"/>
    <m/>
    <x v="2"/>
  </r>
  <r>
    <x v="1067"/>
    <x v="7"/>
    <x v="5"/>
    <x v="0"/>
    <s v="français"/>
    <x v="1"/>
    <n v="0.5"/>
    <n v="0"/>
    <n v="0"/>
    <m/>
    <x v="8"/>
  </r>
  <r>
    <x v="1068"/>
    <x v="4"/>
    <x v="5"/>
    <x v="0"/>
    <s v="français"/>
    <x v="0"/>
    <n v="10.5"/>
    <n v="0"/>
    <n v="0"/>
    <s v="Recherche pour le Prêt d'un no de périodique non trouvé en rayons"/>
    <x v="2"/>
  </r>
  <r>
    <x v="1069"/>
    <x v="4"/>
    <x v="5"/>
    <x v="0"/>
    <s v="français"/>
    <x v="0"/>
    <n v="10.5"/>
    <n v="1"/>
    <n v="0"/>
    <s v="Recherche d'une série d'ouvrages ayant été refoulés de Bonivard"/>
    <x v="2"/>
  </r>
  <r>
    <x v="1070"/>
    <x v="1"/>
    <x v="5"/>
    <x v="0"/>
    <s v="français"/>
    <x v="0"/>
    <n v="10.5"/>
    <n v="1"/>
    <n v="0"/>
    <m/>
    <x v="7"/>
  </r>
  <r>
    <x v="1071"/>
    <x v="1"/>
    <x v="5"/>
    <x v="0"/>
    <s v="français"/>
    <x v="3"/>
    <n v="20"/>
    <n v="0"/>
    <n v="0"/>
    <m/>
    <x v="3"/>
  </r>
  <r>
    <x v="1072"/>
    <x v="2"/>
    <x v="5"/>
    <x v="0"/>
    <s v="français"/>
    <x v="1"/>
    <n v="0.5"/>
    <n v="0"/>
    <n v="0"/>
    <m/>
    <x v="0"/>
  </r>
  <r>
    <x v="1073"/>
    <x v="2"/>
    <x v="5"/>
    <x v="0"/>
    <s v="français"/>
    <x v="0"/>
    <n v="10.5"/>
    <n v="1"/>
    <n v="0"/>
    <m/>
    <x v="2"/>
  </r>
  <r>
    <x v="1074"/>
    <x v="2"/>
    <x v="5"/>
    <x v="1"/>
    <s v="français"/>
    <x v="2"/>
    <n v="3"/>
    <n v="0"/>
    <n v="0"/>
    <s v="S'inscrire à emprunter nos bibliothécaires"/>
    <x v="1"/>
  </r>
  <r>
    <x v="1075"/>
    <x v="2"/>
    <x v="5"/>
    <x v="0"/>
    <s v="français"/>
    <x v="1"/>
    <n v="0.5"/>
    <n v="0"/>
    <n v="0"/>
    <m/>
    <x v="0"/>
  </r>
  <r>
    <x v="1076"/>
    <x v="2"/>
    <x v="5"/>
    <x v="0"/>
    <s v="français"/>
    <x v="1"/>
    <n v="0.5"/>
    <n v="0"/>
    <n v="0"/>
    <s v="Feuilles de brouillon"/>
    <x v="1"/>
  </r>
  <r>
    <x v="1077"/>
    <x v="3"/>
    <x v="0"/>
    <x v="0"/>
    <s v="français"/>
    <x v="0"/>
    <n v="10.5"/>
    <n v="0"/>
    <n v="0"/>
    <m/>
    <x v="3"/>
  </r>
  <r>
    <x v="1078"/>
    <x v="4"/>
    <x v="0"/>
    <x v="0"/>
    <s v="français"/>
    <x v="3"/>
    <n v="20"/>
    <n v="0"/>
    <n v="0"/>
    <s v="Pré-inscription... &quot;numéro de téléphone déjà utilisé dans  un autre compte&quot;... tentative de récupérer le mot de passe de l'autre compte... attente (dans les spam)... tentative de fusionner les deux comptes... attente... etc etc... PAS SIMPLE !"/>
    <x v="3"/>
  </r>
  <r>
    <x v="1079"/>
    <x v="1"/>
    <x v="0"/>
    <x v="0"/>
    <s v="français"/>
    <x v="2"/>
    <n v="3"/>
    <n v="0"/>
    <n v="0"/>
    <m/>
    <x v="7"/>
  </r>
  <r>
    <x v="1080"/>
    <x v="1"/>
    <x v="0"/>
    <x v="0"/>
    <s v="français"/>
    <x v="2"/>
    <n v="3"/>
    <n v="0"/>
    <n v="0"/>
    <s v="Aurait reçu un courriel de Switch edu-id lui disant que son compte serait supprimé =&gt; ait demandé qu'elle le transmette à info.bge"/>
    <x v="1"/>
  </r>
  <r>
    <x v="1081"/>
    <x v="1"/>
    <x v="0"/>
    <x v="0"/>
    <s v="français"/>
    <x v="2"/>
    <n v="3"/>
    <n v="1"/>
    <n v="0"/>
    <s v="Article dans le Figaro du 9 novembre, qui a disparu =&gt; Pressreader"/>
    <x v="2"/>
  </r>
  <r>
    <x v="1082"/>
    <x v="1"/>
    <x v="0"/>
    <x v="0"/>
    <s v="français"/>
    <x v="2"/>
    <n v="3"/>
    <n v="0"/>
    <n v="0"/>
    <s v="Document à l'université"/>
    <x v="2"/>
  </r>
  <r>
    <x v="1083"/>
    <x v="1"/>
    <x v="0"/>
    <x v="0"/>
    <s v="français"/>
    <x v="1"/>
    <n v="0.5"/>
    <n v="0"/>
    <n v="0"/>
    <s v="Le Temps =&gt; 15h"/>
    <x v="2"/>
  </r>
  <r>
    <x v="1084"/>
    <x v="1"/>
    <x v="0"/>
    <x v="0"/>
    <s v="français"/>
    <x v="0"/>
    <n v="10.5"/>
    <n v="0"/>
    <n v="0"/>
    <m/>
    <x v="2"/>
  </r>
  <r>
    <x v="1085"/>
    <x v="8"/>
    <x v="0"/>
    <x v="0"/>
    <s v="français"/>
    <x v="2"/>
    <n v="3"/>
    <n v="0"/>
    <n v="0"/>
    <m/>
    <x v="3"/>
  </r>
  <r>
    <x v="1086"/>
    <x v="8"/>
    <x v="0"/>
    <x v="0"/>
    <s v="français"/>
    <x v="1"/>
    <n v="0.5"/>
    <n v="0"/>
    <n v="0"/>
    <m/>
    <x v="0"/>
  </r>
  <r>
    <x v="1087"/>
    <x v="8"/>
    <x v="0"/>
    <x v="0"/>
    <s v="français"/>
    <x v="0"/>
    <n v="10.5"/>
    <n v="1"/>
    <n v="0"/>
    <m/>
    <x v="2"/>
  </r>
  <r>
    <x v="1088"/>
    <x v="8"/>
    <x v="0"/>
    <x v="0"/>
    <s v="français"/>
    <x v="2"/>
    <n v="3"/>
    <n v="0"/>
    <n v="0"/>
    <m/>
    <x v="8"/>
  </r>
  <r>
    <x v="1089"/>
    <x v="7"/>
    <x v="1"/>
    <x v="0"/>
    <s v="français"/>
    <x v="0"/>
    <n v="10.5"/>
    <n v="0"/>
    <n v="0"/>
    <m/>
    <x v="3"/>
  </r>
  <r>
    <x v="1090"/>
    <x v="3"/>
    <x v="1"/>
    <x v="0"/>
    <s v="français"/>
    <x v="2"/>
    <n v="3"/>
    <n v="0"/>
    <n v="0"/>
    <m/>
    <x v="7"/>
  </r>
  <r>
    <x v="1091"/>
    <x v="3"/>
    <x v="1"/>
    <x v="0"/>
    <s v="français"/>
    <x v="2"/>
    <n v="3"/>
    <n v="0"/>
    <n v="0"/>
    <m/>
    <x v="7"/>
  </r>
  <r>
    <x v="1092"/>
    <x v="3"/>
    <x v="1"/>
    <x v="0"/>
    <s v="français"/>
    <x v="2"/>
    <n v="3"/>
    <n v="0"/>
    <n v="0"/>
    <m/>
    <x v="7"/>
  </r>
  <r>
    <x v="1093"/>
    <x v="1"/>
    <x v="1"/>
    <x v="0"/>
    <s v="français"/>
    <x v="3"/>
    <n v="20"/>
    <n v="0"/>
    <n v="0"/>
    <s v="Réinscription d'un lecteur qui avait un compte &quot;usager92&quot; et qui souhaitait ajouter un mail pour passer à un compte normal"/>
    <x v="3"/>
  </r>
  <r>
    <x v="1094"/>
    <x v="8"/>
    <x v="1"/>
    <x v="0"/>
    <s v="français"/>
    <x v="2"/>
    <n v="3"/>
    <n v="0"/>
    <n v="0"/>
    <m/>
    <x v="3"/>
  </r>
  <r>
    <x v="1095"/>
    <x v="8"/>
    <x v="1"/>
    <x v="0"/>
    <s v="français"/>
    <x v="1"/>
    <n v="0.5"/>
    <n v="0"/>
    <n v="0"/>
    <m/>
    <x v="7"/>
  </r>
  <r>
    <x v="1096"/>
    <x v="8"/>
    <x v="1"/>
    <x v="0"/>
    <s v="français"/>
    <x v="2"/>
    <n v="3"/>
    <n v="0"/>
    <n v="0"/>
    <m/>
    <x v="7"/>
  </r>
  <r>
    <x v="1097"/>
    <x v="8"/>
    <x v="1"/>
    <x v="0"/>
    <s v="français"/>
    <x v="1"/>
    <n v="0.5"/>
    <n v="0"/>
    <n v="0"/>
    <m/>
    <x v="0"/>
  </r>
  <r>
    <x v="1098"/>
    <x v="5"/>
    <x v="2"/>
    <x v="1"/>
    <s v="français"/>
    <x v="2"/>
    <n v="3"/>
    <n v="0"/>
    <n v="0"/>
    <m/>
    <x v="7"/>
  </r>
  <r>
    <x v="1099"/>
    <x v="0"/>
    <x v="2"/>
    <x v="0"/>
    <s v="français"/>
    <x v="2"/>
    <n v="3"/>
    <n v="0"/>
    <n v="0"/>
    <m/>
    <x v="7"/>
  </r>
  <r>
    <x v="1100"/>
    <x v="1"/>
    <x v="2"/>
    <x v="0"/>
    <s v="français"/>
    <x v="1"/>
    <n v="0.5"/>
    <n v="0"/>
    <n v="0"/>
    <s v="écouteurs"/>
    <x v="1"/>
  </r>
  <r>
    <x v="1101"/>
    <x v="7"/>
    <x v="3"/>
    <x v="0"/>
    <s v="français"/>
    <x v="1"/>
    <n v="0.5"/>
    <n v="0"/>
    <n v="0"/>
    <m/>
    <x v="7"/>
  </r>
  <r>
    <x v="1102"/>
    <x v="7"/>
    <x v="3"/>
    <x v="0"/>
    <s v="français"/>
    <x v="1"/>
    <n v="0.5"/>
    <n v="0"/>
    <n v="0"/>
    <m/>
    <x v="7"/>
  </r>
  <r>
    <x v="1103"/>
    <x v="7"/>
    <x v="3"/>
    <x v="0"/>
    <s v="français"/>
    <x v="2"/>
    <n v="3"/>
    <n v="0"/>
    <n v="0"/>
    <m/>
    <x v="4"/>
  </r>
  <r>
    <x v="1104"/>
    <x v="7"/>
    <x v="3"/>
    <x v="0"/>
    <s v="français"/>
    <x v="1"/>
    <n v="0.5"/>
    <n v="0"/>
    <n v="0"/>
    <m/>
    <x v="7"/>
  </r>
  <r>
    <x v="1105"/>
    <x v="3"/>
    <x v="3"/>
    <x v="0"/>
    <s v="français"/>
    <x v="1"/>
    <n v="0.5"/>
    <n v="0"/>
    <n v="0"/>
    <m/>
    <x v="7"/>
  </r>
  <r>
    <x v="1106"/>
    <x v="3"/>
    <x v="3"/>
    <x v="0"/>
    <s v="français"/>
    <x v="1"/>
    <n v="0.5"/>
    <n v="0"/>
    <n v="0"/>
    <s v="Panettone coincé dans le distributeur de l'espace café."/>
    <x v="1"/>
  </r>
  <r>
    <x v="1107"/>
    <x v="3"/>
    <x v="3"/>
    <x v="0"/>
    <s v="français"/>
    <x v="1"/>
    <n v="0.5"/>
    <n v="0"/>
    <n v="0"/>
    <m/>
    <x v="7"/>
  </r>
  <r>
    <x v="1108"/>
    <x v="4"/>
    <x v="3"/>
    <x v="0"/>
    <s v="français"/>
    <x v="1"/>
    <n v="0.5"/>
    <n v="0"/>
    <n v="0"/>
    <m/>
    <x v="0"/>
  </r>
  <r>
    <x v="1109"/>
    <x v="2"/>
    <x v="3"/>
    <x v="0"/>
    <s v="français"/>
    <x v="2"/>
    <n v="3"/>
    <n v="0"/>
    <n v="0"/>
    <m/>
    <x v="4"/>
  </r>
  <r>
    <x v="1110"/>
    <x v="2"/>
    <x v="3"/>
    <x v="0"/>
    <s v="français"/>
    <x v="2"/>
    <n v="3"/>
    <n v="0"/>
    <n v="0"/>
    <s v="Accompagner dame ascenceur"/>
    <x v="1"/>
  </r>
  <r>
    <x v="1111"/>
    <x v="7"/>
    <x v="4"/>
    <x v="0"/>
    <s v="français"/>
    <x v="3"/>
    <n v="20"/>
    <n v="0"/>
    <n v="0"/>
    <s v="Aide ponctuelle sur l'imprimante pour un monsieur sur la matinée"/>
    <x v="8"/>
  </r>
  <r>
    <x v="1112"/>
    <x v="7"/>
    <x v="4"/>
    <x v="0"/>
    <s v="français"/>
    <x v="2"/>
    <n v="3"/>
    <n v="0"/>
    <n v="0"/>
    <m/>
    <x v="4"/>
  </r>
  <r>
    <x v="1113"/>
    <x v="5"/>
    <x v="5"/>
    <x v="1"/>
    <s v="français"/>
    <x v="2"/>
    <n v="3"/>
    <n v="1"/>
    <n v="1"/>
    <s v="Série &quot;Sur écoute&quot; ; cherché aux BM et à la bibliothèque de Meyrin"/>
    <x v="2"/>
  </r>
  <r>
    <x v="1114"/>
    <x v="5"/>
    <x v="5"/>
    <x v="1"/>
    <s v="français"/>
    <x v="2"/>
    <n v="3"/>
    <n v="0"/>
    <n v="0"/>
    <s v="Visite de l'exposition"/>
    <x v="1"/>
  </r>
  <r>
    <x v="1115"/>
    <x v="0"/>
    <x v="5"/>
    <x v="1"/>
    <s v="français"/>
    <x v="2"/>
    <n v="3"/>
    <n v="0"/>
    <n v="0"/>
    <m/>
    <x v="0"/>
  </r>
  <r>
    <x v="1116"/>
    <x v="0"/>
    <x v="5"/>
    <x v="1"/>
    <s v="français"/>
    <x v="0"/>
    <n v="10.5"/>
    <n v="0"/>
    <n v="0"/>
    <m/>
    <x v="1"/>
  </r>
  <r>
    <x v="1117"/>
    <x v="7"/>
    <x v="5"/>
    <x v="0"/>
    <s v="français"/>
    <x v="2"/>
    <n v="3"/>
    <n v="0"/>
    <n v="0"/>
    <m/>
    <x v="4"/>
  </r>
  <r>
    <x v="1118"/>
    <x v="7"/>
    <x v="5"/>
    <x v="0"/>
    <s v="français"/>
    <x v="2"/>
    <n v="3"/>
    <n v="0"/>
    <n v="0"/>
    <m/>
    <x v="8"/>
  </r>
  <r>
    <x v="1119"/>
    <x v="7"/>
    <x v="5"/>
    <x v="0"/>
    <s v="français"/>
    <x v="1"/>
    <n v="0.5"/>
    <n v="0"/>
    <n v="0"/>
    <m/>
    <x v="0"/>
  </r>
  <r>
    <x v="1120"/>
    <x v="7"/>
    <x v="5"/>
    <x v="0"/>
    <s v="français"/>
    <x v="2"/>
    <n v="3"/>
    <n v="0"/>
    <n v="0"/>
    <m/>
    <x v="8"/>
  </r>
  <r>
    <x v="1120"/>
    <x v="7"/>
    <x v="5"/>
    <x v="0"/>
    <s v="français"/>
    <x v="2"/>
    <n v="3"/>
    <n v="0"/>
    <n v="0"/>
    <m/>
    <x v="7"/>
  </r>
  <r>
    <x v="1121"/>
    <x v="7"/>
    <x v="5"/>
    <x v="0"/>
    <s v="français"/>
    <x v="2"/>
    <n v="3"/>
    <n v="0"/>
    <n v="0"/>
    <m/>
    <x v="8"/>
  </r>
  <r>
    <x v="1122"/>
    <x v="3"/>
    <x v="5"/>
    <x v="0"/>
    <s v="français"/>
    <x v="0"/>
    <n v="10.5"/>
    <n v="0"/>
    <n v="0"/>
    <m/>
    <x v="4"/>
  </r>
  <r>
    <x v="1123"/>
    <x v="3"/>
    <x v="5"/>
    <x v="0"/>
    <s v="français"/>
    <x v="2"/>
    <n v="3"/>
    <n v="0"/>
    <n v="0"/>
    <m/>
    <x v="0"/>
  </r>
  <r>
    <x v="1124"/>
    <x v="4"/>
    <x v="5"/>
    <x v="0"/>
    <s v="français"/>
    <x v="1"/>
    <n v="0.5"/>
    <n v="0"/>
    <n v="0"/>
    <s v="Prêt d'un casque"/>
    <x v="1"/>
  </r>
  <r>
    <x v="1125"/>
    <x v="4"/>
    <x v="5"/>
    <x v="0"/>
    <s v="français"/>
    <x v="2"/>
    <n v="3"/>
    <n v="0"/>
    <n v="0"/>
    <s v="Problème avec MondoPC (connexion impossible pour les nouveaux usagers souhaitant se connecter)"/>
    <x v="1"/>
  </r>
  <r>
    <x v="1126"/>
    <x v="1"/>
    <x v="5"/>
    <x v="0"/>
    <s v="français"/>
    <x v="1"/>
    <n v="0.5"/>
    <n v="0"/>
    <n v="0"/>
    <s v="Réservation Salle de Réunion"/>
    <x v="1"/>
  </r>
  <r>
    <x v="1127"/>
    <x v="2"/>
    <x v="5"/>
    <x v="0"/>
    <s v="français"/>
    <x v="2"/>
    <n v="3"/>
    <n v="1"/>
    <n v="0"/>
    <m/>
    <x v="2"/>
  </r>
  <r>
    <x v="1128"/>
    <x v="6"/>
    <x v="5"/>
    <x v="0"/>
    <s v="français"/>
    <x v="0"/>
    <n v="10.5"/>
    <n v="1"/>
    <n v="0"/>
    <m/>
    <x v="2"/>
  </r>
  <r>
    <x v="1128"/>
    <x v="6"/>
    <x v="5"/>
    <x v="0"/>
    <s v="français"/>
    <x v="0"/>
    <n v="10.5"/>
    <n v="1"/>
    <n v="0"/>
    <m/>
    <x v="3"/>
  </r>
  <r>
    <x v="1129"/>
    <x v="6"/>
    <x v="5"/>
    <x v="0"/>
    <s v="français"/>
    <x v="2"/>
    <n v="3"/>
    <n v="0"/>
    <n v="0"/>
    <s v="Salle de réunion"/>
    <x v="7"/>
  </r>
  <r>
    <x v="1130"/>
    <x v="6"/>
    <x v="5"/>
    <x v="1"/>
    <s v="français"/>
    <x v="2"/>
    <n v="3"/>
    <n v="0"/>
    <n v="0"/>
    <s v="Question sur la gratuité du PEB"/>
    <x v="1"/>
  </r>
  <r>
    <x v="1131"/>
    <x v="4"/>
    <x v="0"/>
    <x v="0"/>
    <s v="français"/>
    <x v="1"/>
    <n v="0.5"/>
    <n v="0"/>
    <n v="0"/>
    <s v="Salle de réunion"/>
    <x v="1"/>
  </r>
  <r>
    <x v="1132"/>
    <x v="1"/>
    <x v="0"/>
    <x v="0"/>
    <s v="français"/>
    <x v="2"/>
    <n v="3"/>
    <n v="0"/>
    <n v="0"/>
    <m/>
    <x v="3"/>
  </r>
  <r>
    <x v="1133"/>
    <x v="1"/>
    <x v="0"/>
    <x v="1"/>
    <s v="français"/>
    <x v="2"/>
    <n v="3"/>
    <n v="0"/>
    <n v="0"/>
    <s v="Renseignements pour un don"/>
    <x v="1"/>
  </r>
  <r>
    <x v="1134"/>
    <x v="2"/>
    <x v="0"/>
    <x v="1"/>
    <s v="français"/>
    <x v="0"/>
    <n v="10.5"/>
    <n v="0"/>
    <n v="0"/>
    <m/>
    <x v="3"/>
  </r>
  <r>
    <x v="1135"/>
    <x v="8"/>
    <x v="0"/>
    <x v="0"/>
    <s v="français"/>
    <x v="1"/>
    <n v="0.5"/>
    <n v="0"/>
    <n v="0"/>
    <s v="don d'auteur"/>
    <x v="1"/>
  </r>
  <r>
    <x v="1136"/>
    <x v="8"/>
    <x v="0"/>
    <x v="0"/>
    <s v="français"/>
    <x v="2"/>
    <n v="3"/>
    <n v="1"/>
    <n v="0"/>
    <m/>
    <x v="2"/>
  </r>
  <r>
    <x v="1137"/>
    <x v="8"/>
    <x v="0"/>
    <x v="0"/>
    <s v="anglais"/>
    <x v="2"/>
    <n v="3"/>
    <n v="1"/>
    <n v="0"/>
    <m/>
    <x v="2"/>
  </r>
  <r>
    <x v="1138"/>
    <x v="8"/>
    <x v="0"/>
    <x v="0"/>
    <s v="français"/>
    <x v="2"/>
    <n v="3"/>
    <n v="0"/>
    <n v="0"/>
    <m/>
    <x v="7"/>
  </r>
  <r>
    <x v="1139"/>
    <x v="8"/>
    <x v="0"/>
    <x v="0"/>
    <s v="anglais"/>
    <x v="2"/>
    <n v="3"/>
    <n v="0"/>
    <n v="0"/>
    <m/>
    <x v="5"/>
  </r>
  <r>
    <x v="1139"/>
    <x v="8"/>
    <x v="0"/>
    <x v="0"/>
    <s v="anglais"/>
    <x v="2"/>
    <n v="3"/>
    <n v="0"/>
    <n v="0"/>
    <m/>
    <x v="7"/>
  </r>
  <r>
    <x v="1140"/>
    <x v="5"/>
    <x v="1"/>
    <x v="1"/>
    <s v="français"/>
    <x v="1"/>
    <n v="0.5"/>
    <n v="0"/>
    <n v="0"/>
    <m/>
    <x v="7"/>
  </r>
  <r>
    <x v="1141"/>
    <x v="1"/>
    <x v="1"/>
    <x v="0"/>
    <s v="français"/>
    <x v="0"/>
    <n v="10.5"/>
    <n v="0"/>
    <n v="0"/>
    <m/>
    <x v="7"/>
  </r>
  <r>
    <x v="1142"/>
    <x v="1"/>
    <x v="1"/>
    <x v="0"/>
    <s v="français"/>
    <x v="0"/>
    <n v="10.5"/>
    <n v="1"/>
    <n v="0"/>
    <m/>
    <x v="2"/>
  </r>
  <r>
    <x v="1142"/>
    <x v="1"/>
    <x v="1"/>
    <x v="0"/>
    <s v="français"/>
    <x v="0"/>
    <n v="10.5"/>
    <n v="1"/>
    <n v="0"/>
    <m/>
    <x v="5"/>
  </r>
  <r>
    <x v="1143"/>
    <x v="1"/>
    <x v="1"/>
    <x v="0"/>
    <s v="français"/>
    <x v="0"/>
    <n v="10.5"/>
    <n v="0"/>
    <n v="0"/>
    <m/>
    <x v="6"/>
  </r>
  <r>
    <x v="1143"/>
    <x v="1"/>
    <x v="1"/>
    <x v="0"/>
    <s v="français"/>
    <x v="0"/>
    <n v="10.5"/>
    <n v="0"/>
    <n v="0"/>
    <m/>
    <x v="3"/>
  </r>
  <r>
    <x v="1143"/>
    <x v="1"/>
    <x v="1"/>
    <x v="0"/>
    <s v="français"/>
    <x v="0"/>
    <n v="10.5"/>
    <n v="0"/>
    <n v="0"/>
    <m/>
    <x v="5"/>
  </r>
  <r>
    <x v="1144"/>
    <x v="8"/>
    <x v="1"/>
    <x v="0"/>
    <s v="français"/>
    <x v="3"/>
    <n v="20"/>
    <n v="1"/>
    <n v="0"/>
    <m/>
    <x v="3"/>
  </r>
  <r>
    <x v="1144"/>
    <x v="8"/>
    <x v="1"/>
    <x v="0"/>
    <s v="français"/>
    <x v="3"/>
    <n v="20"/>
    <n v="1"/>
    <n v="0"/>
    <m/>
    <x v="7"/>
  </r>
  <r>
    <x v="1145"/>
    <x v="8"/>
    <x v="1"/>
    <x v="0"/>
    <s v="français"/>
    <x v="0"/>
    <n v="10.5"/>
    <n v="0"/>
    <n v="0"/>
    <s v="pb avec carte lecteur"/>
    <x v="5"/>
  </r>
  <r>
    <x v="1146"/>
    <x v="8"/>
    <x v="1"/>
    <x v="0"/>
    <s v="français"/>
    <x v="2"/>
    <n v="3"/>
    <n v="0"/>
    <n v="1"/>
    <m/>
    <x v="6"/>
  </r>
  <r>
    <x v="1147"/>
    <x v="8"/>
    <x v="1"/>
    <x v="0"/>
    <s v="anglais"/>
    <x v="1"/>
    <n v="0.5"/>
    <n v="0"/>
    <n v="0"/>
    <m/>
    <x v="7"/>
  </r>
  <r>
    <x v="1148"/>
    <x v="8"/>
    <x v="1"/>
    <x v="0"/>
    <s v="français"/>
    <x v="1"/>
    <n v="0.5"/>
    <n v="0"/>
    <n v="0"/>
    <m/>
    <x v="0"/>
  </r>
  <r>
    <x v="1149"/>
    <x v="0"/>
    <x v="2"/>
    <x v="0"/>
    <s v="français"/>
    <x v="2"/>
    <n v="3"/>
    <n v="1"/>
    <n v="0"/>
    <m/>
    <x v="2"/>
  </r>
  <r>
    <x v="1150"/>
    <x v="0"/>
    <x v="2"/>
    <x v="0"/>
    <s v="français"/>
    <x v="1"/>
    <n v="0.5"/>
    <n v="0"/>
    <n v="0"/>
    <m/>
    <x v="7"/>
  </r>
  <r>
    <x v="1151"/>
    <x v="3"/>
    <x v="2"/>
    <x v="0"/>
    <s v="français"/>
    <x v="0"/>
    <n v="10.5"/>
    <n v="1"/>
    <n v="1"/>
    <m/>
    <x v="6"/>
  </r>
  <r>
    <x v="1152"/>
    <x v="3"/>
    <x v="2"/>
    <x v="0"/>
    <s v="français"/>
    <x v="3"/>
    <n v="20"/>
    <n v="0"/>
    <n v="0"/>
    <s v="Si j'ai bien compris, un monsieur qui prétend être victime d'une usurpation d'identité pour son compte switch-edu ID et qui s'est inscrit chez nous souhaite adresser une réclamation à la Bibliothèque de Genève mais pas via email.    "/>
    <x v="3"/>
  </r>
  <r>
    <x v="1152"/>
    <x v="3"/>
    <x v="2"/>
    <x v="0"/>
    <s v="français"/>
    <x v="3"/>
    <n v="20"/>
    <n v="0"/>
    <n v="0"/>
    <s v="Si j'ai bien compris, un monsieur qui prétend être victime d'une usurpation d'identité pour son compte switch-edu ID et qui s'est inscrit chez nous souhaite adresser une réclamation à la Bibliothèque de Genève mais pas via email.    "/>
    <x v="7"/>
  </r>
  <r>
    <x v="1153"/>
    <x v="3"/>
    <x v="2"/>
    <x v="0"/>
    <s v="français"/>
    <x v="2"/>
    <n v="3"/>
    <n v="1"/>
    <n v="0"/>
    <m/>
    <x v="2"/>
  </r>
  <r>
    <x v="1154"/>
    <x v="4"/>
    <x v="2"/>
    <x v="0"/>
    <s v="français"/>
    <x v="1"/>
    <n v="0.5"/>
    <n v="0"/>
    <n v="0"/>
    <m/>
    <x v="8"/>
  </r>
  <r>
    <x v="1155"/>
    <x v="4"/>
    <x v="2"/>
    <x v="0"/>
    <s v="anglais"/>
    <x v="1"/>
    <n v="0.5"/>
    <n v="0"/>
    <n v="0"/>
    <m/>
    <x v="8"/>
  </r>
  <r>
    <x v="1156"/>
    <x v="4"/>
    <x v="2"/>
    <x v="0"/>
    <s v="français"/>
    <x v="1"/>
    <n v="0.5"/>
    <n v="0"/>
    <n v="0"/>
    <m/>
    <x v="0"/>
  </r>
  <r>
    <x v="1157"/>
    <x v="1"/>
    <x v="2"/>
    <x v="0"/>
    <s v="anglais"/>
    <x v="2"/>
    <n v="3"/>
    <n v="1"/>
    <n v="0"/>
    <m/>
    <x v="2"/>
  </r>
  <r>
    <x v="1158"/>
    <x v="2"/>
    <x v="2"/>
    <x v="0"/>
    <s v="français"/>
    <x v="0"/>
    <n v="10.5"/>
    <n v="1"/>
    <n v="0"/>
    <s v="Accès ressources électroniques"/>
    <x v="2"/>
  </r>
  <r>
    <x v="1159"/>
    <x v="2"/>
    <x v="2"/>
    <x v="1"/>
    <s v="français"/>
    <x v="2"/>
    <n v="3"/>
    <n v="0"/>
    <n v="0"/>
    <s v="Problème de compte Switch edu-ID"/>
    <x v="3"/>
  </r>
  <r>
    <x v="1160"/>
    <x v="2"/>
    <x v="2"/>
    <x v="0"/>
    <s v="français"/>
    <x v="2"/>
    <n v="3"/>
    <n v="0"/>
    <n v="0"/>
    <s v="Réservation salle de réunion"/>
    <x v="1"/>
  </r>
  <r>
    <x v="1161"/>
    <x v="2"/>
    <x v="2"/>
    <x v="0"/>
    <s v="français"/>
    <x v="2"/>
    <n v="3"/>
    <n v="0"/>
    <n v="0"/>
    <s v="Expo"/>
    <x v="1"/>
  </r>
  <r>
    <x v="1162"/>
    <x v="2"/>
    <x v="2"/>
    <x v="0"/>
    <s v="français"/>
    <x v="2"/>
    <n v="3"/>
    <n v="0"/>
    <n v="0"/>
    <m/>
    <x v="3"/>
  </r>
  <r>
    <x v="1163"/>
    <x v="8"/>
    <x v="2"/>
    <x v="0"/>
    <s v="français"/>
    <x v="3"/>
    <n v="20"/>
    <n v="0"/>
    <n v="0"/>
    <m/>
    <x v="3"/>
  </r>
  <r>
    <x v="1164"/>
    <x v="8"/>
    <x v="2"/>
    <x v="0"/>
    <s v="français"/>
    <x v="1"/>
    <n v="0.5"/>
    <n v="0"/>
    <n v="0"/>
    <m/>
    <x v="7"/>
  </r>
  <r>
    <x v="1165"/>
    <x v="0"/>
    <x v="3"/>
    <x v="0"/>
    <s v="français"/>
    <x v="2"/>
    <n v="3"/>
    <n v="0"/>
    <n v="0"/>
    <m/>
    <x v="8"/>
  </r>
  <r>
    <x v="1166"/>
    <x v="0"/>
    <x v="3"/>
    <x v="0"/>
    <s v="français"/>
    <x v="0"/>
    <n v="10.5"/>
    <n v="0"/>
    <n v="0"/>
    <m/>
    <x v="4"/>
  </r>
  <r>
    <x v="1167"/>
    <x v="7"/>
    <x v="3"/>
    <x v="0"/>
    <s v="français"/>
    <x v="2"/>
    <n v="3"/>
    <n v="0"/>
    <n v="0"/>
    <m/>
    <x v="8"/>
  </r>
  <r>
    <x v="1168"/>
    <x v="3"/>
    <x v="3"/>
    <x v="0"/>
    <s v="français"/>
    <x v="2"/>
    <n v="3"/>
    <n v="0"/>
    <n v="0"/>
    <s v="DL, publications du SEVE à vérifier si tout ici"/>
    <x v="0"/>
  </r>
  <r>
    <x v="1169"/>
    <x v="3"/>
    <x v="3"/>
    <x v="0"/>
    <s v="français"/>
    <x v="2"/>
    <n v="3"/>
    <n v="0"/>
    <n v="0"/>
    <m/>
    <x v="4"/>
  </r>
  <r>
    <x v="1170"/>
    <x v="4"/>
    <x v="3"/>
    <x v="0"/>
    <s v="français"/>
    <x v="2"/>
    <n v="3"/>
    <n v="0"/>
    <n v="0"/>
    <s v="Comment sauvegarder au format docx (Word) et pdf"/>
    <x v="8"/>
  </r>
  <r>
    <x v="1171"/>
    <x v="4"/>
    <x v="3"/>
    <x v="0"/>
    <s v="français"/>
    <x v="2"/>
    <n v="3"/>
    <n v="0"/>
    <n v="0"/>
    <s v="Information sur l'inscription"/>
    <x v="7"/>
  </r>
  <r>
    <x v="1172"/>
    <x v="1"/>
    <x v="3"/>
    <x v="0"/>
    <s v="français"/>
    <x v="3"/>
    <n v="20"/>
    <n v="1"/>
    <n v="0"/>
    <m/>
    <x v="3"/>
  </r>
  <r>
    <x v="1172"/>
    <x v="1"/>
    <x v="3"/>
    <x v="0"/>
    <s v="français"/>
    <x v="3"/>
    <n v="20"/>
    <n v="1"/>
    <n v="0"/>
    <m/>
    <x v="7"/>
  </r>
  <r>
    <x v="1173"/>
    <x v="6"/>
    <x v="3"/>
    <x v="0"/>
    <s v="français"/>
    <x v="3"/>
    <n v="20"/>
    <n v="1"/>
    <n v="0"/>
    <m/>
    <x v="3"/>
  </r>
  <r>
    <x v="1173"/>
    <x v="6"/>
    <x v="3"/>
    <x v="0"/>
    <s v="français"/>
    <x v="3"/>
    <n v="20"/>
    <n v="1"/>
    <n v="0"/>
    <m/>
    <x v="5"/>
  </r>
  <r>
    <x v="1173"/>
    <x v="6"/>
    <x v="3"/>
    <x v="0"/>
    <s v="français"/>
    <x v="3"/>
    <n v="20"/>
    <n v="1"/>
    <n v="0"/>
    <m/>
    <x v="7"/>
  </r>
  <r>
    <x v="1174"/>
    <x v="6"/>
    <x v="3"/>
    <x v="0"/>
    <s v="français"/>
    <x v="2"/>
    <n v="3"/>
    <n v="0"/>
    <n v="0"/>
    <m/>
    <x v="1"/>
  </r>
  <r>
    <x v="1175"/>
    <x v="6"/>
    <x v="3"/>
    <x v="0"/>
    <s v="français"/>
    <x v="3"/>
    <n v="20"/>
    <n v="1"/>
    <n v="0"/>
    <m/>
    <x v="2"/>
  </r>
  <r>
    <x v="1175"/>
    <x v="6"/>
    <x v="3"/>
    <x v="0"/>
    <s v="français"/>
    <x v="3"/>
    <n v="20"/>
    <n v="1"/>
    <n v="0"/>
    <m/>
    <x v="3"/>
  </r>
  <r>
    <x v="1175"/>
    <x v="6"/>
    <x v="3"/>
    <x v="0"/>
    <s v="français"/>
    <x v="3"/>
    <n v="20"/>
    <n v="1"/>
    <n v="0"/>
    <m/>
    <x v="7"/>
  </r>
  <r>
    <x v="1176"/>
    <x v="6"/>
    <x v="3"/>
    <x v="0"/>
    <s v="anglais"/>
    <x v="2"/>
    <n v="3"/>
    <n v="0"/>
    <n v="0"/>
    <m/>
    <x v="1"/>
  </r>
  <r>
    <x v="1177"/>
    <x v="8"/>
    <x v="3"/>
    <x v="0"/>
    <s v="français"/>
    <x v="0"/>
    <n v="10.5"/>
    <n v="1"/>
    <n v="0"/>
    <m/>
    <x v="2"/>
  </r>
  <r>
    <x v="1178"/>
    <x v="8"/>
    <x v="3"/>
    <x v="0"/>
    <s v="français"/>
    <x v="2"/>
    <n v="3"/>
    <n v="0"/>
    <n v="0"/>
    <m/>
    <x v="7"/>
  </r>
  <r>
    <x v="1179"/>
    <x v="8"/>
    <x v="3"/>
    <x v="0"/>
    <s v="français"/>
    <x v="1"/>
    <n v="0.5"/>
    <n v="0"/>
    <n v="0"/>
    <m/>
    <x v="0"/>
  </r>
  <r>
    <x v="1180"/>
    <x v="5"/>
    <x v="5"/>
    <x v="0"/>
    <s v="français"/>
    <x v="1"/>
    <n v="0.5"/>
    <n v="0"/>
    <n v="0"/>
    <m/>
    <x v="8"/>
  </r>
  <r>
    <x v="1181"/>
    <x v="0"/>
    <x v="5"/>
    <x v="1"/>
    <s v="français"/>
    <x v="2"/>
    <n v="3"/>
    <n v="0"/>
    <n v="0"/>
    <s v="chiens admis à la BGE ? non interdit, dans le règlement "/>
    <x v="7"/>
  </r>
  <r>
    <x v="1182"/>
    <x v="0"/>
    <x v="5"/>
    <x v="0"/>
    <s v="français"/>
    <x v="0"/>
    <n v="10.5"/>
    <n v="1"/>
    <n v="1"/>
    <s v="+ Biographie genevoise"/>
    <x v="2"/>
  </r>
  <r>
    <x v="1183"/>
    <x v="7"/>
    <x v="5"/>
    <x v="0"/>
    <s v="français"/>
    <x v="0"/>
    <n v="10.5"/>
    <n v="1"/>
    <n v="0"/>
    <m/>
    <x v="2"/>
  </r>
  <r>
    <x v="1184"/>
    <x v="7"/>
    <x v="5"/>
    <x v="1"/>
    <s v="français"/>
    <x v="2"/>
    <n v="3"/>
    <n v="1"/>
    <n v="0"/>
    <m/>
    <x v="2"/>
  </r>
  <r>
    <x v="1185"/>
    <x v="3"/>
    <x v="5"/>
    <x v="0"/>
    <s v="français"/>
    <x v="1"/>
    <n v="0.5"/>
    <n v="0"/>
    <n v="0"/>
    <m/>
    <x v="0"/>
  </r>
  <r>
    <x v="1186"/>
    <x v="3"/>
    <x v="5"/>
    <x v="0"/>
    <s v="français"/>
    <x v="1"/>
    <n v="0.5"/>
    <n v="0"/>
    <n v="0"/>
    <m/>
    <x v="1"/>
  </r>
  <r>
    <x v="1187"/>
    <x v="3"/>
    <x v="5"/>
    <x v="0"/>
    <s v="français"/>
    <x v="2"/>
    <n v="3"/>
    <n v="0"/>
    <n v="0"/>
    <m/>
    <x v="1"/>
  </r>
  <r>
    <x v="1188"/>
    <x v="1"/>
    <x v="5"/>
    <x v="0"/>
    <s v="français"/>
    <x v="1"/>
    <n v="0.5"/>
    <n v="0"/>
    <n v="0"/>
    <s v="Prêt adaptateur"/>
    <x v="1"/>
  </r>
  <r>
    <x v="1189"/>
    <x v="1"/>
    <x v="5"/>
    <x v="0"/>
    <s v="français"/>
    <x v="1"/>
    <n v="0.5"/>
    <n v="0"/>
    <n v="0"/>
    <m/>
    <x v="0"/>
  </r>
  <r>
    <x v="1190"/>
    <x v="1"/>
    <x v="5"/>
    <x v="0"/>
    <s v="français"/>
    <x v="2"/>
    <n v="3"/>
    <n v="1"/>
    <n v="1"/>
    <s v="Périodiques à l'Université de Genève"/>
    <x v="2"/>
  </r>
  <r>
    <x v="1191"/>
    <x v="1"/>
    <x v="5"/>
    <x v="0"/>
    <s v="français"/>
    <x v="1"/>
    <n v="0.5"/>
    <n v="0"/>
    <n v="0"/>
    <s v="Prêt casque "/>
    <x v="1"/>
  </r>
  <r>
    <x v="1192"/>
    <x v="1"/>
    <x v="5"/>
    <x v="0"/>
    <s v="français"/>
    <x v="2"/>
    <n v="3"/>
    <n v="0"/>
    <n v="0"/>
    <s v="Aide imprimante"/>
    <x v="7"/>
  </r>
  <r>
    <x v="1193"/>
    <x v="2"/>
    <x v="5"/>
    <x v="1"/>
    <s v="français"/>
    <x v="2"/>
    <n v="3"/>
    <n v="0"/>
    <n v="0"/>
    <s v="Redirection vers bibliothèque municipale de la Cité (problème avec compte utilisateur)"/>
    <x v="1"/>
  </r>
  <r>
    <x v="1194"/>
    <x v="2"/>
    <x v="5"/>
    <x v="0"/>
    <s v="français"/>
    <x v="2"/>
    <n v="3"/>
    <n v="1"/>
    <n v="0"/>
    <m/>
    <x v="2"/>
  </r>
  <r>
    <x v="1195"/>
    <x v="6"/>
    <x v="5"/>
    <x v="0"/>
    <s v="français"/>
    <x v="0"/>
    <n v="10.5"/>
    <n v="0"/>
    <n v="0"/>
    <s v="Annuaire papier des entreprises genevoises 2025"/>
    <x v="2"/>
  </r>
  <r>
    <x v="1196"/>
    <x v="6"/>
    <x v="5"/>
    <x v="0"/>
    <s v="anglais"/>
    <x v="2"/>
    <n v="3"/>
    <n v="0"/>
    <n v="0"/>
    <s v="Service du prêt"/>
    <x v="7"/>
  </r>
  <r>
    <x v="1197"/>
    <x v="8"/>
    <x v="5"/>
    <x v="0"/>
    <s v="français"/>
    <x v="3"/>
    <n v="20"/>
    <n v="0"/>
    <n v="0"/>
    <m/>
    <x v="3"/>
  </r>
  <r>
    <x v="1198"/>
    <x v="8"/>
    <x v="5"/>
    <x v="0"/>
    <s v="français"/>
    <x v="2"/>
    <n v="3"/>
    <n v="0"/>
    <n v="0"/>
    <s v="Aide informatique très ponctuelle (sauvegarde de documents sur clé usb)"/>
    <x v="1"/>
  </r>
  <r>
    <x v="1199"/>
    <x v="3"/>
    <x v="0"/>
    <x v="0"/>
    <s v="français"/>
    <x v="0"/>
    <n v="10.5"/>
    <n v="0"/>
    <n v="0"/>
    <m/>
    <x v="3"/>
  </r>
  <r>
    <x v="1200"/>
    <x v="3"/>
    <x v="0"/>
    <x v="0"/>
    <s v="français"/>
    <x v="2"/>
    <n v="3"/>
    <n v="0"/>
    <n v="0"/>
    <s v="Qu'appelle-t-on catalogue et qu'est-ce ?"/>
    <x v="7"/>
  </r>
  <r>
    <x v="1201"/>
    <x v="3"/>
    <x v="0"/>
    <x v="0"/>
    <s v="français"/>
    <x v="0"/>
    <n v="10.5"/>
    <n v="0"/>
    <n v="0"/>
    <m/>
    <x v="3"/>
  </r>
  <r>
    <x v="1202"/>
    <x v="8"/>
    <x v="0"/>
    <x v="0"/>
    <s v="français"/>
    <x v="1"/>
    <n v="0.5"/>
    <n v="1"/>
    <n v="0"/>
    <m/>
    <x v="2"/>
  </r>
  <r>
    <x v="1203"/>
    <x v="8"/>
    <x v="0"/>
    <x v="0"/>
    <s v="français"/>
    <x v="1"/>
    <n v="0.5"/>
    <n v="0"/>
    <n v="0"/>
    <m/>
    <x v="7"/>
  </r>
  <r>
    <x v="1204"/>
    <x v="8"/>
    <x v="0"/>
    <x v="0"/>
    <s v="français"/>
    <x v="1"/>
    <n v="0.5"/>
    <n v="0"/>
    <n v="0"/>
    <m/>
    <x v="0"/>
  </r>
  <r>
    <x v="1205"/>
    <x v="7"/>
    <x v="1"/>
    <x v="0"/>
    <s v="français"/>
    <x v="0"/>
    <n v="10.5"/>
    <n v="1"/>
    <n v="0"/>
    <m/>
    <x v="5"/>
  </r>
  <r>
    <x v="1206"/>
    <x v="7"/>
    <x v="1"/>
    <x v="0"/>
    <s v="français"/>
    <x v="0"/>
    <n v="10.5"/>
    <n v="1"/>
    <n v="0"/>
    <m/>
    <x v="3"/>
  </r>
  <r>
    <x v="1206"/>
    <x v="7"/>
    <x v="1"/>
    <x v="0"/>
    <s v="français"/>
    <x v="0"/>
    <n v="10.5"/>
    <n v="1"/>
    <n v="0"/>
    <m/>
    <x v="7"/>
  </r>
  <r>
    <x v="1207"/>
    <x v="3"/>
    <x v="1"/>
    <x v="0"/>
    <s v="anglais"/>
    <x v="0"/>
    <n v="10.5"/>
    <n v="1"/>
    <n v="0"/>
    <m/>
    <x v="3"/>
  </r>
  <r>
    <x v="1208"/>
    <x v="3"/>
    <x v="1"/>
    <x v="1"/>
    <s v="français"/>
    <x v="1"/>
    <n v="0.5"/>
    <n v="0"/>
    <n v="0"/>
    <s v="Salle de réunion"/>
    <x v="1"/>
  </r>
  <r>
    <x v="1209"/>
    <x v="1"/>
    <x v="1"/>
    <x v="0"/>
    <s v="français"/>
    <x v="3"/>
    <n v="20"/>
    <n v="1"/>
    <n v="0"/>
    <m/>
    <x v="6"/>
  </r>
  <r>
    <x v="1209"/>
    <x v="1"/>
    <x v="1"/>
    <x v="0"/>
    <s v="français"/>
    <x v="3"/>
    <n v="20"/>
    <n v="1"/>
    <n v="0"/>
    <m/>
    <x v="3"/>
  </r>
  <r>
    <x v="1209"/>
    <x v="1"/>
    <x v="1"/>
    <x v="0"/>
    <s v="français"/>
    <x v="3"/>
    <n v="20"/>
    <n v="1"/>
    <n v="0"/>
    <m/>
    <x v="5"/>
  </r>
  <r>
    <x v="1209"/>
    <x v="1"/>
    <x v="1"/>
    <x v="0"/>
    <s v="français"/>
    <x v="3"/>
    <n v="20"/>
    <n v="1"/>
    <n v="0"/>
    <m/>
    <x v="7"/>
  </r>
  <r>
    <x v="1210"/>
    <x v="1"/>
    <x v="1"/>
    <x v="0"/>
    <s v="français"/>
    <x v="1"/>
    <n v="0.5"/>
    <n v="0"/>
    <n v="0"/>
    <m/>
    <x v="0"/>
  </r>
  <r>
    <x v="1211"/>
    <x v="1"/>
    <x v="1"/>
    <x v="0"/>
    <s v="français"/>
    <x v="1"/>
    <n v="0.5"/>
    <n v="0"/>
    <n v="0"/>
    <m/>
    <x v="7"/>
  </r>
  <r>
    <x v="1212"/>
    <x v="8"/>
    <x v="1"/>
    <x v="0"/>
    <s v="français"/>
    <x v="2"/>
    <n v="3"/>
    <n v="0"/>
    <n v="0"/>
    <m/>
    <x v="2"/>
  </r>
  <r>
    <x v="1213"/>
    <x v="8"/>
    <x v="1"/>
    <x v="0"/>
    <s v="anglais"/>
    <x v="2"/>
    <n v="3"/>
    <n v="0"/>
    <n v="0"/>
    <m/>
    <x v="8"/>
  </r>
  <r>
    <x v="1214"/>
    <x v="8"/>
    <x v="1"/>
    <x v="0"/>
    <s v="français"/>
    <x v="2"/>
    <n v="3"/>
    <n v="0"/>
    <n v="0"/>
    <m/>
    <x v="8"/>
  </r>
  <r>
    <x v="1215"/>
    <x v="8"/>
    <x v="1"/>
    <x v="0"/>
    <s v="français"/>
    <x v="1"/>
    <n v="0.5"/>
    <n v="0"/>
    <n v="0"/>
    <s v="casque"/>
    <x v="8"/>
  </r>
  <r>
    <x v="1216"/>
    <x v="0"/>
    <x v="2"/>
    <x v="0"/>
    <s v="français"/>
    <x v="0"/>
    <n v="10.5"/>
    <n v="0"/>
    <n v="0"/>
    <m/>
    <x v="3"/>
  </r>
  <r>
    <x v="1217"/>
    <x v="3"/>
    <x v="2"/>
    <x v="0"/>
    <s v="français"/>
    <x v="3"/>
    <n v="20"/>
    <n v="0"/>
    <n v="1"/>
    <s v="Archives du Temps"/>
    <x v="2"/>
  </r>
  <r>
    <x v="1218"/>
    <x v="3"/>
    <x v="2"/>
    <x v="0"/>
    <s v="français"/>
    <x v="0"/>
    <n v="10.5"/>
    <n v="0"/>
    <n v="0"/>
    <m/>
    <x v="7"/>
  </r>
  <r>
    <x v="1219"/>
    <x v="3"/>
    <x v="2"/>
    <x v="0"/>
    <s v="français"/>
    <x v="2"/>
    <n v="3"/>
    <n v="0"/>
    <n v="0"/>
    <m/>
    <x v="7"/>
  </r>
  <r>
    <x v="1220"/>
    <x v="3"/>
    <x v="2"/>
    <x v="0"/>
    <s v="français"/>
    <x v="2"/>
    <n v="3"/>
    <n v="0"/>
    <n v="0"/>
    <m/>
    <x v="2"/>
  </r>
  <r>
    <x v="1221"/>
    <x v="2"/>
    <x v="2"/>
    <x v="0"/>
    <s v="français"/>
    <x v="1"/>
    <n v="0.5"/>
    <n v="0"/>
    <n v="0"/>
    <m/>
    <x v="0"/>
  </r>
  <r>
    <x v="1222"/>
    <x v="2"/>
    <x v="2"/>
    <x v="0"/>
    <s v="français"/>
    <x v="1"/>
    <n v="0.5"/>
    <n v="0"/>
    <n v="0"/>
    <m/>
    <x v="0"/>
  </r>
  <r>
    <x v="1223"/>
    <x v="2"/>
    <x v="2"/>
    <x v="0"/>
    <s v="français"/>
    <x v="0"/>
    <n v="10.5"/>
    <n v="0"/>
    <n v="0"/>
    <s v="Mémoires pour servir à l'histoire du jacobinisme par M. l'abbé Barruel"/>
    <x v="2"/>
  </r>
  <r>
    <x v="1224"/>
    <x v="2"/>
    <x v="2"/>
    <x v="0"/>
    <s v="français"/>
    <x v="0"/>
    <n v="10.5"/>
    <n v="1"/>
    <n v="0"/>
    <m/>
    <x v="2"/>
  </r>
  <r>
    <x v="1224"/>
    <x v="2"/>
    <x v="2"/>
    <x v="0"/>
    <s v="français"/>
    <x v="0"/>
    <n v="10.5"/>
    <n v="1"/>
    <n v="0"/>
    <m/>
    <x v="3"/>
  </r>
  <r>
    <x v="1225"/>
    <x v="2"/>
    <x v="2"/>
    <x v="0"/>
    <s v="français"/>
    <x v="1"/>
    <n v="0.5"/>
    <n v="0"/>
    <n v="0"/>
    <m/>
    <x v="7"/>
  </r>
  <r>
    <x v="1226"/>
    <x v="2"/>
    <x v="2"/>
    <x v="0"/>
    <s v="français"/>
    <x v="1"/>
    <n v="0.5"/>
    <n v="0"/>
    <n v="0"/>
    <m/>
    <x v="0"/>
  </r>
  <r>
    <x v="1227"/>
    <x v="7"/>
    <x v="3"/>
    <x v="0"/>
    <s v="français"/>
    <x v="2"/>
    <n v="3"/>
    <n v="0"/>
    <n v="0"/>
    <m/>
    <x v="7"/>
  </r>
  <r>
    <x v="1228"/>
    <x v="7"/>
    <x v="3"/>
    <x v="0"/>
    <s v="français"/>
    <x v="3"/>
    <n v="20"/>
    <n v="0"/>
    <n v="0"/>
    <m/>
    <x v="3"/>
  </r>
  <r>
    <x v="1229"/>
    <x v="3"/>
    <x v="3"/>
    <x v="0"/>
    <s v="français"/>
    <x v="3"/>
    <n v="20"/>
    <n v="0"/>
    <n v="0"/>
    <m/>
    <x v="3"/>
  </r>
  <r>
    <x v="1230"/>
    <x v="3"/>
    <x v="3"/>
    <x v="0"/>
    <s v="français"/>
    <x v="3"/>
    <n v="20"/>
    <n v="0"/>
    <n v="0"/>
    <m/>
    <x v="3"/>
  </r>
  <r>
    <x v="1231"/>
    <x v="3"/>
    <x v="3"/>
    <x v="0"/>
    <s v="français"/>
    <x v="2"/>
    <n v="3"/>
    <n v="0"/>
    <n v="0"/>
    <s v="Comment éditer un pdf"/>
    <x v="1"/>
  </r>
  <r>
    <x v="1232"/>
    <x v="8"/>
    <x v="3"/>
    <x v="0"/>
    <s v="français"/>
    <x v="2"/>
    <n v="3"/>
    <n v="0"/>
    <n v="0"/>
    <m/>
    <x v="8"/>
  </r>
  <r>
    <x v="1233"/>
    <x v="8"/>
    <x v="3"/>
    <x v="0"/>
    <s v="français"/>
    <x v="2"/>
    <n v="3"/>
    <n v="1"/>
    <n v="0"/>
    <m/>
    <x v="2"/>
  </r>
  <r>
    <x v="1233"/>
    <x v="8"/>
    <x v="3"/>
    <x v="0"/>
    <s v="français"/>
    <x v="2"/>
    <n v="3"/>
    <n v="1"/>
    <n v="0"/>
    <m/>
    <x v="5"/>
  </r>
  <r>
    <x v="1234"/>
    <x v="8"/>
    <x v="3"/>
    <x v="0"/>
    <s v="français"/>
    <x v="2"/>
    <n v="3"/>
    <n v="1"/>
    <n v="0"/>
    <m/>
    <x v="2"/>
  </r>
  <r>
    <x v="1235"/>
    <x v="8"/>
    <x v="3"/>
    <x v="0"/>
    <s v="français"/>
    <x v="2"/>
    <n v="3"/>
    <n v="0"/>
    <n v="0"/>
    <m/>
    <x v="8"/>
  </r>
  <r>
    <x v="1236"/>
    <x v="8"/>
    <x v="3"/>
    <x v="0"/>
    <s v="français"/>
    <x v="2"/>
    <n v="3"/>
    <n v="0"/>
    <n v="0"/>
    <m/>
    <x v="8"/>
  </r>
  <r>
    <x v="1237"/>
    <x v="8"/>
    <x v="3"/>
    <x v="0"/>
    <s v="français"/>
    <x v="2"/>
    <n v="3"/>
    <n v="0"/>
    <n v="0"/>
    <m/>
    <x v="1"/>
  </r>
  <r>
    <x v="1238"/>
    <x v="8"/>
    <x v="3"/>
    <x v="0"/>
    <s v="français"/>
    <x v="2"/>
    <n v="3"/>
    <n v="0"/>
    <n v="0"/>
    <m/>
    <x v="4"/>
  </r>
  <r>
    <x v="1239"/>
    <x v="5"/>
    <x v="4"/>
    <x v="0"/>
    <s v="français"/>
    <x v="1"/>
    <n v="0.5"/>
    <n v="0"/>
    <n v="0"/>
    <s v="casque audio"/>
    <x v="1"/>
  </r>
  <r>
    <x v="1240"/>
    <x v="0"/>
    <x v="4"/>
    <x v="0"/>
    <s v="français"/>
    <x v="0"/>
    <n v="10.5"/>
    <n v="1"/>
    <n v="0"/>
    <m/>
    <x v="2"/>
  </r>
  <r>
    <x v="1240"/>
    <x v="0"/>
    <x v="4"/>
    <x v="0"/>
    <s v="français"/>
    <x v="0"/>
    <n v="10.5"/>
    <n v="1"/>
    <n v="0"/>
    <m/>
    <x v="5"/>
  </r>
  <r>
    <x v="1241"/>
    <x v="0"/>
    <x v="4"/>
    <x v="0"/>
    <s v="français"/>
    <x v="2"/>
    <n v="3"/>
    <n v="0"/>
    <n v="0"/>
    <m/>
    <x v="8"/>
  </r>
  <r>
    <x v="1242"/>
    <x v="7"/>
    <x v="4"/>
    <x v="0"/>
    <s v="français"/>
    <x v="1"/>
    <n v="0.5"/>
    <n v="0"/>
    <n v="0"/>
    <s v="J'ai récupéré les livres que le lecteur rapportait car en raison de la visite de l'expo du couloir des coups d'oeil, c'était impossible de d'accéder au bureau de prêt ! :-)"/>
    <x v="5"/>
  </r>
  <r>
    <x v="1243"/>
    <x v="7"/>
    <x v="4"/>
    <x v="0"/>
    <s v="français"/>
    <x v="1"/>
    <n v="0.5"/>
    <n v="0"/>
    <n v="0"/>
    <s v="Même remarque à propos de la visite de l'expo du couloir des coups d'oeil"/>
    <x v="5"/>
  </r>
  <r>
    <x v="1244"/>
    <x v="4"/>
    <x v="5"/>
    <x v="0"/>
    <s v="français"/>
    <x v="1"/>
    <n v="0.5"/>
    <n v="0"/>
    <n v="0"/>
    <s v="Disponibilité salle de réunion"/>
    <x v="1"/>
  </r>
  <r>
    <x v="1245"/>
    <x v="4"/>
    <x v="5"/>
    <x v="0"/>
    <s v="anglais"/>
    <x v="1"/>
    <n v="0.5"/>
    <n v="0"/>
    <n v="0"/>
    <m/>
    <x v="0"/>
  </r>
  <r>
    <x v="1246"/>
    <x v="4"/>
    <x v="5"/>
    <x v="0"/>
    <s v="français"/>
    <x v="1"/>
    <n v="0.5"/>
    <n v="0"/>
    <n v="0"/>
    <s v="Où sont les toilettes ?"/>
    <x v="0"/>
  </r>
  <r>
    <x v="1246"/>
    <x v="4"/>
    <x v="5"/>
    <x v="0"/>
    <s v="français"/>
    <x v="1"/>
    <n v="0.5"/>
    <n v="0"/>
    <n v="0"/>
    <s v="Où sont les toilettes ?"/>
    <x v="1"/>
  </r>
  <r>
    <x v="1247"/>
    <x v="4"/>
    <x v="5"/>
    <x v="0"/>
    <s v="français"/>
    <x v="1"/>
    <n v="0.5"/>
    <n v="0"/>
    <n v="0"/>
    <m/>
    <x v="0"/>
  </r>
  <r>
    <x v="1248"/>
    <x v="1"/>
    <x v="5"/>
    <x v="0"/>
    <s v="français"/>
    <x v="2"/>
    <n v="3"/>
    <n v="0"/>
    <n v="0"/>
    <m/>
    <x v="2"/>
  </r>
  <r>
    <x v="1249"/>
    <x v="1"/>
    <x v="5"/>
    <x v="0"/>
    <s v="français"/>
    <x v="2"/>
    <n v="3"/>
    <n v="1"/>
    <n v="0"/>
    <m/>
    <x v="2"/>
  </r>
  <r>
    <x v="1250"/>
    <x v="1"/>
    <x v="5"/>
    <x v="0"/>
    <s v="français"/>
    <x v="2"/>
    <n v="3"/>
    <n v="0"/>
    <n v="0"/>
    <m/>
    <x v="8"/>
  </r>
  <r>
    <x v="1251"/>
    <x v="2"/>
    <x v="5"/>
    <x v="0"/>
    <s v="français"/>
    <x v="0"/>
    <n v="10.5"/>
    <n v="1"/>
    <n v="0"/>
    <m/>
    <x v="2"/>
  </r>
  <r>
    <x v="1252"/>
    <x v="2"/>
    <x v="5"/>
    <x v="0"/>
    <s v="français"/>
    <x v="0"/>
    <n v="10.5"/>
    <n v="1"/>
    <n v="0"/>
    <m/>
    <x v="2"/>
  </r>
  <r>
    <x v="1252"/>
    <x v="2"/>
    <x v="5"/>
    <x v="0"/>
    <s v="français"/>
    <x v="0"/>
    <n v="10.5"/>
    <n v="1"/>
    <n v="0"/>
    <m/>
    <x v="3"/>
  </r>
  <r>
    <x v="1253"/>
    <x v="2"/>
    <x v="5"/>
    <x v="0"/>
    <s v="français"/>
    <x v="1"/>
    <n v="0.5"/>
    <n v="0"/>
    <n v="0"/>
    <m/>
    <x v="0"/>
  </r>
  <r>
    <x v="1254"/>
    <x v="3"/>
    <x v="0"/>
    <x v="0"/>
    <s v="français"/>
    <x v="1"/>
    <n v="0.5"/>
    <n v="0"/>
    <n v="0"/>
    <m/>
    <x v="8"/>
  </r>
  <r>
    <x v="1255"/>
    <x v="4"/>
    <x v="0"/>
    <x v="0"/>
    <s v="français"/>
    <x v="1"/>
    <n v="0.5"/>
    <n v="0"/>
    <n v="0"/>
    <m/>
    <x v="0"/>
  </r>
  <r>
    <x v="1256"/>
    <x v="4"/>
    <x v="0"/>
    <x v="0"/>
    <s v="français"/>
    <x v="1"/>
    <n v="0.5"/>
    <n v="0"/>
    <n v="0"/>
    <m/>
    <x v="0"/>
  </r>
  <r>
    <x v="1257"/>
    <x v="1"/>
    <x v="0"/>
    <x v="0"/>
    <s v="français"/>
    <x v="1"/>
    <n v="0.5"/>
    <n v="0"/>
    <n v="0"/>
    <m/>
    <x v="0"/>
  </r>
  <r>
    <x v="1258"/>
    <x v="1"/>
    <x v="0"/>
    <x v="1"/>
    <s v="français"/>
    <x v="0"/>
    <n v="10.5"/>
    <n v="0"/>
    <n v="0"/>
    <s v="Payer amendes en retard"/>
    <x v="7"/>
  </r>
  <r>
    <x v="1259"/>
    <x v="0"/>
    <x v="1"/>
    <x v="0"/>
    <s v="français"/>
    <x v="2"/>
    <n v="3"/>
    <n v="0"/>
    <n v="0"/>
    <m/>
    <x v="2"/>
  </r>
  <r>
    <x v="1259"/>
    <x v="0"/>
    <x v="1"/>
    <x v="0"/>
    <s v="français"/>
    <x v="2"/>
    <n v="3"/>
    <n v="0"/>
    <n v="0"/>
    <m/>
    <x v="7"/>
  </r>
  <r>
    <x v="1260"/>
    <x v="0"/>
    <x v="1"/>
    <x v="0"/>
    <s v="français"/>
    <x v="0"/>
    <n v="10.5"/>
    <n v="1"/>
    <n v="0"/>
    <m/>
    <x v="2"/>
  </r>
  <r>
    <x v="1260"/>
    <x v="0"/>
    <x v="1"/>
    <x v="0"/>
    <s v="français"/>
    <x v="0"/>
    <n v="10.5"/>
    <n v="1"/>
    <n v="0"/>
    <m/>
    <x v="5"/>
  </r>
  <r>
    <x v="1260"/>
    <x v="0"/>
    <x v="1"/>
    <x v="0"/>
    <s v="français"/>
    <x v="0"/>
    <n v="10.5"/>
    <n v="1"/>
    <n v="0"/>
    <m/>
    <x v="0"/>
  </r>
  <r>
    <x v="1261"/>
    <x v="0"/>
    <x v="1"/>
    <x v="0"/>
    <s v="français"/>
    <x v="2"/>
    <n v="3"/>
    <n v="1"/>
    <n v="0"/>
    <m/>
    <x v="6"/>
  </r>
  <r>
    <x v="1262"/>
    <x v="1"/>
    <x v="1"/>
    <x v="0"/>
    <s v="français"/>
    <x v="0"/>
    <n v="10.5"/>
    <n v="0"/>
    <n v="0"/>
    <m/>
    <x v="7"/>
  </r>
  <r>
    <x v="1263"/>
    <x v="5"/>
    <x v="2"/>
    <x v="1"/>
    <s v="français"/>
    <x v="2"/>
    <n v="3"/>
    <n v="1"/>
    <n v="0"/>
    <m/>
    <x v="6"/>
  </r>
  <r>
    <x v="1264"/>
    <x v="3"/>
    <x v="2"/>
    <x v="0"/>
    <s v="français"/>
    <x v="2"/>
    <n v="3"/>
    <n v="1"/>
    <n v="0"/>
    <m/>
    <x v="2"/>
  </r>
  <r>
    <x v="1264"/>
    <x v="3"/>
    <x v="2"/>
    <x v="0"/>
    <s v="français"/>
    <x v="2"/>
    <n v="3"/>
    <n v="1"/>
    <n v="0"/>
    <m/>
    <x v="5"/>
  </r>
  <r>
    <x v="1265"/>
    <x v="3"/>
    <x v="2"/>
    <x v="0"/>
    <s v="français"/>
    <x v="1"/>
    <n v="0.5"/>
    <n v="0"/>
    <n v="0"/>
    <m/>
    <x v="7"/>
  </r>
  <r>
    <x v="1266"/>
    <x v="3"/>
    <x v="2"/>
    <x v="0"/>
    <s v="français"/>
    <x v="1"/>
    <n v="0.5"/>
    <n v="0"/>
    <n v="0"/>
    <s v="expo couloir des coups d'oeil -&gt; guide"/>
    <x v="1"/>
  </r>
  <r>
    <x v="1267"/>
    <x v="4"/>
    <x v="2"/>
    <x v="0"/>
    <s v="français"/>
    <x v="0"/>
    <n v="10.5"/>
    <n v="1"/>
    <n v="0"/>
    <m/>
    <x v="2"/>
  </r>
  <r>
    <x v="1267"/>
    <x v="4"/>
    <x v="2"/>
    <x v="0"/>
    <s v="français"/>
    <x v="0"/>
    <n v="10.5"/>
    <n v="1"/>
    <n v="0"/>
    <m/>
    <x v="7"/>
  </r>
  <r>
    <x v="1268"/>
    <x v="2"/>
    <x v="2"/>
    <x v="0"/>
    <s v="français"/>
    <x v="2"/>
    <n v="3"/>
    <n v="0"/>
    <n v="0"/>
    <m/>
    <x v="4"/>
  </r>
  <r>
    <x v="1269"/>
    <x v="1"/>
    <x v="3"/>
    <x v="0"/>
    <s v="anglais"/>
    <x v="3"/>
    <n v="20"/>
    <n v="0"/>
    <n v="0"/>
    <s v="PEB et problèmes reliés à des demandes de PEB. J'ai dû appeler Delphine à l'aide. Manque de respect de la part de l'usager"/>
    <x v="5"/>
  </r>
  <r>
    <x v="1270"/>
    <x v="1"/>
    <x v="3"/>
    <x v="0"/>
    <s v="français"/>
    <x v="0"/>
    <n v="10.5"/>
    <n v="1"/>
    <n v="0"/>
    <m/>
    <x v="2"/>
  </r>
  <r>
    <x v="1270"/>
    <x v="1"/>
    <x v="3"/>
    <x v="0"/>
    <s v="français"/>
    <x v="0"/>
    <n v="10.5"/>
    <n v="1"/>
    <n v="0"/>
    <m/>
    <x v="5"/>
  </r>
  <r>
    <x v="1270"/>
    <x v="1"/>
    <x v="3"/>
    <x v="0"/>
    <s v="français"/>
    <x v="0"/>
    <n v="10.5"/>
    <n v="1"/>
    <n v="0"/>
    <m/>
    <x v="7"/>
  </r>
  <r>
    <x v="1271"/>
    <x v="1"/>
    <x v="3"/>
    <x v="0"/>
    <s v="français"/>
    <x v="1"/>
    <n v="0.5"/>
    <n v="1"/>
    <n v="0"/>
    <m/>
    <x v="2"/>
  </r>
  <r>
    <x v="1272"/>
    <x v="1"/>
    <x v="3"/>
    <x v="0"/>
    <s v="français"/>
    <x v="2"/>
    <n v="3"/>
    <n v="0"/>
    <n v="0"/>
    <s v="prise électrique et adaptateur"/>
    <x v="1"/>
  </r>
  <r>
    <x v="1273"/>
    <x v="1"/>
    <x v="3"/>
    <x v="0"/>
    <s v="français"/>
    <x v="2"/>
    <n v="3"/>
    <n v="0"/>
    <n v="0"/>
    <s v="Expo"/>
    <x v="7"/>
  </r>
  <r>
    <x v="1274"/>
    <x v="1"/>
    <x v="3"/>
    <x v="0"/>
    <s v="français"/>
    <x v="2"/>
    <n v="3"/>
    <n v="0"/>
    <n v="0"/>
    <s v="Machine à café"/>
    <x v="1"/>
  </r>
  <r>
    <x v="1275"/>
    <x v="2"/>
    <x v="3"/>
    <x v="1"/>
    <s v="français"/>
    <x v="0"/>
    <n v="10.5"/>
    <n v="0"/>
    <n v="1"/>
    <s v="Europresse Accès à Heidi news"/>
    <x v="6"/>
  </r>
  <r>
    <x v="1276"/>
    <x v="2"/>
    <x v="3"/>
    <x v="0"/>
    <s v="français"/>
    <x v="0"/>
    <n v="10.5"/>
    <n v="1"/>
    <n v="0"/>
    <m/>
    <x v="2"/>
  </r>
  <r>
    <x v="1277"/>
    <x v="2"/>
    <x v="3"/>
    <x v="0"/>
    <s v="français"/>
    <x v="1"/>
    <n v="0.5"/>
    <n v="0"/>
    <n v="0"/>
    <s v="Espace café"/>
    <x v="0"/>
  </r>
  <r>
    <x v="1278"/>
    <x v="3"/>
    <x v="5"/>
    <x v="0"/>
    <s v="français"/>
    <x v="2"/>
    <n v="3"/>
    <n v="0"/>
    <n v="0"/>
    <m/>
    <x v="7"/>
  </r>
  <r>
    <x v="1279"/>
    <x v="1"/>
    <x v="5"/>
    <x v="0"/>
    <s v="français"/>
    <x v="2"/>
    <n v="3"/>
    <n v="1"/>
    <n v="0"/>
    <m/>
    <x v="2"/>
  </r>
  <r>
    <x v="1280"/>
    <x v="2"/>
    <x v="5"/>
    <x v="0"/>
    <s v="français"/>
    <x v="2"/>
    <n v="3"/>
    <n v="0"/>
    <n v="0"/>
    <m/>
    <x v="8"/>
  </r>
  <r>
    <x v="1281"/>
    <x v="2"/>
    <x v="5"/>
    <x v="0"/>
    <s v="français"/>
    <x v="2"/>
    <n v="3"/>
    <n v="0"/>
    <n v="0"/>
    <m/>
    <x v="7"/>
  </r>
  <r>
    <x v="1281"/>
    <x v="2"/>
    <x v="5"/>
    <x v="0"/>
    <s v="français"/>
    <x v="2"/>
    <n v="3"/>
    <n v="0"/>
    <n v="0"/>
    <m/>
    <x v="1"/>
  </r>
  <r>
    <x v="1282"/>
    <x v="6"/>
    <x v="5"/>
    <x v="0"/>
    <s v="français"/>
    <x v="0"/>
    <n v="10.5"/>
    <n v="0"/>
    <n v="0"/>
    <s v="Question sur les livres genevois - Bibliothèque orange du SAR"/>
    <x v="1"/>
  </r>
  <r>
    <x v="1283"/>
    <x v="6"/>
    <x v="5"/>
    <x v="0"/>
    <s v="français"/>
    <x v="2"/>
    <n v="3"/>
    <n v="0"/>
    <n v="0"/>
    <s v="Gratuité de la brochue de l'exposition "/>
    <x v="1"/>
  </r>
  <r>
    <x v="1284"/>
    <x v="6"/>
    <x v="5"/>
    <x v="0"/>
    <s v="français"/>
    <x v="3"/>
    <n v="20"/>
    <n v="0"/>
    <n v="0"/>
    <s v="Histoire des femmes et du genre à Genève à la fin du 18e siècle"/>
    <x v="2"/>
  </r>
  <r>
    <x v="1285"/>
    <x v="4"/>
    <x v="0"/>
    <x v="0"/>
    <s v="français"/>
    <x v="1"/>
    <n v="0.5"/>
    <n v="0"/>
    <n v="0"/>
    <m/>
    <x v="0"/>
  </r>
  <r>
    <x v="1286"/>
    <x v="4"/>
    <x v="0"/>
    <x v="0"/>
    <s v="français"/>
    <x v="2"/>
    <n v="3"/>
    <n v="0"/>
    <n v="0"/>
    <m/>
    <x v="8"/>
  </r>
  <r>
    <x v="1287"/>
    <x v="1"/>
    <x v="0"/>
    <x v="0"/>
    <s v="français"/>
    <x v="1"/>
    <n v="0.5"/>
    <n v="0"/>
    <n v="0"/>
    <m/>
    <x v="0"/>
  </r>
  <r>
    <x v="1288"/>
    <x v="1"/>
    <x v="0"/>
    <x v="0"/>
    <s v="français"/>
    <x v="1"/>
    <n v="0.5"/>
    <n v="0"/>
    <n v="0"/>
    <m/>
    <x v="0"/>
  </r>
  <r>
    <x v="1289"/>
    <x v="5"/>
    <x v="1"/>
    <x v="0"/>
    <s v="français"/>
    <x v="1"/>
    <n v="0.5"/>
    <n v="0"/>
    <n v="0"/>
    <m/>
    <x v="0"/>
  </r>
  <r>
    <x v="1290"/>
    <x v="5"/>
    <x v="1"/>
    <x v="0"/>
    <s v="français"/>
    <x v="1"/>
    <n v="0.5"/>
    <n v="0"/>
    <n v="0"/>
    <m/>
    <x v="0"/>
  </r>
  <r>
    <x v="1291"/>
    <x v="5"/>
    <x v="1"/>
    <x v="0"/>
    <s v="français"/>
    <x v="2"/>
    <n v="3"/>
    <n v="0"/>
    <n v="0"/>
    <m/>
    <x v="7"/>
  </r>
  <r>
    <x v="1292"/>
    <x v="3"/>
    <x v="1"/>
    <x v="0"/>
    <s v="français"/>
    <x v="1"/>
    <n v="0.5"/>
    <n v="0"/>
    <n v="0"/>
    <m/>
    <x v="0"/>
  </r>
  <r>
    <x v="1293"/>
    <x v="3"/>
    <x v="1"/>
    <x v="0"/>
    <s v="français"/>
    <x v="1"/>
    <n v="0.5"/>
    <n v="0"/>
    <n v="0"/>
    <m/>
    <x v="4"/>
  </r>
  <r>
    <x v="1294"/>
    <x v="1"/>
    <x v="1"/>
    <x v="0"/>
    <s v="français"/>
    <x v="1"/>
    <n v="0.5"/>
    <n v="0"/>
    <n v="0"/>
    <m/>
    <x v="7"/>
  </r>
  <r>
    <x v="1295"/>
    <x v="1"/>
    <x v="1"/>
    <x v="0"/>
    <s v="français"/>
    <x v="1"/>
    <n v="0.5"/>
    <n v="0"/>
    <n v="0"/>
    <m/>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19">
  <r>
    <x v="0"/>
    <x v="0"/>
    <x v="0"/>
    <x v="0"/>
    <s v="français"/>
    <x v="0"/>
    <n v="10.5"/>
    <n v="0"/>
    <n v="0"/>
    <n v="0"/>
    <n v="0"/>
    <n v="0"/>
    <n v="0"/>
    <n v="0"/>
    <n v="0"/>
    <n v="0"/>
    <n v="1"/>
    <n v="1"/>
    <s v="A des vieux documents, affiches et partitions, entre autre sur l'Escalade, et voudrait savoir leur prix."/>
  </r>
  <r>
    <x v="1"/>
    <x v="1"/>
    <x v="0"/>
    <x v="0"/>
    <s v="français"/>
    <x v="0"/>
    <n v="10.5"/>
    <n v="1"/>
    <n v="0"/>
    <n v="1"/>
    <n v="0"/>
    <n v="0"/>
    <n v="0"/>
    <n v="0"/>
    <n v="0"/>
    <n v="0"/>
    <n v="0"/>
    <n v="0"/>
    <m/>
  </r>
  <r>
    <x v="2"/>
    <x v="1"/>
    <x v="0"/>
    <x v="0"/>
    <s v="français"/>
    <x v="0"/>
    <n v="10.5"/>
    <n v="1"/>
    <n v="0"/>
    <n v="1"/>
    <n v="0"/>
    <n v="0"/>
    <n v="0"/>
    <n v="0"/>
    <n v="0"/>
    <n v="0"/>
    <n v="0"/>
    <n v="0"/>
    <m/>
  </r>
  <r>
    <x v="3"/>
    <x v="1"/>
    <x v="0"/>
    <x v="0"/>
    <s v="français"/>
    <x v="0"/>
    <n v="10.5"/>
    <n v="0"/>
    <n v="0"/>
    <n v="0"/>
    <n v="0"/>
    <n v="1"/>
    <n v="0"/>
    <n v="0"/>
    <n v="0"/>
    <n v="0"/>
    <n v="0"/>
    <n v="0"/>
    <m/>
  </r>
  <r>
    <x v="4"/>
    <x v="1"/>
    <x v="0"/>
    <x v="0"/>
    <s v="français"/>
    <x v="1"/>
    <n v="0.5"/>
    <n v="0"/>
    <n v="0"/>
    <n v="0"/>
    <n v="0"/>
    <n v="0"/>
    <n v="0"/>
    <n v="1"/>
    <n v="0"/>
    <n v="0"/>
    <n v="0"/>
    <n v="0"/>
    <m/>
  </r>
  <r>
    <x v="5"/>
    <x v="1"/>
    <x v="0"/>
    <x v="0"/>
    <s v="français"/>
    <x v="2"/>
    <n v="3"/>
    <n v="1"/>
    <n v="0"/>
    <n v="0"/>
    <n v="0"/>
    <n v="0"/>
    <n v="1"/>
    <n v="0"/>
    <n v="0"/>
    <n v="0"/>
    <n v="0"/>
    <n v="0"/>
    <m/>
  </r>
  <r>
    <x v="6"/>
    <x v="1"/>
    <x v="0"/>
    <x v="0"/>
    <s v="français"/>
    <x v="1"/>
    <n v="0.5"/>
    <n v="0"/>
    <n v="0"/>
    <n v="0"/>
    <n v="0"/>
    <n v="0"/>
    <n v="0"/>
    <n v="0"/>
    <n v="0"/>
    <n v="0"/>
    <n v="1"/>
    <n v="0"/>
    <m/>
  </r>
  <r>
    <x v="7"/>
    <x v="1"/>
    <x v="0"/>
    <x v="0"/>
    <s v="français"/>
    <x v="2"/>
    <n v="3"/>
    <n v="0"/>
    <n v="1"/>
    <n v="1"/>
    <n v="0"/>
    <n v="0"/>
    <n v="0"/>
    <n v="0"/>
    <n v="0"/>
    <n v="0"/>
    <n v="0"/>
    <n v="0"/>
    <m/>
  </r>
  <r>
    <x v="8"/>
    <x v="1"/>
    <x v="0"/>
    <x v="0"/>
    <s v="français"/>
    <x v="2"/>
    <n v="3"/>
    <n v="1"/>
    <n v="0"/>
    <n v="1"/>
    <n v="0"/>
    <n v="0"/>
    <n v="0"/>
    <n v="0"/>
    <n v="0"/>
    <n v="0"/>
    <n v="0"/>
    <n v="0"/>
    <s v="Consultation du Temps "/>
  </r>
  <r>
    <x v="9"/>
    <x v="1"/>
    <x v="0"/>
    <x v="0"/>
    <s v="français"/>
    <x v="2"/>
    <n v="3"/>
    <n v="1"/>
    <n v="0"/>
    <n v="1"/>
    <n v="0"/>
    <n v="0"/>
    <n v="0"/>
    <n v="0"/>
    <n v="0"/>
    <n v="0"/>
    <n v="0"/>
    <n v="0"/>
    <m/>
  </r>
  <r>
    <x v="10"/>
    <x v="2"/>
    <x v="0"/>
    <x v="0"/>
    <s v="français"/>
    <x v="2"/>
    <n v="3"/>
    <n v="0"/>
    <n v="0"/>
    <n v="0"/>
    <n v="0"/>
    <n v="1"/>
    <n v="0"/>
    <n v="0"/>
    <n v="0"/>
    <n v="0"/>
    <n v="0"/>
    <n v="0"/>
    <m/>
  </r>
  <r>
    <x v="11"/>
    <x v="2"/>
    <x v="0"/>
    <x v="0"/>
    <s v="anglais"/>
    <x v="2"/>
    <n v="3"/>
    <n v="0"/>
    <n v="0"/>
    <n v="0"/>
    <n v="0"/>
    <n v="0"/>
    <n v="0"/>
    <n v="1"/>
    <n v="0"/>
    <n v="0"/>
    <n v="0"/>
    <n v="0"/>
    <m/>
  </r>
  <r>
    <x v="12"/>
    <x v="0"/>
    <x v="1"/>
    <x v="0"/>
    <s v="français"/>
    <x v="3"/>
    <n v="20"/>
    <n v="0"/>
    <n v="1"/>
    <n v="1"/>
    <n v="0"/>
    <n v="1"/>
    <n v="0"/>
    <n v="1"/>
    <n v="0"/>
    <n v="1"/>
    <n v="1"/>
    <n v="0"/>
    <m/>
  </r>
  <r>
    <x v="13"/>
    <x v="3"/>
    <x v="1"/>
    <x v="0"/>
    <s v="français"/>
    <x v="1"/>
    <n v="0.5"/>
    <n v="0"/>
    <n v="0"/>
    <n v="0"/>
    <n v="0"/>
    <n v="0"/>
    <n v="0"/>
    <n v="0"/>
    <n v="0"/>
    <n v="0"/>
    <n v="1"/>
    <n v="0"/>
    <m/>
  </r>
  <r>
    <x v="14"/>
    <x v="3"/>
    <x v="1"/>
    <x v="0"/>
    <s v="français"/>
    <x v="1"/>
    <n v="0.5"/>
    <n v="0"/>
    <n v="0"/>
    <n v="0"/>
    <n v="0"/>
    <n v="0"/>
    <n v="0"/>
    <n v="0"/>
    <n v="0"/>
    <n v="0"/>
    <n v="1"/>
    <n v="0"/>
    <m/>
  </r>
  <r>
    <x v="15"/>
    <x v="4"/>
    <x v="1"/>
    <x v="0"/>
    <s v="français"/>
    <x v="0"/>
    <n v="10.5"/>
    <n v="0"/>
    <n v="0"/>
    <n v="0"/>
    <n v="0"/>
    <n v="0"/>
    <n v="0"/>
    <n v="0"/>
    <n v="0"/>
    <n v="0"/>
    <n v="0"/>
    <n v="1"/>
    <s v="Orientation vers UniMail pour une recherche de documents en science politique"/>
  </r>
  <r>
    <x v="16"/>
    <x v="4"/>
    <x v="1"/>
    <x v="0"/>
    <s v="français"/>
    <x v="2"/>
    <n v="3"/>
    <n v="0"/>
    <n v="0"/>
    <n v="0"/>
    <n v="0"/>
    <n v="0"/>
    <n v="0"/>
    <n v="1"/>
    <n v="0"/>
    <n v="0"/>
    <n v="0"/>
    <n v="0"/>
    <m/>
  </r>
  <r>
    <x v="17"/>
    <x v="1"/>
    <x v="1"/>
    <x v="0"/>
    <s v="français"/>
    <x v="2"/>
    <n v="3"/>
    <n v="0"/>
    <n v="0"/>
    <n v="0"/>
    <n v="0"/>
    <n v="0"/>
    <n v="0"/>
    <n v="0"/>
    <n v="0"/>
    <n v="1"/>
    <n v="0"/>
    <n v="0"/>
    <m/>
  </r>
  <r>
    <x v="18"/>
    <x v="1"/>
    <x v="1"/>
    <x v="0"/>
    <s v="français"/>
    <x v="1"/>
    <n v="0.5"/>
    <n v="0"/>
    <n v="0"/>
    <n v="0"/>
    <n v="0"/>
    <n v="0"/>
    <n v="0"/>
    <n v="0"/>
    <n v="0"/>
    <n v="0"/>
    <n v="1"/>
    <n v="0"/>
    <m/>
  </r>
  <r>
    <x v="19"/>
    <x v="1"/>
    <x v="1"/>
    <x v="0"/>
    <s v="français"/>
    <x v="2"/>
    <n v="3"/>
    <n v="0"/>
    <n v="0"/>
    <n v="0"/>
    <n v="0"/>
    <n v="0"/>
    <n v="0"/>
    <n v="0"/>
    <n v="0"/>
    <n v="1"/>
    <n v="0"/>
    <n v="0"/>
    <m/>
  </r>
  <r>
    <x v="20"/>
    <x v="5"/>
    <x v="2"/>
    <x v="0"/>
    <s v="français"/>
    <x v="1"/>
    <n v="0.5"/>
    <n v="0"/>
    <n v="0"/>
    <n v="0"/>
    <n v="0"/>
    <n v="0"/>
    <n v="0"/>
    <n v="0"/>
    <n v="0"/>
    <n v="0"/>
    <n v="1"/>
    <n v="0"/>
    <m/>
  </r>
  <r>
    <x v="21"/>
    <x v="4"/>
    <x v="2"/>
    <x v="0"/>
    <s v="français"/>
    <x v="3"/>
    <n v="20"/>
    <n v="0"/>
    <n v="1"/>
    <n v="1"/>
    <n v="0"/>
    <n v="1"/>
    <n v="0"/>
    <n v="0"/>
    <n v="0"/>
    <n v="0"/>
    <n v="0"/>
    <n v="0"/>
    <m/>
  </r>
  <r>
    <x v="22"/>
    <x v="1"/>
    <x v="2"/>
    <x v="1"/>
    <s v="français"/>
    <x v="0"/>
    <n v="10.5"/>
    <n v="0"/>
    <n v="1"/>
    <n v="1"/>
    <n v="0"/>
    <n v="0"/>
    <n v="0"/>
    <n v="0"/>
    <n v="0"/>
    <n v="0"/>
    <n v="0"/>
    <n v="1"/>
    <s v="Travail de maturité : influence de la musique sur les performances sportives / influence de la musique sur l'éducation ou autre forme d'apprentissge / envoyé à UNIMAIL"/>
  </r>
  <r>
    <x v="23"/>
    <x v="6"/>
    <x v="2"/>
    <x v="0"/>
    <s v="anglais"/>
    <x v="2"/>
    <n v="3"/>
    <n v="0"/>
    <n v="0"/>
    <n v="0"/>
    <n v="0"/>
    <n v="0"/>
    <n v="0"/>
    <n v="1"/>
    <n v="0"/>
    <n v="0"/>
    <n v="0"/>
    <n v="0"/>
    <m/>
  </r>
  <r>
    <x v="24"/>
    <x v="6"/>
    <x v="2"/>
    <x v="0"/>
    <s v="français"/>
    <x v="2"/>
    <n v="3"/>
    <n v="0"/>
    <n v="0"/>
    <n v="0"/>
    <n v="0"/>
    <n v="0"/>
    <n v="0"/>
    <n v="0"/>
    <n v="1"/>
    <n v="0"/>
    <n v="0"/>
    <n v="0"/>
    <m/>
  </r>
  <r>
    <x v="25"/>
    <x v="5"/>
    <x v="3"/>
    <x v="0"/>
    <s v="français"/>
    <x v="0"/>
    <n v="10.5"/>
    <n v="0"/>
    <n v="0"/>
    <n v="0"/>
    <n v="0"/>
    <n v="1"/>
    <n v="0"/>
    <n v="0"/>
    <n v="0"/>
    <n v="0"/>
    <n v="0"/>
    <n v="0"/>
    <m/>
  </r>
  <r>
    <x v="26"/>
    <x v="5"/>
    <x v="3"/>
    <x v="1"/>
    <s v="français"/>
    <x v="0"/>
    <n v="10.5"/>
    <n v="0"/>
    <n v="0"/>
    <n v="0"/>
    <n v="0"/>
    <n v="0"/>
    <n v="0"/>
    <n v="0"/>
    <n v="0"/>
    <n v="0"/>
    <n v="1"/>
    <n v="0"/>
    <m/>
  </r>
  <r>
    <x v="27"/>
    <x v="5"/>
    <x v="3"/>
    <x v="0"/>
    <s v="français"/>
    <x v="2"/>
    <n v="3"/>
    <n v="0"/>
    <n v="0"/>
    <n v="0"/>
    <n v="0"/>
    <n v="0"/>
    <n v="0"/>
    <n v="0"/>
    <n v="0"/>
    <n v="1"/>
    <n v="0"/>
    <n v="0"/>
    <m/>
  </r>
  <r>
    <x v="28"/>
    <x v="0"/>
    <x v="3"/>
    <x v="0"/>
    <s v="français"/>
    <x v="2"/>
    <n v="3"/>
    <n v="0"/>
    <n v="0"/>
    <n v="0"/>
    <n v="0"/>
    <n v="0"/>
    <n v="0"/>
    <n v="0"/>
    <n v="1"/>
    <n v="0"/>
    <n v="0"/>
    <n v="0"/>
    <m/>
  </r>
  <r>
    <x v="29"/>
    <x v="0"/>
    <x v="3"/>
    <x v="0"/>
    <s v="français"/>
    <x v="1"/>
    <n v="0.5"/>
    <n v="0"/>
    <n v="0"/>
    <n v="0"/>
    <n v="0"/>
    <n v="0"/>
    <n v="0"/>
    <n v="0"/>
    <n v="0"/>
    <n v="0"/>
    <n v="0"/>
    <n v="1"/>
    <m/>
  </r>
  <r>
    <x v="30"/>
    <x v="7"/>
    <x v="3"/>
    <x v="0"/>
    <s v="français"/>
    <x v="0"/>
    <n v="10.5"/>
    <n v="0"/>
    <n v="0"/>
    <n v="0"/>
    <n v="0"/>
    <n v="1"/>
    <n v="0"/>
    <n v="0"/>
    <n v="0"/>
    <n v="0"/>
    <n v="0"/>
    <n v="0"/>
    <m/>
  </r>
  <r>
    <x v="31"/>
    <x v="7"/>
    <x v="3"/>
    <x v="0"/>
    <s v="français"/>
    <x v="0"/>
    <n v="10.5"/>
    <n v="0"/>
    <n v="0"/>
    <n v="0"/>
    <n v="0"/>
    <n v="1"/>
    <n v="0"/>
    <n v="0"/>
    <n v="0"/>
    <n v="0"/>
    <n v="0"/>
    <n v="0"/>
    <m/>
  </r>
  <r>
    <x v="32"/>
    <x v="7"/>
    <x v="3"/>
    <x v="0"/>
    <s v="français"/>
    <x v="2"/>
    <n v="3"/>
    <n v="0"/>
    <n v="0"/>
    <n v="0"/>
    <n v="0"/>
    <n v="1"/>
    <n v="0"/>
    <n v="0"/>
    <n v="0"/>
    <n v="0"/>
    <n v="0"/>
    <n v="0"/>
    <m/>
  </r>
  <r>
    <x v="33"/>
    <x v="7"/>
    <x v="3"/>
    <x v="0"/>
    <s v="français"/>
    <x v="1"/>
    <n v="0.5"/>
    <n v="0"/>
    <n v="0"/>
    <n v="0"/>
    <n v="0"/>
    <n v="0"/>
    <n v="0"/>
    <n v="0"/>
    <n v="1"/>
    <n v="0"/>
    <n v="0"/>
    <n v="0"/>
    <m/>
  </r>
  <r>
    <x v="34"/>
    <x v="3"/>
    <x v="3"/>
    <x v="0"/>
    <s v="français"/>
    <x v="3"/>
    <n v="20"/>
    <n v="0"/>
    <n v="0"/>
    <n v="1"/>
    <n v="0"/>
    <n v="0"/>
    <n v="0"/>
    <n v="0"/>
    <n v="0"/>
    <n v="0"/>
    <n v="0"/>
    <n v="0"/>
    <m/>
  </r>
  <r>
    <x v="35"/>
    <x v="3"/>
    <x v="3"/>
    <x v="0"/>
    <s v="français"/>
    <x v="3"/>
    <n v="20"/>
    <n v="0"/>
    <n v="1"/>
    <n v="0"/>
    <n v="0"/>
    <n v="0"/>
    <n v="1"/>
    <n v="0"/>
    <n v="0"/>
    <n v="1"/>
    <n v="0"/>
    <n v="0"/>
    <m/>
  </r>
  <r>
    <x v="36"/>
    <x v="4"/>
    <x v="3"/>
    <x v="0"/>
    <s v="français"/>
    <x v="2"/>
    <n v="3"/>
    <n v="1"/>
    <n v="0"/>
    <n v="1"/>
    <n v="0"/>
    <n v="0"/>
    <n v="0"/>
    <n v="0"/>
    <n v="0"/>
    <n v="0"/>
    <n v="0"/>
    <n v="0"/>
    <m/>
  </r>
  <r>
    <x v="37"/>
    <x v="2"/>
    <x v="3"/>
    <x v="0"/>
    <s v="français"/>
    <x v="2"/>
    <n v="3"/>
    <n v="1"/>
    <n v="0"/>
    <n v="0"/>
    <n v="0"/>
    <n v="0"/>
    <n v="0"/>
    <n v="0"/>
    <n v="0"/>
    <n v="0"/>
    <n v="0"/>
    <n v="0"/>
    <m/>
  </r>
  <r>
    <x v="38"/>
    <x v="2"/>
    <x v="3"/>
    <x v="0"/>
    <s v="français"/>
    <x v="2"/>
    <n v="3"/>
    <n v="0"/>
    <n v="1"/>
    <n v="1"/>
    <n v="1"/>
    <n v="0"/>
    <n v="0"/>
    <n v="0"/>
    <n v="0"/>
    <n v="0"/>
    <n v="0"/>
    <n v="0"/>
    <s v="Techniques de photomontage"/>
  </r>
  <r>
    <x v="39"/>
    <x v="0"/>
    <x v="4"/>
    <x v="0"/>
    <s v="français"/>
    <x v="2"/>
    <n v="3"/>
    <n v="0"/>
    <n v="0"/>
    <n v="0"/>
    <n v="0"/>
    <n v="0"/>
    <n v="0"/>
    <n v="0"/>
    <n v="1"/>
    <n v="0"/>
    <n v="0"/>
    <n v="0"/>
    <m/>
  </r>
  <r>
    <x v="40"/>
    <x v="0"/>
    <x v="4"/>
    <x v="0"/>
    <s v="français"/>
    <x v="1"/>
    <n v="0.5"/>
    <n v="0"/>
    <n v="0"/>
    <n v="0"/>
    <n v="0"/>
    <n v="0"/>
    <n v="0"/>
    <n v="0"/>
    <n v="0"/>
    <n v="0"/>
    <n v="1"/>
    <n v="0"/>
    <s v="Toilettes"/>
  </r>
  <r>
    <x v="41"/>
    <x v="7"/>
    <x v="4"/>
    <x v="0"/>
    <s v="français"/>
    <x v="1"/>
    <n v="0.5"/>
    <n v="0"/>
    <n v="0"/>
    <n v="0"/>
    <n v="0"/>
    <n v="0"/>
    <n v="0"/>
    <n v="0"/>
    <n v="0"/>
    <n v="0"/>
    <n v="1"/>
    <n v="0"/>
    <m/>
  </r>
  <r>
    <x v="42"/>
    <x v="7"/>
    <x v="4"/>
    <x v="0"/>
    <s v="français"/>
    <x v="1"/>
    <n v="0.5"/>
    <n v="0"/>
    <n v="0"/>
    <n v="0"/>
    <n v="0"/>
    <n v="0"/>
    <n v="0"/>
    <n v="0"/>
    <n v="0"/>
    <n v="0"/>
    <n v="1"/>
    <n v="0"/>
    <m/>
  </r>
  <r>
    <x v="43"/>
    <x v="7"/>
    <x v="4"/>
    <x v="0"/>
    <s v="français"/>
    <x v="1"/>
    <n v="0.5"/>
    <n v="0"/>
    <n v="0"/>
    <n v="0"/>
    <n v="0"/>
    <n v="0"/>
    <n v="0"/>
    <n v="0"/>
    <n v="0"/>
    <n v="1"/>
    <n v="0"/>
    <n v="0"/>
    <m/>
  </r>
  <r>
    <x v="44"/>
    <x v="3"/>
    <x v="4"/>
    <x v="0"/>
    <s v="français"/>
    <x v="0"/>
    <n v="10.5"/>
    <n v="0"/>
    <n v="0"/>
    <n v="0"/>
    <n v="0"/>
    <n v="1"/>
    <n v="0"/>
    <n v="0"/>
    <n v="0"/>
    <n v="0"/>
    <n v="0"/>
    <n v="0"/>
    <m/>
  </r>
  <r>
    <x v="45"/>
    <x v="4"/>
    <x v="0"/>
    <x v="0"/>
    <s v="français"/>
    <x v="2"/>
    <n v="3"/>
    <n v="1"/>
    <n v="0"/>
    <n v="0"/>
    <n v="1"/>
    <n v="0"/>
    <n v="0"/>
    <n v="0"/>
    <n v="0"/>
    <n v="0"/>
    <n v="0"/>
    <n v="0"/>
    <s v="Affiche "/>
  </r>
  <r>
    <x v="46"/>
    <x v="4"/>
    <x v="0"/>
    <x v="0"/>
    <s v="français"/>
    <x v="1"/>
    <n v="0.5"/>
    <n v="0"/>
    <n v="0"/>
    <n v="0"/>
    <n v="0"/>
    <n v="0"/>
    <n v="0"/>
    <n v="1"/>
    <n v="0"/>
    <n v="0"/>
    <n v="0"/>
    <n v="0"/>
    <m/>
  </r>
  <r>
    <x v="47"/>
    <x v="4"/>
    <x v="0"/>
    <x v="0"/>
    <s v="français"/>
    <x v="0"/>
    <n v="10.5"/>
    <n v="0"/>
    <n v="0"/>
    <n v="0"/>
    <n v="0"/>
    <n v="0"/>
    <n v="0"/>
    <n v="0"/>
    <n v="1"/>
    <n v="0"/>
    <n v="0"/>
    <n v="0"/>
    <m/>
  </r>
  <r>
    <x v="48"/>
    <x v="4"/>
    <x v="0"/>
    <x v="0"/>
    <s v="français"/>
    <x v="2"/>
    <n v="3"/>
    <n v="1"/>
    <n v="0"/>
    <n v="1"/>
    <n v="0"/>
    <n v="0"/>
    <n v="0"/>
    <n v="0"/>
    <n v="0"/>
    <n v="0"/>
    <n v="0"/>
    <n v="0"/>
    <m/>
  </r>
  <r>
    <x v="49"/>
    <x v="1"/>
    <x v="0"/>
    <x v="0"/>
    <s v="français"/>
    <x v="3"/>
    <n v="20"/>
    <n v="1"/>
    <n v="0"/>
    <n v="1"/>
    <n v="0"/>
    <n v="0"/>
    <n v="0"/>
    <n v="0"/>
    <n v="0"/>
    <n v="0"/>
    <n v="0"/>
    <n v="0"/>
    <s v="Périodiques"/>
  </r>
  <r>
    <x v="50"/>
    <x v="1"/>
    <x v="0"/>
    <x v="0"/>
    <s v="anglais"/>
    <x v="1"/>
    <n v="0.5"/>
    <n v="0"/>
    <n v="0"/>
    <n v="0"/>
    <n v="0"/>
    <n v="0"/>
    <n v="0"/>
    <n v="0"/>
    <n v="0"/>
    <n v="0"/>
    <n v="0"/>
    <n v="1"/>
    <s v="Réservation Salle de Réunion "/>
  </r>
  <r>
    <x v="51"/>
    <x v="1"/>
    <x v="0"/>
    <x v="0"/>
    <s v="français"/>
    <x v="0"/>
    <n v="10.5"/>
    <n v="0"/>
    <n v="0"/>
    <n v="0"/>
    <n v="0"/>
    <n v="1"/>
    <n v="0"/>
    <n v="0"/>
    <n v="0"/>
    <n v="0"/>
    <n v="0"/>
    <n v="0"/>
    <m/>
  </r>
  <r>
    <x v="52"/>
    <x v="8"/>
    <x v="0"/>
    <x v="0"/>
    <s v="anglais"/>
    <x v="2"/>
    <n v="3"/>
    <n v="0"/>
    <n v="0"/>
    <n v="0"/>
    <n v="0"/>
    <n v="0"/>
    <n v="0"/>
    <n v="0"/>
    <n v="1"/>
    <n v="0"/>
    <n v="0"/>
    <n v="0"/>
    <m/>
  </r>
  <r>
    <x v="53"/>
    <x v="8"/>
    <x v="0"/>
    <x v="0"/>
    <s v="français"/>
    <x v="1"/>
    <n v="0.5"/>
    <n v="0"/>
    <n v="0"/>
    <n v="0"/>
    <n v="0"/>
    <n v="0"/>
    <n v="0"/>
    <n v="0"/>
    <n v="0"/>
    <n v="0"/>
    <n v="0"/>
    <n v="1"/>
    <m/>
  </r>
  <r>
    <x v="54"/>
    <x v="8"/>
    <x v="0"/>
    <x v="0"/>
    <s v="français"/>
    <x v="1"/>
    <n v="0.5"/>
    <n v="0"/>
    <n v="0"/>
    <n v="0"/>
    <n v="0"/>
    <n v="0"/>
    <n v="0"/>
    <n v="0"/>
    <n v="0"/>
    <n v="1"/>
    <n v="0"/>
    <n v="0"/>
    <m/>
  </r>
  <r>
    <x v="55"/>
    <x v="3"/>
    <x v="1"/>
    <x v="0"/>
    <s v="français"/>
    <x v="2"/>
    <n v="3"/>
    <n v="0"/>
    <n v="0"/>
    <n v="0"/>
    <n v="0"/>
    <n v="0"/>
    <n v="1"/>
    <n v="0"/>
    <n v="0"/>
    <n v="0"/>
    <n v="0"/>
    <n v="0"/>
    <m/>
  </r>
  <r>
    <x v="56"/>
    <x v="3"/>
    <x v="1"/>
    <x v="0"/>
    <s v="autre"/>
    <x v="3"/>
    <n v="20"/>
    <n v="0"/>
    <n v="0"/>
    <n v="0"/>
    <n v="0"/>
    <n v="0"/>
    <n v="0"/>
    <n v="0"/>
    <n v="0"/>
    <n v="1"/>
    <n v="1"/>
    <n v="1"/>
    <s v="Deux membres de l'ambassade de l'Equateur dont l'un avait travaillé dans une petite bibliothèque en Equateur et connaissait la Dewey et le catalogage,  visitent la bibliothèque pour l'embassadeur qui veut venir s'inscrire. Tout en espagnol !"/>
  </r>
  <r>
    <x v="57"/>
    <x v="3"/>
    <x v="1"/>
    <x v="0"/>
    <s v="anglais"/>
    <x v="0"/>
    <n v="10.5"/>
    <n v="0"/>
    <n v="1"/>
    <n v="1"/>
    <n v="0"/>
    <n v="0"/>
    <n v="0"/>
    <n v="0"/>
    <n v="0"/>
    <n v="0"/>
    <n v="0"/>
    <n v="0"/>
    <s v="Histoire mondiale !!!"/>
  </r>
  <r>
    <x v="58"/>
    <x v="3"/>
    <x v="1"/>
    <x v="0"/>
    <s v="français"/>
    <x v="1"/>
    <n v="0.5"/>
    <n v="0"/>
    <n v="0"/>
    <n v="0"/>
    <n v="0"/>
    <n v="0"/>
    <n v="0"/>
    <n v="0"/>
    <n v="0"/>
    <n v="0"/>
    <n v="0"/>
    <n v="1"/>
    <m/>
  </r>
  <r>
    <x v="59"/>
    <x v="4"/>
    <x v="1"/>
    <x v="0"/>
    <s v="français"/>
    <x v="2"/>
    <n v="3"/>
    <n v="1"/>
    <n v="0"/>
    <n v="1"/>
    <n v="1"/>
    <n v="0"/>
    <n v="0"/>
    <n v="0"/>
    <n v="0"/>
    <n v="0"/>
    <n v="0"/>
    <n v="0"/>
    <m/>
  </r>
  <r>
    <x v="60"/>
    <x v="1"/>
    <x v="1"/>
    <x v="1"/>
    <s v="français"/>
    <x v="2"/>
    <n v="3"/>
    <n v="0"/>
    <n v="0"/>
    <n v="0"/>
    <n v="0"/>
    <n v="0"/>
    <n v="0"/>
    <n v="0"/>
    <n v="0"/>
    <n v="1"/>
    <n v="0"/>
    <n v="0"/>
    <m/>
  </r>
  <r>
    <x v="61"/>
    <x v="1"/>
    <x v="1"/>
    <x v="0"/>
    <s v="français"/>
    <x v="1"/>
    <n v="0.5"/>
    <n v="0"/>
    <n v="0"/>
    <n v="0"/>
    <n v="0"/>
    <n v="0"/>
    <n v="0"/>
    <n v="0"/>
    <n v="0"/>
    <n v="0"/>
    <n v="0"/>
    <n v="1"/>
    <s v="Demande d'une nouvelle carte suite à un vol"/>
  </r>
  <r>
    <x v="62"/>
    <x v="1"/>
    <x v="1"/>
    <x v="0"/>
    <s v="français"/>
    <x v="0"/>
    <n v="10.5"/>
    <n v="1"/>
    <n v="0"/>
    <n v="1"/>
    <n v="0"/>
    <n v="0"/>
    <n v="0"/>
    <n v="0"/>
    <n v="0"/>
    <n v="0"/>
    <n v="0"/>
    <n v="0"/>
    <m/>
  </r>
  <r>
    <x v="63"/>
    <x v="1"/>
    <x v="1"/>
    <x v="0"/>
    <s v="français"/>
    <x v="0"/>
    <n v="10.5"/>
    <n v="0"/>
    <n v="0"/>
    <n v="0"/>
    <n v="0"/>
    <n v="0"/>
    <n v="1"/>
    <n v="0"/>
    <n v="0"/>
    <n v="0"/>
    <n v="0"/>
    <n v="0"/>
    <m/>
  </r>
  <r>
    <x v="64"/>
    <x v="5"/>
    <x v="2"/>
    <x v="0"/>
    <s v="français"/>
    <x v="1"/>
    <n v="0.5"/>
    <n v="0"/>
    <n v="0"/>
    <n v="0"/>
    <n v="0"/>
    <n v="0"/>
    <n v="0"/>
    <n v="0"/>
    <n v="0"/>
    <n v="0"/>
    <n v="1"/>
    <n v="0"/>
    <m/>
  </r>
  <r>
    <x v="65"/>
    <x v="7"/>
    <x v="2"/>
    <x v="0"/>
    <s v="français"/>
    <x v="2"/>
    <n v="3"/>
    <n v="0"/>
    <n v="0"/>
    <n v="0"/>
    <n v="0"/>
    <n v="0"/>
    <n v="0"/>
    <n v="0"/>
    <n v="1"/>
    <n v="0"/>
    <n v="0"/>
    <n v="0"/>
    <m/>
  </r>
  <r>
    <x v="66"/>
    <x v="7"/>
    <x v="2"/>
    <x v="0"/>
    <s v="français"/>
    <x v="0"/>
    <n v="10.5"/>
    <n v="0"/>
    <n v="0"/>
    <n v="0"/>
    <n v="0"/>
    <n v="0"/>
    <n v="0"/>
    <n v="0"/>
    <n v="1"/>
    <n v="0"/>
    <n v="0"/>
    <n v="0"/>
    <m/>
  </r>
  <r>
    <x v="67"/>
    <x v="7"/>
    <x v="2"/>
    <x v="0"/>
    <s v="français"/>
    <x v="1"/>
    <n v="0.5"/>
    <n v="0"/>
    <n v="0"/>
    <n v="0"/>
    <n v="0"/>
    <n v="0"/>
    <n v="0"/>
    <n v="0"/>
    <n v="1"/>
    <n v="0"/>
    <n v="0"/>
    <n v="0"/>
    <m/>
  </r>
  <r>
    <x v="68"/>
    <x v="3"/>
    <x v="2"/>
    <x v="0"/>
    <s v="français"/>
    <x v="0"/>
    <n v="10.5"/>
    <n v="0"/>
    <n v="1"/>
    <n v="1"/>
    <n v="0"/>
    <n v="1"/>
    <n v="0"/>
    <n v="0"/>
    <n v="0"/>
    <n v="1"/>
    <n v="0"/>
    <n v="0"/>
    <m/>
  </r>
  <r>
    <x v="69"/>
    <x v="3"/>
    <x v="2"/>
    <x v="0"/>
    <s v="français"/>
    <x v="2"/>
    <n v="3"/>
    <n v="0"/>
    <n v="0"/>
    <n v="0"/>
    <n v="0"/>
    <n v="0"/>
    <n v="0"/>
    <n v="1"/>
    <n v="0"/>
    <n v="0"/>
    <n v="0"/>
    <n v="0"/>
    <m/>
  </r>
  <r>
    <x v="70"/>
    <x v="3"/>
    <x v="2"/>
    <x v="1"/>
    <s v="français"/>
    <x v="2"/>
    <n v="3"/>
    <n v="0"/>
    <n v="0"/>
    <n v="0"/>
    <n v="0"/>
    <n v="0"/>
    <n v="0"/>
    <n v="1"/>
    <n v="0"/>
    <n v="0"/>
    <n v="0"/>
    <n v="0"/>
    <m/>
  </r>
  <r>
    <x v="71"/>
    <x v="3"/>
    <x v="2"/>
    <x v="0"/>
    <s v="français"/>
    <x v="1"/>
    <n v="0.5"/>
    <n v="0"/>
    <n v="0"/>
    <n v="0"/>
    <n v="0"/>
    <n v="0"/>
    <n v="0"/>
    <n v="1"/>
    <n v="0"/>
    <n v="0"/>
    <n v="0"/>
    <n v="0"/>
    <m/>
  </r>
  <r>
    <x v="72"/>
    <x v="4"/>
    <x v="2"/>
    <x v="0"/>
    <s v="français"/>
    <x v="2"/>
    <n v="3"/>
    <n v="0"/>
    <n v="0"/>
    <n v="0"/>
    <n v="0"/>
    <n v="1"/>
    <n v="0"/>
    <n v="0"/>
    <n v="0"/>
    <n v="0"/>
    <n v="0"/>
    <n v="0"/>
    <m/>
  </r>
  <r>
    <x v="73"/>
    <x v="1"/>
    <x v="2"/>
    <x v="0"/>
    <s v="français"/>
    <x v="2"/>
    <n v="3"/>
    <n v="0"/>
    <n v="0"/>
    <n v="0"/>
    <n v="0"/>
    <n v="0"/>
    <n v="1"/>
    <n v="0"/>
    <n v="0"/>
    <n v="0"/>
    <n v="0"/>
    <n v="0"/>
    <m/>
  </r>
  <r>
    <x v="74"/>
    <x v="8"/>
    <x v="2"/>
    <x v="1"/>
    <s v="anglais"/>
    <x v="2"/>
    <n v="3"/>
    <n v="1"/>
    <n v="0"/>
    <n v="1"/>
    <n v="0"/>
    <n v="0"/>
    <n v="0"/>
    <n v="0"/>
    <n v="0"/>
    <n v="0"/>
    <n v="0"/>
    <n v="0"/>
    <m/>
  </r>
  <r>
    <x v="75"/>
    <x v="8"/>
    <x v="2"/>
    <x v="0"/>
    <s v="français"/>
    <x v="2"/>
    <n v="3"/>
    <n v="0"/>
    <n v="0"/>
    <n v="0"/>
    <n v="0"/>
    <n v="0"/>
    <n v="0"/>
    <n v="0"/>
    <n v="1"/>
    <n v="0"/>
    <n v="0"/>
    <n v="0"/>
    <m/>
  </r>
  <r>
    <x v="76"/>
    <x v="8"/>
    <x v="2"/>
    <x v="0"/>
    <s v="français"/>
    <x v="1"/>
    <n v="0.5"/>
    <n v="0"/>
    <n v="0"/>
    <n v="0"/>
    <n v="0"/>
    <n v="0"/>
    <n v="0"/>
    <n v="0"/>
    <n v="0"/>
    <n v="1"/>
    <n v="0"/>
    <n v="0"/>
    <m/>
  </r>
  <r>
    <x v="77"/>
    <x v="8"/>
    <x v="2"/>
    <x v="0"/>
    <s v="français"/>
    <x v="1"/>
    <n v="0.5"/>
    <n v="0"/>
    <n v="0"/>
    <n v="0"/>
    <n v="0"/>
    <n v="0"/>
    <n v="0"/>
    <n v="0"/>
    <n v="0"/>
    <n v="1"/>
    <n v="0"/>
    <n v="0"/>
    <m/>
  </r>
  <r>
    <x v="78"/>
    <x v="3"/>
    <x v="3"/>
    <x v="0"/>
    <s v="français"/>
    <x v="1"/>
    <n v="0.5"/>
    <n v="0"/>
    <n v="0"/>
    <n v="0"/>
    <n v="0"/>
    <n v="0"/>
    <n v="0"/>
    <n v="0"/>
    <n v="0"/>
    <n v="0"/>
    <n v="1"/>
    <n v="0"/>
    <m/>
  </r>
  <r>
    <x v="79"/>
    <x v="3"/>
    <x v="3"/>
    <x v="0"/>
    <s v="français"/>
    <x v="2"/>
    <n v="3"/>
    <n v="0"/>
    <n v="0"/>
    <n v="0"/>
    <n v="0"/>
    <n v="0"/>
    <n v="0"/>
    <n v="0"/>
    <n v="0"/>
    <n v="0"/>
    <n v="0"/>
    <n v="1"/>
    <s v="Une dame a oublié son chargeur à la Biblio de la Cité. La bibliothèque est fermée pour travaux pdt 2 mois. Elle m'entend discuter avec un collègue des BM de passge. Elle lui demande coment récupérer son chargeur. Il va s'en occuper et la recontacter."/>
  </r>
  <r>
    <x v="80"/>
    <x v="4"/>
    <x v="3"/>
    <x v="0"/>
    <s v="français"/>
    <x v="2"/>
    <n v="3"/>
    <n v="0"/>
    <n v="1"/>
    <n v="1"/>
    <n v="0"/>
    <n v="1"/>
    <n v="0"/>
    <n v="0"/>
    <n v="0"/>
    <n v="1"/>
    <n v="0"/>
    <n v="0"/>
    <m/>
  </r>
  <r>
    <x v="81"/>
    <x v="4"/>
    <x v="3"/>
    <x v="0"/>
    <s v="français"/>
    <x v="0"/>
    <n v="10.5"/>
    <n v="1"/>
    <n v="0"/>
    <n v="1"/>
    <n v="0"/>
    <n v="1"/>
    <n v="0"/>
    <n v="0"/>
    <n v="0"/>
    <n v="0"/>
    <n v="0"/>
    <n v="0"/>
    <m/>
  </r>
  <r>
    <x v="82"/>
    <x v="1"/>
    <x v="3"/>
    <x v="0"/>
    <s v="français"/>
    <x v="1"/>
    <n v="0.5"/>
    <n v="0"/>
    <n v="0"/>
    <n v="0"/>
    <n v="0"/>
    <n v="0"/>
    <n v="0"/>
    <n v="0"/>
    <n v="0"/>
    <n v="0"/>
    <n v="1"/>
    <n v="0"/>
    <m/>
  </r>
  <r>
    <x v="83"/>
    <x v="1"/>
    <x v="3"/>
    <x v="1"/>
    <s v="français"/>
    <x v="2"/>
    <n v="3"/>
    <n v="0"/>
    <n v="0"/>
    <n v="0"/>
    <n v="0"/>
    <n v="0"/>
    <n v="0"/>
    <n v="0"/>
    <n v="0"/>
    <n v="0"/>
    <n v="1"/>
    <n v="0"/>
    <m/>
  </r>
  <r>
    <x v="84"/>
    <x v="5"/>
    <x v="4"/>
    <x v="0"/>
    <s v="français"/>
    <x v="2"/>
    <n v="3"/>
    <n v="0"/>
    <n v="0"/>
    <n v="0"/>
    <n v="0"/>
    <n v="0"/>
    <n v="0"/>
    <n v="1"/>
    <n v="0"/>
    <n v="0"/>
    <n v="0"/>
    <n v="0"/>
    <m/>
  </r>
  <r>
    <x v="85"/>
    <x v="7"/>
    <x v="4"/>
    <x v="0"/>
    <s v="français"/>
    <x v="1"/>
    <n v="0.5"/>
    <n v="0"/>
    <n v="0"/>
    <n v="0"/>
    <n v="0"/>
    <n v="0"/>
    <n v="0"/>
    <n v="0"/>
    <n v="1"/>
    <n v="0"/>
    <n v="0"/>
    <n v="0"/>
    <m/>
  </r>
  <r>
    <x v="86"/>
    <x v="7"/>
    <x v="4"/>
    <x v="0"/>
    <s v="français"/>
    <x v="1"/>
    <n v="0.5"/>
    <n v="0"/>
    <n v="0"/>
    <n v="0"/>
    <n v="0"/>
    <n v="0"/>
    <n v="0"/>
    <n v="0"/>
    <n v="0"/>
    <n v="1"/>
    <n v="0"/>
    <n v="0"/>
    <m/>
  </r>
  <r>
    <x v="87"/>
    <x v="7"/>
    <x v="4"/>
    <x v="0"/>
    <s v="français"/>
    <x v="2"/>
    <n v="3"/>
    <n v="0"/>
    <n v="0"/>
    <n v="0"/>
    <n v="0"/>
    <n v="0"/>
    <n v="0"/>
    <n v="0"/>
    <n v="0"/>
    <n v="1"/>
    <n v="0"/>
    <n v="0"/>
    <m/>
  </r>
  <r>
    <x v="88"/>
    <x v="7"/>
    <x v="4"/>
    <x v="0"/>
    <s v="français"/>
    <x v="1"/>
    <n v="0.5"/>
    <n v="0"/>
    <n v="0"/>
    <n v="0"/>
    <n v="0"/>
    <n v="0"/>
    <n v="0"/>
    <n v="0"/>
    <n v="0"/>
    <n v="0"/>
    <n v="0"/>
    <n v="1"/>
    <s v="Demande de liquidie désinfectant lors de l'occupation d'un Monde Pc"/>
  </r>
  <r>
    <x v="89"/>
    <x v="0"/>
    <x v="0"/>
    <x v="0"/>
    <s v="français"/>
    <x v="3"/>
    <n v="20"/>
    <n v="0"/>
    <n v="0"/>
    <n v="0"/>
    <n v="0"/>
    <n v="1"/>
    <n v="0"/>
    <n v="0"/>
    <n v="0"/>
    <n v="0"/>
    <n v="0"/>
    <n v="0"/>
    <m/>
  </r>
  <r>
    <x v="90"/>
    <x v="3"/>
    <x v="0"/>
    <x v="0"/>
    <s v="français"/>
    <x v="1"/>
    <n v="0.5"/>
    <n v="0"/>
    <n v="0"/>
    <n v="0"/>
    <n v="0"/>
    <n v="0"/>
    <n v="0"/>
    <n v="0"/>
    <n v="1"/>
    <n v="0"/>
    <n v="0"/>
    <n v="0"/>
    <m/>
  </r>
  <r>
    <x v="91"/>
    <x v="3"/>
    <x v="0"/>
    <x v="1"/>
    <s v="français"/>
    <x v="2"/>
    <n v="3"/>
    <n v="1"/>
    <n v="0"/>
    <n v="1"/>
    <n v="1"/>
    <n v="0"/>
    <n v="0"/>
    <n v="0"/>
    <n v="0"/>
    <n v="0"/>
    <n v="0"/>
    <n v="0"/>
    <s v="Est-ce que le titre &quot;2008 / Pierre Jovanovic&quot; se trouve dans une bibliothèque à Genève. (vient de paraître)"/>
  </r>
  <r>
    <x v="92"/>
    <x v="3"/>
    <x v="0"/>
    <x v="0"/>
    <s v="français"/>
    <x v="2"/>
    <n v="3"/>
    <n v="0"/>
    <n v="0"/>
    <n v="0"/>
    <n v="0"/>
    <n v="0"/>
    <n v="0"/>
    <n v="1"/>
    <n v="0"/>
    <n v="0"/>
    <n v="0"/>
    <n v="0"/>
    <s v="Problème avec Mondo PC"/>
  </r>
  <r>
    <x v="93"/>
    <x v="4"/>
    <x v="0"/>
    <x v="0"/>
    <s v="français"/>
    <x v="2"/>
    <n v="3"/>
    <n v="0"/>
    <n v="0"/>
    <n v="0"/>
    <n v="0"/>
    <n v="0"/>
    <n v="0"/>
    <n v="0"/>
    <n v="0"/>
    <n v="1"/>
    <n v="1"/>
    <n v="0"/>
    <m/>
  </r>
  <r>
    <x v="94"/>
    <x v="4"/>
    <x v="0"/>
    <x v="0"/>
    <s v="français"/>
    <x v="1"/>
    <n v="0.5"/>
    <n v="0"/>
    <n v="0"/>
    <n v="0"/>
    <n v="0"/>
    <n v="0"/>
    <n v="0"/>
    <n v="0"/>
    <n v="0"/>
    <n v="0"/>
    <n v="0"/>
    <n v="1"/>
    <s v="Espace café"/>
  </r>
  <r>
    <x v="95"/>
    <x v="4"/>
    <x v="0"/>
    <x v="0"/>
    <s v="français"/>
    <x v="2"/>
    <n v="3"/>
    <n v="1"/>
    <n v="0"/>
    <n v="0"/>
    <n v="0"/>
    <n v="0"/>
    <n v="0"/>
    <n v="0"/>
    <n v="0"/>
    <n v="0"/>
    <n v="0"/>
    <n v="0"/>
    <s v="Liste ou rayon de littérature suisse en libre accès ? -&gt; Libre accès mais aussi redirection vers les livres en présentoir Zoé (résultats : plusieurs livres empruntés !)"/>
  </r>
  <r>
    <x v="96"/>
    <x v="1"/>
    <x v="0"/>
    <x v="0"/>
    <s v="français"/>
    <x v="0"/>
    <n v="10.5"/>
    <n v="1"/>
    <n v="0"/>
    <n v="0"/>
    <n v="0"/>
    <n v="0"/>
    <n v="0"/>
    <n v="0"/>
    <n v="0"/>
    <n v="0"/>
    <n v="0"/>
    <n v="0"/>
    <m/>
  </r>
  <r>
    <x v="97"/>
    <x v="1"/>
    <x v="0"/>
    <x v="0"/>
    <s v="français"/>
    <x v="1"/>
    <n v="0.5"/>
    <n v="0"/>
    <n v="0"/>
    <n v="0"/>
    <n v="0"/>
    <n v="0"/>
    <n v="0"/>
    <n v="0"/>
    <n v="0"/>
    <n v="0"/>
    <n v="0"/>
    <n v="1"/>
    <s v="Espace café (moyen de paiement)"/>
  </r>
  <r>
    <x v="98"/>
    <x v="2"/>
    <x v="0"/>
    <x v="0"/>
    <s v="français"/>
    <x v="1"/>
    <n v="0.5"/>
    <n v="0"/>
    <n v="0"/>
    <n v="0"/>
    <n v="0"/>
    <n v="0"/>
    <n v="0"/>
    <n v="0"/>
    <n v="1"/>
    <n v="0"/>
    <n v="0"/>
    <n v="0"/>
    <m/>
  </r>
  <r>
    <x v="99"/>
    <x v="2"/>
    <x v="0"/>
    <x v="0"/>
    <s v="français"/>
    <x v="1"/>
    <n v="0.5"/>
    <n v="0"/>
    <n v="0"/>
    <n v="0"/>
    <n v="0"/>
    <n v="0"/>
    <n v="0"/>
    <n v="0"/>
    <n v="0"/>
    <n v="0"/>
    <n v="0"/>
    <n v="1"/>
    <s v="Toilettes"/>
  </r>
  <r>
    <x v="100"/>
    <x v="2"/>
    <x v="0"/>
    <x v="0"/>
    <s v="français"/>
    <x v="2"/>
    <n v="3"/>
    <n v="0"/>
    <n v="0"/>
    <n v="0"/>
    <n v="0"/>
    <n v="0"/>
    <n v="0"/>
    <n v="1"/>
    <n v="0"/>
    <n v="0"/>
    <n v="0"/>
    <n v="0"/>
    <m/>
  </r>
  <r>
    <x v="101"/>
    <x v="2"/>
    <x v="0"/>
    <x v="0"/>
    <s v="français"/>
    <x v="1"/>
    <n v="0.5"/>
    <n v="0"/>
    <n v="0"/>
    <n v="0"/>
    <n v="0"/>
    <n v="0"/>
    <n v="0"/>
    <n v="0"/>
    <n v="0"/>
    <n v="0"/>
    <n v="0"/>
    <n v="1"/>
    <s v="Espace café"/>
  </r>
  <r>
    <x v="102"/>
    <x v="0"/>
    <x v="1"/>
    <x v="1"/>
    <s v="français"/>
    <x v="1"/>
    <n v="0.5"/>
    <n v="0"/>
    <n v="0"/>
    <n v="0"/>
    <n v="0"/>
    <n v="0"/>
    <n v="1"/>
    <n v="0"/>
    <n v="0"/>
    <n v="0"/>
    <n v="0"/>
    <n v="0"/>
    <m/>
  </r>
  <r>
    <x v="103"/>
    <x v="0"/>
    <x v="1"/>
    <x v="0"/>
    <s v="anglais"/>
    <x v="1"/>
    <n v="0.5"/>
    <n v="0"/>
    <n v="0"/>
    <n v="0"/>
    <n v="0"/>
    <n v="0"/>
    <n v="0"/>
    <n v="0"/>
    <n v="0"/>
    <n v="0"/>
    <n v="0"/>
    <n v="1"/>
    <s v="Cherchait l'université"/>
  </r>
  <r>
    <x v="104"/>
    <x v="7"/>
    <x v="1"/>
    <x v="0"/>
    <s v="français"/>
    <x v="1"/>
    <n v="0.5"/>
    <n v="0"/>
    <n v="0"/>
    <n v="0"/>
    <n v="0"/>
    <n v="0"/>
    <n v="0"/>
    <n v="0"/>
    <n v="0"/>
    <n v="1"/>
    <n v="0"/>
    <n v="0"/>
    <m/>
  </r>
  <r>
    <x v="105"/>
    <x v="7"/>
    <x v="1"/>
    <x v="0"/>
    <s v="français"/>
    <x v="1"/>
    <n v="0.5"/>
    <n v="0"/>
    <n v="0"/>
    <n v="0"/>
    <n v="0"/>
    <n v="0"/>
    <n v="0"/>
    <n v="1"/>
    <n v="0"/>
    <n v="0"/>
    <n v="0"/>
    <n v="0"/>
    <m/>
  </r>
  <r>
    <x v="106"/>
    <x v="3"/>
    <x v="1"/>
    <x v="0"/>
    <s v="français"/>
    <x v="2"/>
    <n v="3"/>
    <n v="0"/>
    <n v="1"/>
    <n v="1"/>
    <n v="0"/>
    <n v="0"/>
    <n v="0"/>
    <n v="0"/>
    <n v="0"/>
    <n v="0"/>
    <n v="1"/>
    <n v="0"/>
    <m/>
  </r>
  <r>
    <x v="107"/>
    <x v="3"/>
    <x v="1"/>
    <x v="0"/>
    <s v="français"/>
    <x v="1"/>
    <n v="0.5"/>
    <n v="0"/>
    <n v="0"/>
    <n v="0"/>
    <n v="0"/>
    <n v="0"/>
    <n v="0"/>
    <n v="0"/>
    <n v="1"/>
    <n v="0"/>
    <n v="0"/>
    <n v="0"/>
    <m/>
  </r>
  <r>
    <x v="108"/>
    <x v="4"/>
    <x v="1"/>
    <x v="0"/>
    <s v="français"/>
    <x v="0"/>
    <n v="10.5"/>
    <n v="1"/>
    <n v="0"/>
    <n v="1"/>
    <n v="0"/>
    <n v="0"/>
    <n v="0"/>
    <n v="0"/>
    <n v="0"/>
    <n v="0"/>
    <n v="0"/>
    <n v="0"/>
    <m/>
  </r>
  <r>
    <x v="109"/>
    <x v="1"/>
    <x v="1"/>
    <x v="0"/>
    <s v="français"/>
    <x v="1"/>
    <n v="0.5"/>
    <n v="0"/>
    <n v="0"/>
    <n v="0"/>
    <n v="0"/>
    <n v="0"/>
    <n v="0"/>
    <n v="0"/>
    <n v="0"/>
    <n v="1"/>
    <n v="0"/>
    <n v="0"/>
    <m/>
  </r>
  <r>
    <x v="110"/>
    <x v="2"/>
    <x v="1"/>
    <x v="0"/>
    <s v="anglais"/>
    <x v="1"/>
    <n v="0.5"/>
    <n v="0"/>
    <n v="0"/>
    <n v="0"/>
    <n v="0"/>
    <n v="0"/>
    <n v="0"/>
    <n v="0"/>
    <n v="0"/>
    <n v="0"/>
    <n v="1"/>
    <n v="0"/>
    <s v="Endroit pour pouvoir parler à haute voix =&gt; Espace café"/>
  </r>
  <r>
    <x v="111"/>
    <x v="2"/>
    <x v="1"/>
    <x v="0"/>
    <s v="anglais"/>
    <x v="2"/>
    <n v="3"/>
    <n v="0"/>
    <n v="0"/>
    <n v="0"/>
    <n v="0"/>
    <n v="0"/>
    <n v="0"/>
    <n v="1"/>
    <n v="0"/>
    <n v="0"/>
    <n v="0"/>
    <n v="0"/>
    <m/>
  </r>
  <r>
    <x v="112"/>
    <x v="6"/>
    <x v="1"/>
    <x v="0"/>
    <s v="français"/>
    <x v="1"/>
    <n v="0.5"/>
    <n v="0"/>
    <n v="0"/>
    <n v="0"/>
    <n v="0"/>
    <n v="0"/>
    <n v="0"/>
    <n v="0"/>
    <n v="0"/>
    <n v="0"/>
    <n v="0"/>
    <n v="1"/>
    <s v="produit pour nettoyer une table"/>
  </r>
  <r>
    <x v="113"/>
    <x v="6"/>
    <x v="1"/>
    <x v="0"/>
    <s v="français"/>
    <x v="2"/>
    <n v="3"/>
    <n v="0"/>
    <n v="0"/>
    <n v="0"/>
    <n v="0"/>
    <n v="0"/>
    <n v="0"/>
    <n v="1"/>
    <n v="0"/>
    <n v="0"/>
    <n v="0"/>
    <n v="0"/>
    <m/>
  </r>
  <r>
    <x v="114"/>
    <x v="6"/>
    <x v="1"/>
    <x v="0"/>
    <s v="français"/>
    <x v="2"/>
    <n v="3"/>
    <n v="0"/>
    <n v="0"/>
    <n v="0"/>
    <n v="0"/>
    <n v="0"/>
    <n v="0"/>
    <n v="0"/>
    <n v="0"/>
    <n v="1"/>
    <n v="0"/>
    <n v="0"/>
    <m/>
  </r>
  <r>
    <x v="115"/>
    <x v="6"/>
    <x v="1"/>
    <x v="0"/>
    <s v="français"/>
    <x v="2"/>
    <n v="3"/>
    <n v="0"/>
    <n v="0"/>
    <n v="0"/>
    <n v="0"/>
    <n v="0"/>
    <n v="0"/>
    <n v="1"/>
    <n v="0"/>
    <n v="0"/>
    <n v="0"/>
    <n v="0"/>
    <m/>
  </r>
  <r>
    <x v="116"/>
    <x v="5"/>
    <x v="2"/>
    <x v="0"/>
    <s v="français"/>
    <x v="2"/>
    <n v="3"/>
    <n v="0"/>
    <n v="0"/>
    <n v="0"/>
    <n v="0"/>
    <n v="0"/>
    <n v="0"/>
    <n v="0"/>
    <n v="0"/>
    <n v="1"/>
    <n v="0"/>
    <n v="0"/>
    <m/>
  </r>
  <r>
    <x v="117"/>
    <x v="0"/>
    <x v="2"/>
    <x v="0"/>
    <s v="français"/>
    <x v="2"/>
    <n v="3"/>
    <n v="0"/>
    <n v="0"/>
    <n v="0"/>
    <n v="0"/>
    <n v="0"/>
    <n v="0"/>
    <n v="0"/>
    <n v="1"/>
    <n v="0"/>
    <n v="0"/>
    <n v="0"/>
    <m/>
  </r>
  <r>
    <x v="118"/>
    <x v="7"/>
    <x v="2"/>
    <x v="0"/>
    <s v="français"/>
    <x v="0"/>
    <n v="10.5"/>
    <n v="1"/>
    <n v="0"/>
    <n v="1"/>
    <n v="0"/>
    <n v="0"/>
    <n v="0"/>
    <n v="0"/>
    <n v="0"/>
    <n v="0"/>
    <n v="0"/>
    <n v="0"/>
    <m/>
  </r>
  <r>
    <x v="119"/>
    <x v="7"/>
    <x v="2"/>
    <x v="0"/>
    <s v="français"/>
    <x v="1"/>
    <n v="0.5"/>
    <n v="0"/>
    <n v="0"/>
    <n v="0"/>
    <n v="0"/>
    <n v="0"/>
    <n v="0"/>
    <n v="0"/>
    <n v="1"/>
    <n v="0"/>
    <n v="0"/>
    <n v="0"/>
    <m/>
  </r>
  <r>
    <x v="120"/>
    <x v="7"/>
    <x v="2"/>
    <x v="1"/>
    <s v="français"/>
    <x v="2"/>
    <n v="3"/>
    <n v="0"/>
    <n v="0"/>
    <n v="0"/>
    <n v="0"/>
    <n v="0"/>
    <n v="0"/>
    <n v="0"/>
    <n v="0"/>
    <n v="0"/>
    <n v="0"/>
    <n v="1"/>
    <m/>
  </r>
  <r>
    <x v="121"/>
    <x v="1"/>
    <x v="2"/>
    <x v="0"/>
    <s v="français"/>
    <x v="2"/>
    <n v="3"/>
    <n v="0"/>
    <n v="0"/>
    <n v="0"/>
    <n v="0"/>
    <n v="0"/>
    <n v="0"/>
    <n v="0"/>
    <n v="1"/>
    <n v="0"/>
    <n v="0"/>
    <n v="0"/>
    <m/>
  </r>
  <r>
    <x v="122"/>
    <x v="6"/>
    <x v="2"/>
    <x v="0"/>
    <s v="français"/>
    <x v="2"/>
    <n v="3"/>
    <n v="0"/>
    <n v="1"/>
    <n v="1"/>
    <n v="0"/>
    <n v="0"/>
    <n v="0"/>
    <n v="0"/>
    <n v="0"/>
    <n v="0"/>
    <n v="0"/>
    <n v="0"/>
    <s v="Recherche sur les Anglo-saxons du 5e au 8e siècle"/>
  </r>
  <r>
    <x v="123"/>
    <x v="3"/>
    <x v="3"/>
    <x v="0"/>
    <s v="français"/>
    <x v="0"/>
    <n v="10.5"/>
    <n v="0"/>
    <n v="0"/>
    <n v="0"/>
    <n v="0"/>
    <n v="1"/>
    <n v="0"/>
    <n v="0"/>
    <n v="0"/>
    <n v="0"/>
    <n v="0"/>
    <n v="0"/>
    <m/>
  </r>
  <r>
    <x v="124"/>
    <x v="3"/>
    <x v="3"/>
    <x v="0"/>
    <s v="français"/>
    <x v="0"/>
    <n v="10.5"/>
    <n v="0"/>
    <n v="0"/>
    <n v="0"/>
    <n v="0"/>
    <n v="0"/>
    <n v="0"/>
    <n v="1"/>
    <n v="0"/>
    <n v="0"/>
    <n v="0"/>
    <n v="0"/>
    <s v="ça bug pour moi, Adrienne, j'ai utilisé mon compte pour connecter un utilisateur"/>
  </r>
  <r>
    <x v="125"/>
    <x v="3"/>
    <x v="3"/>
    <x v="0"/>
    <s v="français"/>
    <x v="3"/>
    <n v="20"/>
    <n v="0"/>
    <n v="0"/>
    <n v="0"/>
    <n v="0"/>
    <n v="0"/>
    <n v="0"/>
    <n v="1"/>
    <n v="0"/>
    <n v="0"/>
    <n v="0"/>
    <n v="0"/>
    <s v="Tout le temps, une lectrice n'arrive pas à avoir ses 4 heures d'utilisation de MondoPC. J'ai déjà téléphoné à la DSIC ; prêté mon compte ; essayé de rajouter des minutes... pas de nouvelles de la DSIC depuis mardi 15 / ada "/>
  </r>
  <r>
    <x v="126"/>
    <x v="2"/>
    <x v="3"/>
    <x v="0"/>
    <s v="français"/>
    <x v="2"/>
    <n v="3"/>
    <n v="0"/>
    <n v="0"/>
    <n v="0"/>
    <n v="0"/>
    <n v="0"/>
    <n v="0"/>
    <n v="0"/>
    <n v="0"/>
    <n v="0"/>
    <n v="0"/>
    <n v="1"/>
    <s v="Accompagner avec l'ascenceur"/>
  </r>
  <r>
    <x v="127"/>
    <x v="2"/>
    <x v="3"/>
    <x v="0"/>
    <s v="français"/>
    <x v="1"/>
    <n v="0.5"/>
    <n v="1"/>
    <n v="0"/>
    <n v="0"/>
    <n v="1"/>
    <n v="0"/>
    <n v="0"/>
    <n v="0"/>
    <n v="0"/>
    <n v="0"/>
    <n v="0"/>
    <n v="0"/>
    <s v="Explications concernant la façon de consulter des journaux genevois"/>
  </r>
  <r>
    <x v="128"/>
    <x v="2"/>
    <x v="3"/>
    <x v="0"/>
    <s v="français"/>
    <x v="0"/>
    <n v="10.5"/>
    <n v="0"/>
    <n v="0"/>
    <n v="0"/>
    <n v="0"/>
    <n v="0"/>
    <n v="0"/>
    <n v="0"/>
    <n v="0"/>
    <n v="1"/>
    <n v="0"/>
    <n v="0"/>
    <s v="Comment fonctionne la presse en ligne ? Comment avoir accès ?"/>
  </r>
  <r>
    <x v="129"/>
    <x v="2"/>
    <x v="3"/>
    <x v="0"/>
    <s v="anglais"/>
    <x v="2"/>
    <n v="3"/>
    <n v="0"/>
    <n v="0"/>
    <n v="0"/>
    <n v="0"/>
    <n v="0"/>
    <n v="0"/>
    <n v="1"/>
    <n v="0"/>
    <n v="0"/>
    <n v="0"/>
    <n v="0"/>
    <s v="Ne se souvient plus de ses identifiants"/>
  </r>
  <r>
    <x v="130"/>
    <x v="6"/>
    <x v="3"/>
    <x v="0"/>
    <s v="autre"/>
    <x v="2"/>
    <n v="3"/>
    <n v="0"/>
    <n v="0"/>
    <n v="0"/>
    <n v="0"/>
    <n v="0"/>
    <n v="0"/>
    <n v="1"/>
    <n v="0"/>
    <n v="0"/>
    <n v="0"/>
    <n v="0"/>
    <s v="Lecteur du Pérou"/>
  </r>
  <r>
    <x v="131"/>
    <x v="7"/>
    <x v="4"/>
    <x v="0"/>
    <s v="anglais"/>
    <x v="0"/>
    <n v="10.5"/>
    <n v="0"/>
    <n v="0"/>
    <n v="1"/>
    <n v="0"/>
    <n v="1"/>
    <n v="0"/>
    <n v="0"/>
    <n v="0"/>
    <n v="0"/>
    <n v="0"/>
    <n v="0"/>
    <m/>
  </r>
  <r>
    <x v="132"/>
    <x v="3"/>
    <x v="0"/>
    <x v="0"/>
    <s v="français"/>
    <x v="2"/>
    <n v="3"/>
    <n v="0"/>
    <n v="0"/>
    <n v="0"/>
    <n v="0"/>
    <n v="0"/>
    <n v="0"/>
    <n v="0"/>
    <n v="0"/>
    <n v="1"/>
    <n v="0"/>
    <n v="0"/>
    <m/>
  </r>
  <r>
    <x v="133"/>
    <x v="3"/>
    <x v="0"/>
    <x v="0"/>
    <s v="français"/>
    <x v="2"/>
    <n v="3"/>
    <n v="0"/>
    <n v="0"/>
    <n v="0"/>
    <n v="0"/>
    <n v="0"/>
    <n v="0"/>
    <n v="0"/>
    <n v="0"/>
    <n v="0"/>
    <n v="1"/>
    <n v="0"/>
    <m/>
  </r>
  <r>
    <x v="134"/>
    <x v="4"/>
    <x v="0"/>
    <x v="0"/>
    <s v="français"/>
    <x v="0"/>
    <n v="10.5"/>
    <n v="0"/>
    <n v="1"/>
    <n v="1"/>
    <n v="0"/>
    <n v="0"/>
    <n v="0"/>
    <n v="0"/>
    <n v="0"/>
    <n v="0"/>
    <n v="0"/>
    <n v="0"/>
    <m/>
  </r>
  <r>
    <x v="135"/>
    <x v="1"/>
    <x v="0"/>
    <x v="0"/>
    <s v="français"/>
    <x v="1"/>
    <n v="0.5"/>
    <n v="0"/>
    <n v="0"/>
    <n v="0"/>
    <n v="0"/>
    <n v="0"/>
    <n v="1"/>
    <n v="0"/>
    <n v="0"/>
    <n v="0"/>
    <n v="0"/>
    <n v="0"/>
    <m/>
  </r>
  <r>
    <x v="136"/>
    <x v="1"/>
    <x v="0"/>
    <x v="0"/>
    <s v="français"/>
    <x v="2"/>
    <n v="3"/>
    <n v="0"/>
    <n v="0"/>
    <n v="1"/>
    <n v="0"/>
    <n v="0"/>
    <n v="1"/>
    <n v="0"/>
    <n v="0"/>
    <n v="0"/>
    <n v="0"/>
    <n v="0"/>
    <m/>
  </r>
  <r>
    <x v="137"/>
    <x v="1"/>
    <x v="0"/>
    <x v="0"/>
    <s v="français"/>
    <x v="2"/>
    <n v="3"/>
    <n v="0"/>
    <n v="0"/>
    <n v="0"/>
    <n v="0"/>
    <n v="1"/>
    <n v="0"/>
    <n v="0"/>
    <n v="0"/>
    <n v="0"/>
    <n v="0"/>
    <n v="0"/>
    <m/>
  </r>
  <r>
    <x v="138"/>
    <x v="1"/>
    <x v="0"/>
    <x v="0"/>
    <s v="français"/>
    <x v="3"/>
    <n v="20"/>
    <n v="0"/>
    <n v="0"/>
    <n v="0"/>
    <n v="0"/>
    <n v="0"/>
    <n v="1"/>
    <n v="0"/>
    <n v="0"/>
    <n v="0"/>
    <n v="0"/>
    <n v="0"/>
    <m/>
  </r>
  <r>
    <x v="139"/>
    <x v="8"/>
    <x v="0"/>
    <x v="0"/>
    <s v="français"/>
    <x v="2"/>
    <n v="3"/>
    <n v="0"/>
    <n v="0"/>
    <n v="0"/>
    <n v="0"/>
    <n v="1"/>
    <n v="0"/>
    <n v="0"/>
    <n v="0"/>
    <n v="0"/>
    <n v="0"/>
    <n v="0"/>
    <m/>
  </r>
  <r>
    <x v="140"/>
    <x v="8"/>
    <x v="0"/>
    <x v="0"/>
    <s v="français"/>
    <x v="2"/>
    <n v="3"/>
    <n v="0"/>
    <n v="0"/>
    <n v="0"/>
    <n v="0"/>
    <n v="1"/>
    <n v="0"/>
    <n v="0"/>
    <n v="0"/>
    <n v="0"/>
    <n v="0"/>
    <n v="0"/>
    <m/>
  </r>
  <r>
    <x v="141"/>
    <x v="8"/>
    <x v="0"/>
    <x v="0"/>
    <s v="français"/>
    <x v="2"/>
    <n v="3"/>
    <n v="1"/>
    <n v="0"/>
    <n v="1"/>
    <n v="0"/>
    <n v="0"/>
    <n v="0"/>
    <n v="0"/>
    <n v="0"/>
    <n v="0"/>
    <n v="0"/>
    <n v="0"/>
    <m/>
  </r>
  <r>
    <x v="142"/>
    <x v="8"/>
    <x v="0"/>
    <x v="0"/>
    <s v="français"/>
    <x v="2"/>
    <n v="3"/>
    <n v="0"/>
    <n v="0"/>
    <n v="0"/>
    <n v="0"/>
    <n v="0"/>
    <n v="0"/>
    <n v="0"/>
    <n v="1"/>
    <n v="0"/>
    <n v="0"/>
    <n v="0"/>
    <m/>
  </r>
  <r>
    <x v="143"/>
    <x v="8"/>
    <x v="0"/>
    <x v="0"/>
    <s v="français"/>
    <x v="1"/>
    <n v="0.5"/>
    <n v="0"/>
    <n v="0"/>
    <n v="0"/>
    <n v="0"/>
    <n v="0"/>
    <n v="0"/>
    <n v="0"/>
    <n v="0"/>
    <n v="1"/>
    <n v="0"/>
    <n v="0"/>
    <m/>
  </r>
  <r>
    <x v="144"/>
    <x v="8"/>
    <x v="0"/>
    <x v="0"/>
    <s v="français"/>
    <x v="1"/>
    <n v="0.5"/>
    <n v="0"/>
    <n v="0"/>
    <n v="0"/>
    <n v="0"/>
    <n v="0"/>
    <n v="0"/>
    <n v="0"/>
    <n v="0"/>
    <n v="0"/>
    <n v="1"/>
    <n v="0"/>
    <m/>
  </r>
  <r>
    <x v="145"/>
    <x v="0"/>
    <x v="1"/>
    <x v="0"/>
    <s v="français"/>
    <x v="1"/>
    <n v="0.5"/>
    <n v="0"/>
    <n v="0"/>
    <n v="0"/>
    <n v="0"/>
    <n v="0"/>
    <n v="0"/>
    <n v="0"/>
    <n v="0"/>
    <n v="1"/>
    <n v="0"/>
    <n v="0"/>
    <s v="casque"/>
  </r>
  <r>
    <x v="146"/>
    <x v="0"/>
    <x v="1"/>
    <x v="0"/>
    <s v="français"/>
    <x v="1"/>
    <n v="0.5"/>
    <n v="0"/>
    <n v="0"/>
    <n v="0"/>
    <n v="0"/>
    <n v="0"/>
    <n v="0"/>
    <n v="0"/>
    <n v="0"/>
    <n v="1"/>
    <n v="0"/>
    <n v="0"/>
    <s v="casque"/>
  </r>
  <r>
    <x v="147"/>
    <x v="5"/>
    <x v="2"/>
    <x v="1"/>
    <s v="français"/>
    <x v="2"/>
    <n v="3"/>
    <n v="1"/>
    <n v="0"/>
    <n v="0"/>
    <n v="0"/>
    <n v="0"/>
    <n v="0"/>
    <n v="0"/>
    <n v="0"/>
    <n v="0"/>
    <n v="0"/>
    <n v="0"/>
    <s v="Savoir si nous avions le DVD de Police Academy 3"/>
  </r>
  <r>
    <x v="148"/>
    <x v="3"/>
    <x v="2"/>
    <x v="0"/>
    <s v="français"/>
    <x v="3"/>
    <n v="20"/>
    <n v="0"/>
    <n v="0"/>
    <n v="0"/>
    <n v="0"/>
    <n v="1"/>
    <n v="0"/>
    <n v="0"/>
    <n v="0"/>
    <n v="0"/>
    <n v="0"/>
    <n v="0"/>
    <m/>
  </r>
  <r>
    <x v="149"/>
    <x v="4"/>
    <x v="2"/>
    <x v="0"/>
    <s v="français"/>
    <x v="0"/>
    <n v="10.5"/>
    <n v="0"/>
    <n v="0"/>
    <n v="0"/>
    <n v="0"/>
    <n v="0"/>
    <n v="0"/>
    <n v="0"/>
    <n v="0"/>
    <n v="1"/>
    <n v="0"/>
    <n v="0"/>
    <s v="Doctorante IHEID -&gt; accès périodiques BGE"/>
  </r>
  <r>
    <x v="150"/>
    <x v="4"/>
    <x v="2"/>
    <x v="0"/>
    <s v="français"/>
    <x v="1"/>
    <n v="0.5"/>
    <n v="0"/>
    <n v="0"/>
    <n v="0"/>
    <n v="0"/>
    <n v="0"/>
    <n v="0"/>
    <n v="0"/>
    <n v="0"/>
    <n v="0"/>
    <n v="1"/>
    <n v="0"/>
    <s v="espace café"/>
  </r>
  <r>
    <x v="151"/>
    <x v="4"/>
    <x v="2"/>
    <x v="0"/>
    <s v="français"/>
    <x v="1"/>
    <n v="0.5"/>
    <n v="0"/>
    <n v="0"/>
    <n v="0"/>
    <n v="0"/>
    <n v="0"/>
    <n v="0"/>
    <n v="0"/>
    <n v="0"/>
    <n v="0"/>
    <n v="1"/>
    <n v="0"/>
    <m/>
  </r>
  <r>
    <x v="152"/>
    <x v="3"/>
    <x v="3"/>
    <x v="0"/>
    <s v="français"/>
    <x v="2"/>
    <n v="3"/>
    <n v="0"/>
    <n v="0"/>
    <n v="0"/>
    <n v="0"/>
    <n v="0"/>
    <n v="0"/>
    <n v="1"/>
    <n v="0"/>
    <n v="0"/>
    <n v="0"/>
    <n v="0"/>
    <m/>
  </r>
  <r>
    <x v="153"/>
    <x v="3"/>
    <x v="3"/>
    <x v="0"/>
    <s v="français"/>
    <x v="2"/>
    <n v="3"/>
    <n v="0"/>
    <n v="0"/>
    <n v="0"/>
    <n v="0"/>
    <n v="0"/>
    <n v="0"/>
    <n v="1"/>
    <n v="0"/>
    <n v="0"/>
    <n v="0"/>
    <n v="0"/>
    <m/>
  </r>
  <r>
    <x v="154"/>
    <x v="4"/>
    <x v="3"/>
    <x v="0"/>
    <s v="français"/>
    <x v="1"/>
    <n v="0.5"/>
    <n v="0"/>
    <n v="0"/>
    <n v="0"/>
    <n v="0"/>
    <n v="0"/>
    <n v="0"/>
    <n v="0"/>
    <n v="0"/>
    <n v="1"/>
    <n v="0"/>
    <n v="0"/>
    <m/>
  </r>
  <r>
    <x v="155"/>
    <x v="4"/>
    <x v="3"/>
    <x v="0"/>
    <s v="français"/>
    <x v="3"/>
    <n v="20"/>
    <n v="0"/>
    <n v="0"/>
    <n v="0"/>
    <n v="0"/>
    <n v="1"/>
    <n v="0"/>
    <n v="0"/>
    <n v="0"/>
    <n v="1"/>
    <n v="0"/>
    <n v="0"/>
    <m/>
  </r>
  <r>
    <x v="156"/>
    <x v="1"/>
    <x v="3"/>
    <x v="0"/>
    <s v="français"/>
    <x v="3"/>
    <n v="20"/>
    <n v="1"/>
    <n v="0"/>
    <n v="1"/>
    <n v="0"/>
    <n v="1"/>
    <n v="1"/>
    <n v="0"/>
    <n v="0"/>
    <n v="1"/>
    <n v="0"/>
    <n v="0"/>
    <m/>
  </r>
  <r>
    <x v="157"/>
    <x v="1"/>
    <x v="3"/>
    <x v="0"/>
    <s v="français"/>
    <x v="0"/>
    <n v="10.5"/>
    <n v="1"/>
    <n v="0"/>
    <n v="1"/>
    <n v="0"/>
    <n v="0"/>
    <n v="0"/>
    <n v="0"/>
    <n v="0"/>
    <n v="0"/>
    <n v="0"/>
    <n v="0"/>
    <s v="Recherche un numéro de La Suisse"/>
  </r>
  <r>
    <x v="158"/>
    <x v="1"/>
    <x v="3"/>
    <x v="0"/>
    <s v="français"/>
    <x v="1"/>
    <n v="0.5"/>
    <n v="0"/>
    <n v="0"/>
    <n v="0"/>
    <n v="0"/>
    <n v="0"/>
    <n v="0"/>
    <n v="0"/>
    <n v="0"/>
    <n v="0"/>
    <n v="1"/>
    <n v="0"/>
    <m/>
  </r>
  <r>
    <x v="159"/>
    <x v="1"/>
    <x v="3"/>
    <x v="0"/>
    <s v="français"/>
    <x v="2"/>
    <n v="3"/>
    <n v="1"/>
    <n v="0"/>
    <n v="1"/>
    <n v="0"/>
    <n v="0"/>
    <n v="0"/>
    <n v="0"/>
    <n v="0"/>
    <n v="0"/>
    <n v="0"/>
    <n v="0"/>
    <m/>
  </r>
  <r>
    <x v="160"/>
    <x v="2"/>
    <x v="3"/>
    <x v="1"/>
    <s v="français"/>
    <x v="2"/>
    <n v="3"/>
    <n v="1"/>
    <n v="0"/>
    <n v="0"/>
    <n v="0"/>
    <n v="0"/>
    <n v="0"/>
    <n v="0"/>
    <n v="0"/>
    <n v="0"/>
    <n v="0"/>
    <n v="0"/>
    <m/>
  </r>
  <r>
    <x v="161"/>
    <x v="6"/>
    <x v="3"/>
    <x v="1"/>
    <s v="français"/>
    <x v="2"/>
    <n v="3"/>
    <n v="0"/>
    <n v="0"/>
    <n v="1"/>
    <n v="0"/>
    <n v="0"/>
    <n v="0"/>
    <n v="0"/>
    <n v="0"/>
    <n v="0"/>
    <n v="0"/>
    <n v="0"/>
    <m/>
  </r>
  <r>
    <x v="162"/>
    <x v="6"/>
    <x v="3"/>
    <x v="0"/>
    <s v="français"/>
    <x v="2"/>
    <n v="3"/>
    <n v="0"/>
    <n v="0"/>
    <n v="0"/>
    <n v="0"/>
    <n v="1"/>
    <n v="0"/>
    <n v="0"/>
    <n v="0"/>
    <n v="0"/>
    <n v="0"/>
    <n v="0"/>
    <m/>
  </r>
  <r>
    <x v="163"/>
    <x v="8"/>
    <x v="3"/>
    <x v="0"/>
    <s v="français"/>
    <x v="2"/>
    <n v="3"/>
    <n v="0"/>
    <n v="0"/>
    <n v="0"/>
    <n v="0"/>
    <n v="1"/>
    <n v="0"/>
    <n v="0"/>
    <n v="0"/>
    <n v="0"/>
    <n v="0"/>
    <n v="0"/>
    <m/>
  </r>
  <r>
    <x v="164"/>
    <x v="8"/>
    <x v="3"/>
    <x v="0"/>
    <s v="français"/>
    <x v="2"/>
    <n v="3"/>
    <n v="0"/>
    <n v="0"/>
    <n v="0"/>
    <n v="0"/>
    <n v="0"/>
    <n v="0"/>
    <n v="1"/>
    <n v="0"/>
    <n v="0"/>
    <n v="0"/>
    <n v="0"/>
    <m/>
  </r>
  <r>
    <x v="165"/>
    <x v="8"/>
    <x v="3"/>
    <x v="0"/>
    <s v="français"/>
    <x v="1"/>
    <n v="0.5"/>
    <n v="0"/>
    <n v="0"/>
    <n v="0"/>
    <n v="0"/>
    <n v="0"/>
    <n v="0"/>
    <n v="0"/>
    <n v="0"/>
    <n v="0"/>
    <n v="1"/>
    <n v="0"/>
    <m/>
  </r>
  <r>
    <x v="166"/>
    <x v="8"/>
    <x v="3"/>
    <x v="0"/>
    <s v="français"/>
    <x v="1"/>
    <n v="0.5"/>
    <n v="0"/>
    <n v="0"/>
    <n v="0"/>
    <n v="0"/>
    <n v="0"/>
    <n v="0"/>
    <n v="0"/>
    <n v="0"/>
    <n v="1"/>
    <n v="0"/>
    <n v="0"/>
    <m/>
  </r>
  <r>
    <x v="167"/>
    <x v="8"/>
    <x v="3"/>
    <x v="0"/>
    <s v="français"/>
    <x v="1"/>
    <n v="0.5"/>
    <n v="0"/>
    <n v="0"/>
    <n v="0"/>
    <n v="0"/>
    <n v="0"/>
    <n v="0"/>
    <n v="0"/>
    <n v="0"/>
    <n v="0"/>
    <n v="0"/>
    <n v="1"/>
    <m/>
  </r>
  <r>
    <x v="168"/>
    <x v="0"/>
    <x v="4"/>
    <x v="0"/>
    <s v="français"/>
    <x v="3"/>
    <n v="20"/>
    <n v="0"/>
    <n v="1"/>
    <n v="1"/>
    <n v="0"/>
    <n v="1"/>
    <n v="0"/>
    <n v="0"/>
    <n v="0"/>
    <n v="1"/>
    <n v="0"/>
    <n v="0"/>
    <m/>
  </r>
  <r>
    <x v="169"/>
    <x v="0"/>
    <x v="4"/>
    <x v="0"/>
    <s v="français"/>
    <x v="1"/>
    <n v="0.5"/>
    <n v="0"/>
    <n v="0"/>
    <n v="0"/>
    <n v="0"/>
    <n v="0"/>
    <n v="0"/>
    <n v="0"/>
    <n v="0"/>
    <n v="1"/>
    <n v="0"/>
    <n v="0"/>
    <m/>
  </r>
  <r>
    <x v="170"/>
    <x v="0"/>
    <x v="4"/>
    <x v="0"/>
    <s v="français"/>
    <x v="1"/>
    <n v="0.5"/>
    <n v="0"/>
    <n v="0"/>
    <n v="0"/>
    <n v="0"/>
    <n v="0"/>
    <n v="0"/>
    <n v="0"/>
    <n v="0"/>
    <n v="1"/>
    <n v="0"/>
    <n v="0"/>
    <m/>
  </r>
  <r>
    <x v="171"/>
    <x v="4"/>
    <x v="0"/>
    <x v="0"/>
    <s v="français"/>
    <x v="1"/>
    <n v="0.5"/>
    <n v="0"/>
    <n v="0"/>
    <n v="0"/>
    <n v="0"/>
    <n v="0"/>
    <n v="0"/>
    <n v="0"/>
    <n v="0"/>
    <n v="0"/>
    <n v="0"/>
    <n v="0"/>
    <s v="Toilettes"/>
  </r>
  <r>
    <x v="172"/>
    <x v="4"/>
    <x v="0"/>
    <x v="0"/>
    <s v="français"/>
    <x v="1"/>
    <n v="0.5"/>
    <n v="0"/>
    <n v="0"/>
    <n v="0"/>
    <n v="0"/>
    <n v="0"/>
    <n v="0"/>
    <n v="0"/>
    <n v="0"/>
    <n v="0"/>
    <n v="1"/>
    <n v="0"/>
    <m/>
  </r>
  <r>
    <x v="173"/>
    <x v="1"/>
    <x v="0"/>
    <x v="0"/>
    <s v="français"/>
    <x v="2"/>
    <n v="3"/>
    <n v="0"/>
    <n v="0"/>
    <n v="0"/>
    <n v="0"/>
    <n v="0"/>
    <n v="1"/>
    <n v="0"/>
    <n v="0"/>
    <n v="0"/>
    <n v="0"/>
    <n v="0"/>
    <m/>
  </r>
  <r>
    <x v="174"/>
    <x v="1"/>
    <x v="0"/>
    <x v="0"/>
    <s v="français"/>
    <x v="2"/>
    <n v="3"/>
    <n v="1"/>
    <n v="0"/>
    <n v="0"/>
    <n v="0"/>
    <n v="0"/>
    <n v="0"/>
    <n v="0"/>
    <n v="0"/>
    <n v="0"/>
    <n v="0"/>
    <n v="0"/>
    <m/>
  </r>
  <r>
    <x v="175"/>
    <x v="1"/>
    <x v="0"/>
    <x v="0"/>
    <s v="français"/>
    <x v="2"/>
    <n v="3"/>
    <n v="0"/>
    <n v="0"/>
    <n v="0"/>
    <n v="0"/>
    <n v="0"/>
    <n v="0"/>
    <n v="1"/>
    <n v="0"/>
    <n v="0"/>
    <n v="0"/>
    <n v="0"/>
    <m/>
  </r>
  <r>
    <x v="176"/>
    <x v="7"/>
    <x v="1"/>
    <x v="0"/>
    <s v="français"/>
    <x v="1"/>
    <n v="0.5"/>
    <n v="0"/>
    <n v="0"/>
    <n v="0"/>
    <n v="0"/>
    <n v="0"/>
    <n v="0"/>
    <n v="0"/>
    <n v="0"/>
    <n v="0"/>
    <n v="0"/>
    <n v="1"/>
    <s v="Envoyé en psycho ou en médecine car la question était pointue dans ces domaines"/>
  </r>
  <r>
    <x v="177"/>
    <x v="3"/>
    <x v="1"/>
    <x v="0"/>
    <s v="français"/>
    <x v="0"/>
    <n v="10.5"/>
    <n v="1"/>
    <n v="0"/>
    <n v="1"/>
    <n v="0"/>
    <n v="0"/>
    <n v="0"/>
    <n v="0"/>
    <n v="0"/>
    <n v="0"/>
    <n v="0"/>
    <n v="0"/>
    <m/>
  </r>
  <r>
    <x v="178"/>
    <x v="3"/>
    <x v="1"/>
    <x v="0"/>
    <s v="français"/>
    <x v="0"/>
    <n v="10.5"/>
    <n v="0"/>
    <n v="1"/>
    <n v="1"/>
    <n v="1"/>
    <n v="0"/>
    <n v="0"/>
    <n v="0"/>
    <n v="0"/>
    <n v="0"/>
    <n v="0"/>
    <n v="0"/>
    <m/>
  </r>
  <r>
    <x v="179"/>
    <x v="3"/>
    <x v="1"/>
    <x v="0"/>
    <s v="français"/>
    <x v="2"/>
    <n v="3"/>
    <n v="0"/>
    <n v="0"/>
    <n v="0"/>
    <n v="0"/>
    <n v="0"/>
    <n v="0"/>
    <n v="0"/>
    <n v="0"/>
    <n v="0"/>
    <n v="0"/>
    <n v="1"/>
    <m/>
  </r>
  <r>
    <x v="180"/>
    <x v="4"/>
    <x v="1"/>
    <x v="0"/>
    <s v="français"/>
    <x v="0"/>
    <n v="10.5"/>
    <n v="1"/>
    <n v="0"/>
    <n v="1"/>
    <n v="0"/>
    <n v="0"/>
    <n v="0"/>
    <n v="0"/>
    <n v="0"/>
    <n v="0"/>
    <n v="0"/>
    <n v="0"/>
    <m/>
  </r>
  <r>
    <x v="181"/>
    <x v="4"/>
    <x v="1"/>
    <x v="0"/>
    <s v="français"/>
    <x v="0"/>
    <n v="10.5"/>
    <n v="1"/>
    <n v="0"/>
    <n v="0"/>
    <n v="0"/>
    <n v="0"/>
    <n v="1"/>
    <n v="0"/>
    <n v="0"/>
    <n v="0"/>
    <n v="0"/>
    <n v="0"/>
    <m/>
  </r>
  <r>
    <x v="182"/>
    <x v="8"/>
    <x v="1"/>
    <x v="0"/>
    <s v="français"/>
    <x v="2"/>
    <n v="3"/>
    <n v="0"/>
    <n v="0"/>
    <n v="0"/>
    <n v="0"/>
    <n v="1"/>
    <n v="0"/>
    <n v="0"/>
    <n v="0"/>
    <n v="0"/>
    <n v="0"/>
    <n v="0"/>
    <m/>
  </r>
  <r>
    <x v="183"/>
    <x v="8"/>
    <x v="1"/>
    <x v="0"/>
    <s v="français"/>
    <x v="1"/>
    <n v="0.5"/>
    <n v="0"/>
    <n v="0"/>
    <n v="0"/>
    <n v="0"/>
    <n v="0"/>
    <n v="0"/>
    <n v="0"/>
    <n v="0"/>
    <n v="0"/>
    <n v="1"/>
    <n v="0"/>
    <m/>
  </r>
  <r>
    <x v="184"/>
    <x v="8"/>
    <x v="1"/>
    <x v="0"/>
    <s v="français"/>
    <x v="2"/>
    <n v="3"/>
    <n v="0"/>
    <n v="0"/>
    <n v="0"/>
    <n v="0"/>
    <n v="0"/>
    <n v="1"/>
    <n v="0"/>
    <n v="0"/>
    <n v="0"/>
    <n v="0"/>
    <n v="0"/>
    <m/>
  </r>
  <r>
    <x v="185"/>
    <x v="8"/>
    <x v="1"/>
    <x v="0"/>
    <s v="français"/>
    <x v="1"/>
    <n v="0.5"/>
    <n v="0"/>
    <n v="0"/>
    <n v="0"/>
    <n v="0"/>
    <n v="0"/>
    <n v="0"/>
    <n v="0"/>
    <n v="0"/>
    <n v="0"/>
    <n v="1"/>
    <n v="0"/>
    <m/>
  </r>
  <r>
    <x v="186"/>
    <x v="8"/>
    <x v="1"/>
    <x v="0"/>
    <s v="français"/>
    <x v="1"/>
    <n v="0.5"/>
    <n v="0"/>
    <n v="0"/>
    <n v="0"/>
    <n v="0"/>
    <n v="0"/>
    <n v="0"/>
    <n v="0"/>
    <n v="1"/>
    <n v="0"/>
    <n v="0"/>
    <n v="0"/>
    <m/>
  </r>
  <r>
    <x v="187"/>
    <x v="8"/>
    <x v="1"/>
    <x v="0"/>
    <s v="français"/>
    <x v="1"/>
    <n v="0.5"/>
    <n v="0"/>
    <n v="0"/>
    <n v="0"/>
    <n v="0"/>
    <n v="0"/>
    <n v="0"/>
    <n v="0"/>
    <n v="0"/>
    <n v="1"/>
    <n v="0"/>
    <n v="0"/>
    <m/>
  </r>
  <r>
    <x v="188"/>
    <x v="4"/>
    <x v="2"/>
    <x v="0"/>
    <s v="français"/>
    <x v="2"/>
    <n v="3"/>
    <n v="0"/>
    <n v="1"/>
    <n v="1"/>
    <n v="0"/>
    <n v="0"/>
    <n v="0"/>
    <n v="0"/>
    <n v="0"/>
    <n v="0"/>
    <n v="0"/>
    <n v="0"/>
    <m/>
  </r>
  <r>
    <x v="189"/>
    <x v="1"/>
    <x v="2"/>
    <x v="0"/>
    <s v="français"/>
    <x v="2"/>
    <n v="3"/>
    <n v="0"/>
    <n v="0"/>
    <n v="0"/>
    <n v="0"/>
    <n v="0"/>
    <n v="0"/>
    <n v="0"/>
    <n v="0"/>
    <n v="0"/>
    <n v="0"/>
    <n v="1"/>
    <s v="Souhaite faire des photocopies mais ne souhaite pas acheter de carte... :-)"/>
  </r>
  <r>
    <x v="190"/>
    <x v="1"/>
    <x v="2"/>
    <x v="0"/>
    <s v="français"/>
    <x v="0"/>
    <n v="10.5"/>
    <n v="1"/>
    <n v="0"/>
    <n v="1"/>
    <n v="0"/>
    <n v="0"/>
    <n v="1"/>
    <n v="0"/>
    <n v="0"/>
    <n v="0"/>
    <n v="0"/>
    <n v="0"/>
    <m/>
  </r>
  <r>
    <x v="191"/>
    <x v="1"/>
    <x v="2"/>
    <x v="0"/>
    <s v="français"/>
    <x v="1"/>
    <n v="0.5"/>
    <n v="0"/>
    <n v="0"/>
    <n v="0"/>
    <n v="0"/>
    <n v="0"/>
    <n v="0"/>
    <n v="0"/>
    <n v="0"/>
    <n v="0"/>
    <n v="1"/>
    <n v="0"/>
    <s v="WC"/>
  </r>
  <r>
    <x v="192"/>
    <x v="0"/>
    <x v="0"/>
    <x v="0"/>
    <s v="français"/>
    <x v="1"/>
    <n v="0.5"/>
    <n v="0"/>
    <n v="0"/>
    <n v="0"/>
    <n v="0"/>
    <n v="0"/>
    <n v="0"/>
    <n v="0"/>
    <n v="0"/>
    <n v="0"/>
    <n v="1"/>
    <n v="0"/>
    <m/>
  </r>
  <r>
    <x v="193"/>
    <x v="0"/>
    <x v="0"/>
    <x v="0"/>
    <s v="français"/>
    <x v="0"/>
    <n v="10.5"/>
    <n v="0"/>
    <n v="0"/>
    <n v="0"/>
    <n v="0"/>
    <n v="0"/>
    <n v="0"/>
    <n v="0"/>
    <n v="1"/>
    <n v="0"/>
    <n v="0"/>
    <n v="0"/>
    <m/>
  </r>
  <r>
    <x v="194"/>
    <x v="7"/>
    <x v="0"/>
    <x v="0"/>
    <s v="français"/>
    <x v="0"/>
    <n v="10.5"/>
    <n v="0"/>
    <n v="1"/>
    <n v="1"/>
    <n v="1"/>
    <n v="0"/>
    <n v="0"/>
    <n v="0"/>
    <n v="0"/>
    <n v="0"/>
    <n v="0"/>
    <n v="0"/>
    <s v="Grammaire en dialogues niveau avancé : B2-C1 / Claire Miquel"/>
  </r>
  <r>
    <x v="195"/>
    <x v="7"/>
    <x v="0"/>
    <x v="0"/>
    <s v="français"/>
    <x v="3"/>
    <n v="20"/>
    <n v="1"/>
    <n v="0"/>
    <n v="0"/>
    <n v="0"/>
    <n v="0"/>
    <n v="0"/>
    <n v="0"/>
    <n v="0"/>
    <n v="0"/>
    <n v="1"/>
    <n v="0"/>
    <s v="Recherche la collection d'ouvrages concernant les manuscrits conservés dans les Bibliothèques europeenes qui se trouvait à Senebier qu'on vient de désherber/refouler. Ca ne s'invente pas"/>
  </r>
  <r>
    <x v="196"/>
    <x v="7"/>
    <x v="0"/>
    <x v="1"/>
    <s v="français"/>
    <x v="2"/>
    <n v="3"/>
    <n v="0"/>
    <n v="0"/>
    <n v="0"/>
    <n v="0"/>
    <n v="0"/>
    <n v="0"/>
    <n v="0"/>
    <n v="0"/>
    <n v="1"/>
    <n v="0"/>
    <n v="0"/>
    <m/>
  </r>
  <r>
    <x v="197"/>
    <x v="3"/>
    <x v="0"/>
    <x v="1"/>
    <s v="français"/>
    <x v="2"/>
    <n v="3"/>
    <n v="0"/>
    <n v="1"/>
    <n v="0"/>
    <n v="0"/>
    <n v="0"/>
    <n v="0"/>
    <n v="0"/>
    <n v="0"/>
    <n v="0"/>
    <n v="1"/>
    <n v="0"/>
    <s v="Savoir si ce sont toutes les archives Ella Maillart (fond de la BGE + fond de la BNS) qui sont inscrit au patrimoine de l'UNESCO ou seulement celles de la BGE."/>
  </r>
  <r>
    <x v="198"/>
    <x v="3"/>
    <x v="0"/>
    <x v="0"/>
    <s v="autre"/>
    <x v="0"/>
    <n v="10.5"/>
    <n v="0"/>
    <n v="0"/>
    <n v="0"/>
    <n v="0"/>
    <n v="0"/>
    <n v="0"/>
    <n v="0"/>
    <n v="0"/>
    <n v="0"/>
    <n v="0"/>
    <n v="1"/>
    <s v="Visiteurs chinois qui veulent se rendre dans les différentes universités. Compliqué de leur expliquer que ce sont des bâtiments sans portails dispersés dans la ville."/>
  </r>
  <r>
    <x v="199"/>
    <x v="3"/>
    <x v="0"/>
    <x v="0"/>
    <s v="français"/>
    <x v="3"/>
    <n v="20"/>
    <n v="0"/>
    <n v="0"/>
    <n v="0"/>
    <n v="0"/>
    <n v="1"/>
    <n v="0"/>
    <n v="0"/>
    <n v="0"/>
    <n v="0"/>
    <n v="0"/>
    <n v="0"/>
    <s v="inscription longue suite à des bugs"/>
  </r>
  <r>
    <x v="200"/>
    <x v="3"/>
    <x v="0"/>
    <x v="0"/>
    <s v="français"/>
    <x v="1"/>
    <n v="0.5"/>
    <n v="0"/>
    <n v="0"/>
    <n v="0"/>
    <n v="0"/>
    <n v="0"/>
    <n v="0"/>
    <n v="0"/>
    <n v="0"/>
    <n v="0"/>
    <n v="1"/>
    <n v="0"/>
    <m/>
  </r>
  <r>
    <x v="201"/>
    <x v="4"/>
    <x v="0"/>
    <x v="0"/>
    <s v="français"/>
    <x v="2"/>
    <n v="3"/>
    <n v="0"/>
    <n v="0"/>
    <n v="0"/>
    <n v="0"/>
    <n v="1"/>
    <n v="0"/>
    <n v="0"/>
    <n v="0"/>
    <n v="0"/>
    <n v="0"/>
    <n v="0"/>
    <m/>
  </r>
  <r>
    <x v="202"/>
    <x v="4"/>
    <x v="0"/>
    <x v="0"/>
    <s v="français"/>
    <x v="2"/>
    <n v="3"/>
    <n v="0"/>
    <n v="0"/>
    <n v="0"/>
    <n v="0"/>
    <n v="1"/>
    <n v="0"/>
    <n v="0"/>
    <n v="0"/>
    <n v="0"/>
    <n v="0"/>
    <n v="0"/>
    <m/>
  </r>
  <r>
    <x v="203"/>
    <x v="4"/>
    <x v="0"/>
    <x v="0"/>
    <s v="français"/>
    <x v="2"/>
    <n v="3"/>
    <n v="0"/>
    <n v="0"/>
    <n v="0"/>
    <n v="0"/>
    <n v="0"/>
    <n v="0"/>
    <n v="0"/>
    <n v="0"/>
    <n v="0"/>
    <n v="0"/>
    <n v="0"/>
    <m/>
  </r>
  <r>
    <x v="204"/>
    <x v="4"/>
    <x v="0"/>
    <x v="0"/>
    <s v="français"/>
    <x v="1"/>
    <n v="0.5"/>
    <n v="0"/>
    <n v="0"/>
    <n v="0"/>
    <n v="0"/>
    <n v="0"/>
    <n v="0"/>
    <n v="0"/>
    <n v="0"/>
    <n v="0"/>
    <n v="0"/>
    <n v="1"/>
    <s v="Internet"/>
  </r>
  <r>
    <x v="205"/>
    <x v="4"/>
    <x v="0"/>
    <x v="0"/>
    <s v="français"/>
    <x v="1"/>
    <n v="0.5"/>
    <n v="0"/>
    <n v="0"/>
    <n v="0"/>
    <n v="0"/>
    <n v="0"/>
    <n v="1"/>
    <n v="0"/>
    <n v="0"/>
    <n v="0"/>
    <n v="0"/>
    <n v="0"/>
    <m/>
  </r>
  <r>
    <x v="206"/>
    <x v="4"/>
    <x v="0"/>
    <x v="0"/>
    <s v="français"/>
    <x v="1"/>
    <n v="0.5"/>
    <n v="0"/>
    <n v="0"/>
    <n v="0"/>
    <n v="0"/>
    <n v="0"/>
    <n v="0"/>
    <n v="0"/>
    <n v="0"/>
    <n v="0"/>
    <n v="0"/>
    <n v="0"/>
    <s v="Adaptateur pour prise"/>
  </r>
  <r>
    <x v="207"/>
    <x v="4"/>
    <x v="0"/>
    <x v="0"/>
    <s v="français"/>
    <x v="1"/>
    <n v="0.5"/>
    <n v="0"/>
    <n v="0"/>
    <n v="0"/>
    <n v="0"/>
    <n v="0"/>
    <n v="0"/>
    <n v="0"/>
    <n v="0"/>
    <n v="0"/>
    <n v="0"/>
    <n v="1"/>
    <s v="Remplacement de carte"/>
  </r>
  <r>
    <x v="208"/>
    <x v="1"/>
    <x v="0"/>
    <x v="0"/>
    <s v="français"/>
    <x v="2"/>
    <n v="3"/>
    <n v="0"/>
    <n v="0"/>
    <n v="0"/>
    <n v="0"/>
    <n v="0"/>
    <n v="0"/>
    <n v="0"/>
    <n v="0"/>
    <n v="0"/>
    <n v="0"/>
    <n v="1"/>
    <s v="Affiches"/>
  </r>
  <r>
    <x v="209"/>
    <x v="1"/>
    <x v="0"/>
    <x v="0"/>
    <s v="français"/>
    <x v="3"/>
    <n v="20"/>
    <n v="1"/>
    <n v="0"/>
    <n v="1"/>
    <n v="0"/>
    <n v="0"/>
    <n v="0"/>
    <n v="0"/>
    <n v="0"/>
    <n v="0"/>
    <n v="0"/>
    <n v="1"/>
    <s v="Hare Krishna"/>
  </r>
  <r>
    <x v="210"/>
    <x v="1"/>
    <x v="0"/>
    <x v="0"/>
    <s v="français"/>
    <x v="0"/>
    <n v="10.5"/>
    <n v="0"/>
    <n v="0"/>
    <n v="0"/>
    <n v="0"/>
    <n v="1"/>
    <n v="0"/>
    <n v="0"/>
    <n v="0"/>
    <n v="0"/>
    <n v="0"/>
    <n v="0"/>
    <m/>
  </r>
  <r>
    <x v="211"/>
    <x v="8"/>
    <x v="0"/>
    <x v="0"/>
    <s v="français"/>
    <x v="2"/>
    <n v="3"/>
    <n v="0"/>
    <n v="0"/>
    <n v="0"/>
    <n v="0"/>
    <n v="1"/>
    <n v="0"/>
    <n v="0"/>
    <n v="0"/>
    <n v="0"/>
    <n v="0"/>
    <n v="0"/>
    <m/>
  </r>
  <r>
    <x v="212"/>
    <x v="8"/>
    <x v="0"/>
    <x v="0"/>
    <s v="français"/>
    <x v="2"/>
    <n v="3"/>
    <n v="0"/>
    <n v="0"/>
    <n v="0"/>
    <n v="0"/>
    <n v="1"/>
    <n v="0"/>
    <n v="0"/>
    <n v="0"/>
    <n v="0"/>
    <n v="0"/>
    <n v="0"/>
    <m/>
  </r>
  <r>
    <x v="213"/>
    <x v="8"/>
    <x v="0"/>
    <x v="0"/>
    <s v="français"/>
    <x v="2"/>
    <n v="3"/>
    <n v="1"/>
    <n v="0"/>
    <n v="1"/>
    <n v="0"/>
    <n v="0"/>
    <n v="0"/>
    <n v="0"/>
    <n v="0"/>
    <n v="0"/>
    <n v="0"/>
    <n v="0"/>
    <m/>
  </r>
  <r>
    <x v="214"/>
    <x v="8"/>
    <x v="0"/>
    <x v="0"/>
    <s v="français"/>
    <x v="2"/>
    <n v="3"/>
    <n v="0"/>
    <n v="0"/>
    <n v="0"/>
    <n v="0"/>
    <n v="0"/>
    <n v="0"/>
    <n v="0"/>
    <n v="0"/>
    <n v="1"/>
    <n v="0"/>
    <n v="0"/>
    <m/>
  </r>
  <r>
    <x v="215"/>
    <x v="8"/>
    <x v="0"/>
    <x v="0"/>
    <s v="français"/>
    <x v="2"/>
    <n v="3"/>
    <n v="0"/>
    <n v="0"/>
    <n v="0"/>
    <n v="0"/>
    <n v="0"/>
    <n v="0"/>
    <n v="1"/>
    <n v="0"/>
    <n v="0"/>
    <n v="0"/>
    <n v="0"/>
    <m/>
  </r>
  <r>
    <x v="216"/>
    <x v="8"/>
    <x v="0"/>
    <x v="0"/>
    <s v="français"/>
    <x v="1"/>
    <n v="0.5"/>
    <n v="0"/>
    <n v="0"/>
    <n v="0"/>
    <n v="0"/>
    <n v="0"/>
    <n v="0"/>
    <n v="0"/>
    <n v="0"/>
    <n v="0"/>
    <n v="1"/>
    <n v="0"/>
    <m/>
  </r>
  <r>
    <x v="217"/>
    <x v="5"/>
    <x v="1"/>
    <x v="1"/>
    <s v="français"/>
    <x v="2"/>
    <n v="3"/>
    <n v="0"/>
    <n v="0"/>
    <n v="0"/>
    <n v="0"/>
    <n v="0"/>
    <n v="0"/>
    <n v="0"/>
    <n v="0"/>
    <n v="0"/>
    <n v="0"/>
    <n v="1"/>
    <s v="Proposition de don"/>
  </r>
  <r>
    <x v="218"/>
    <x v="0"/>
    <x v="1"/>
    <x v="0"/>
    <s v="français"/>
    <x v="2"/>
    <n v="3"/>
    <n v="0"/>
    <n v="0"/>
    <n v="0"/>
    <n v="0"/>
    <n v="0"/>
    <n v="0"/>
    <n v="1"/>
    <n v="0"/>
    <n v="0"/>
    <n v="0"/>
    <n v="0"/>
    <m/>
  </r>
  <r>
    <x v="219"/>
    <x v="3"/>
    <x v="1"/>
    <x v="0"/>
    <s v="français"/>
    <x v="2"/>
    <n v="3"/>
    <n v="0"/>
    <n v="0"/>
    <n v="0"/>
    <n v="0"/>
    <n v="0"/>
    <n v="0"/>
    <n v="1"/>
    <n v="0"/>
    <n v="0"/>
    <n v="0"/>
    <n v="0"/>
    <m/>
  </r>
  <r>
    <x v="220"/>
    <x v="6"/>
    <x v="1"/>
    <x v="0"/>
    <s v="français"/>
    <x v="2"/>
    <n v="3"/>
    <n v="0"/>
    <n v="0"/>
    <n v="0"/>
    <n v="0"/>
    <n v="0"/>
    <n v="0"/>
    <n v="1"/>
    <n v="0"/>
    <n v="0"/>
    <n v="0"/>
    <n v="0"/>
    <m/>
  </r>
  <r>
    <x v="221"/>
    <x v="6"/>
    <x v="1"/>
    <x v="0"/>
    <s v="français"/>
    <x v="1"/>
    <n v="0.5"/>
    <n v="0"/>
    <n v="0"/>
    <n v="0"/>
    <n v="0"/>
    <n v="0"/>
    <n v="0"/>
    <n v="0"/>
    <n v="0"/>
    <n v="0"/>
    <n v="1"/>
    <n v="0"/>
    <m/>
  </r>
  <r>
    <x v="222"/>
    <x v="6"/>
    <x v="1"/>
    <x v="0"/>
    <s v="français"/>
    <x v="1"/>
    <n v="0.5"/>
    <n v="0"/>
    <n v="0"/>
    <n v="0"/>
    <n v="0"/>
    <n v="0"/>
    <n v="0"/>
    <n v="0"/>
    <n v="0"/>
    <n v="1"/>
    <n v="0"/>
    <n v="0"/>
    <m/>
  </r>
  <r>
    <x v="223"/>
    <x v="6"/>
    <x v="1"/>
    <x v="1"/>
    <s v="français"/>
    <x v="1"/>
    <n v="0.5"/>
    <n v="0"/>
    <n v="0"/>
    <n v="0"/>
    <n v="0"/>
    <n v="0"/>
    <n v="0"/>
    <n v="0"/>
    <n v="0"/>
    <n v="1"/>
    <n v="0"/>
    <n v="0"/>
    <m/>
  </r>
  <r>
    <x v="224"/>
    <x v="6"/>
    <x v="1"/>
    <x v="0"/>
    <s v="français"/>
    <x v="1"/>
    <n v="0.5"/>
    <n v="0"/>
    <n v="0"/>
    <n v="0"/>
    <n v="0"/>
    <n v="0"/>
    <n v="0"/>
    <n v="0"/>
    <n v="0"/>
    <n v="1"/>
    <n v="0"/>
    <n v="0"/>
    <m/>
  </r>
  <r>
    <x v="225"/>
    <x v="8"/>
    <x v="1"/>
    <x v="0"/>
    <s v="français"/>
    <x v="1"/>
    <n v="0.5"/>
    <n v="0"/>
    <n v="0"/>
    <n v="0"/>
    <n v="0"/>
    <n v="0"/>
    <n v="0"/>
    <n v="0"/>
    <n v="0"/>
    <n v="0"/>
    <n v="1"/>
    <n v="0"/>
    <m/>
  </r>
  <r>
    <x v="226"/>
    <x v="8"/>
    <x v="1"/>
    <x v="0"/>
    <s v="français"/>
    <x v="1"/>
    <n v="0.5"/>
    <n v="0"/>
    <n v="0"/>
    <n v="0"/>
    <n v="0"/>
    <n v="0"/>
    <n v="0"/>
    <n v="0"/>
    <n v="0"/>
    <n v="0"/>
    <n v="1"/>
    <n v="0"/>
    <m/>
  </r>
  <r>
    <x v="227"/>
    <x v="4"/>
    <x v="2"/>
    <x v="0"/>
    <s v="français"/>
    <x v="3"/>
    <n v="20"/>
    <n v="0"/>
    <n v="0"/>
    <n v="0"/>
    <n v="0"/>
    <n v="1"/>
    <n v="0"/>
    <n v="0"/>
    <n v="0"/>
    <n v="0"/>
    <n v="0"/>
    <n v="0"/>
    <m/>
  </r>
  <r>
    <x v="228"/>
    <x v="1"/>
    <x v="2"/>
    <x v="0"/>
    <s v="français"/>
    <x v="0"/>
    <n v="10.5"/>
    <n v="0"/>
    <n v="1"/>
    <n v="0"/>
    <n v="1"/>
    <n v="0"/>
    <n v="0"/>
    <n v="0"/>
    <n v="0"/>
    <n v="0"/>
    <n v="0"/>
    <n v="0"/>
    <m/>
  </r>
  <r>
    <x v="229"/>
    <x v="1"/>
    <x v="2"/>
    <x v="0"/>
    <s v="français"/>
    <x v="3"/>
    <n v="20"/>
    <n v="0"/>
    <n v="0"/>
    <n v="0"/>
    <n v="0"/>
    <n v="1"/>
    <n v="0"/>
    <n v="0"/>
    <n v="0"/>
    <n v="0"/>
    <n v="0"/>
    <n v="0"/>
    <m/>
  </r>
  <r>
    <x v="230"/>
    <x v="1"/>
    <x v="2"/>
    <x v="0"/>
    <s v="français"/>
    <x v="0"/>
    <n v="10.5"/>
    <n v="0"/>
    <n v="0"/>
    <n v="0"/>
    <n v="0"/>
    <n v="0"/>
    <n v="0"/>
    <n v="0"/>
    <n v="0"/>
    <n v="0"/>
    <n v="0"/>
    <n v="0"/>
    <s v="chercher un livre au rayon pour une lectrice"/>
  </r>
  <r>
    <x v="231"/>
    <x v="7"/>
    <x v="3"/>
    <x v="0"/>
    <s v="français"/>
    <x v="3"/>
    <n v="20"/>
    <n v="0"/>
    <n v="0"/>
    <n v="0"/>
    <n v="0"/>
    <n v="1"/>
    <n v="0"/>
    <n v="0"/>
    <n v="0"/>
    <n v="1"/>
    <n v="0"/>
    <n v="0"/>
    <m/>
  </r>
  <r>
    <x v="232"/>
    <x v="7"/>
    <x v="3"/>
    <x v="0"/>
    <s v="français"/>
    <x v="0"/>
    <n v="10.5"/>
    <n v="0"/>
    <n v="0"/>
    <n v="0"/>
    <n v="0"/>
    <n v="0"/>
    <n v="0"/>
    <n v="0"/>
    <n v="1"/>
    <n v="0"/>
    <n v="0"/>
    <n v="0"/>
    <m/>
  </r>
  <r>
    <x v="233"/>
    <x v="7"/>
    <x v="3"/>
    <x v="0"/>
    <s v="français"/>
    <x v="1"/>
    <n v="0.5"/>
    <n v="1"/>
    <n v="0"/>
    <n v="0"/>
    <n v="0"/>
    <n v="0"/>
    <n v="0"/>
    <n v="0"/>
    <n v="0"/>
    <n v="0"/>
    <n v="0"/>
    <n v="0"/>
    <m/>
  </r>
  <r>
    <x v="234"/>
    <x v="4"/>
    <x v="3"/>
    <x v="0"/>
    <s v="français"/>
    <x v="3"/>
    <n v="20"/>
    <n v="0"/>
    <n v="0"/>
    <n v="0"/>
    <n v="0"/>
    <n v="1"/>
    <n v="0"/>
    <n v="0"/>
    <n v="0"/>
    <n v="0"/>
    <n v="0"/>
    <n v="0"/>
    <m/>
  </r>
  <r>
    <x v="235"/>
    <x v="4"/>
    <x v="3"/>
    <x v="0"/>
    <s v="français"/>
    <x v="3"/>
    <n v="20"/>
    <n v="1"/>
    <n v="0"/>
    <n v="1"/>
    <n v="0"/>
    <n v="1"/>
    <n v="0"/>
    <n v="0"/>
    <n v="0"/>
    <n v="0"/>
    <n v="0"/>
    <n v="0"/>
    <m/>
  </r>
  <r>
    <x v="236"/>
    <x v="4"/>
    <x v="3"/>
    <x v="0"/>
    <s v="français"/>
    <x v="3"/>
    <n v="20"/>
    <n v="1"/>
    <n v="0"/>
    <n v="1"/>
    <n v="0"/>
    <n v="0"/>
    <n v="0"/>
    <n v="0"/>
    <n v="0"/>
    <n v="0"/>
    <n v="0"/>
    <n v="0"/>
    <m/>
  </r>
  <r>
    <x v="237"/>
    <x v="1"/>
    <x v="3"/>
    <x v="0"/>
    <s v="français"/>
    <x v="2"/>
    <n v="3"/>
    <n v="0"/>
    <n v="0"/>
    <n v="0"/>
    <n v="0"/>
    <n v="0"/>
    <n v="0"/>
    <n v="0"/>
    <n v="0"/>
    <n v="1"/>
    <n v="0"/>
    <n v="0"/>
    <m/>
  </r>
  <r>
    <x v="238"/>
    <x v="1"/>
    <x v="3"/>
    <x v="0"/>
    <s v="anglais"/>
    <x v="2"/>
    <n v="3"/>
    <n v="0"/>
    <n v="0"/>
    <n v="0"/>
    <n v="0"/>
    <n v="0"/>
    <n v="0"/>
    <n v="0"/>
    <n v="0"/>
    <n v="1"/>
    <n v="0"/>
    <n v="0"/>
    <m/>
  </r>
  <r>
    <x v="239"/>
    <x v="5"/>
    <x v="4"/>
    <x v="0"/>
    <s v="français"/>
    <x v="2"/>
    <n v="3"/>
    <n v="0"/>
    <n v="0"/>
    <n v="0"/>
    <n v="0"/>
    <n v="0"/>
    <n v="0"/>
    <n v="0"/>
    <n v="1"/>
    <n v="0"/>
    <n v="0"/>
    <n v="0"/>
    <s v="Aide à retrouver un message parti dans les courriers indésirables"/>
  </r>
  <r>
    <x v="240"/>
    <x v="5"/>
    <x v="4"/>
    <x v="0"/>
    <s v="français"/>
    <x v="2"/>
    <n v="3"/>
    <n v="0"/>
    <n v="1"/>
    <n v="1"/>
    <n v="0"/>
    <n v="0"/>
    <n v="0"/>
    <n v="0"/>
    <n v="0"/>
    <n v="0"/>
    <n v="0"/>
    <n v="0"/>
    <m/>
  </r>
  <r>
    <x v="241"/>
    <x v="7"/>
    <x v="4"/>
    <x v="0"/>
    <s v="français"/>
    <x v="0"/>
    <n v="10.5"/>
    <n v="0"/>
    <n v="0"/>
    <n v="0"/>
    <n v="0"/>
    <n v="0"/>
    <n v="0"/>
    <n v="0"/>
    <n v="1"/>
    <n v="0"/>
    <n v="0"/>
    <n v="0"/>
    <s v="Utilisation de l'imprimante"/>
  </r>
  <r>
    <x v="242"/>
    <x v="7"/>
    <x v="5"/>
    <x v="1"/>
    <s v="français"/>
    <x v="2"/>
    <n v="3"/>
    <n v="0"/>
    <n v="0"/>
    <n v="0"/>
    <n v="0"/>
    <n v="0"/>
    <n v="0"/>
    <n v="0"/>
    <n v="0"/>
    <n v="0"/>
    <n v="1"/>
    <n v="0"/>
    <m/>
  </r>
  <r>
    <x v="243"/>
    <x v="7"/>
    <x v="5"/>
    <x v="1"/>
    <s v="français"/>
    <x v="2"/>
    <n v="3"/>
    <n v="0"/>
    <n v="0"/>
    <n v="0"/>
    <n v="0"/>
    <n v="0"/>
    <n v="0"/>
    <n v="0"/>
    <n v="0"/>
    <n v="0"/>
    <n v="1"/>
    <n v="0"/>
    <s v="question RH au sujet d'une postulation"/>
  </r>
  <r>
    <x v="244"/>
    <x v="7"/>
    <x v="5"/>
    <x v="0"/>
    <s v="français"/>
    <x v="2"/>
    <n v="3"/>
    <n v="0"/>
    <n v="0"/>
    <n v="0"/>
    <n v="0"/>
    <n v="1"/>
    <n v="0"/>
    <n v="0"/>
    <n v="0"/>
    <n v="0"/>
    <n v="0"/>
    <n v="0"/>
    <m/>
  </r>
  <r>
    <x v="245"/>
    <x v="4"/>
    <x v="5"/>
    <x v="0"/>
    <s v="anglais"/>
    <x v="2"/>
    <n v="3"/>
    <n v="0"/>
    <n v="0"/>
    <n v="0"/>
    <n v="0"/>
    <n v="0"/>
    <n v="0"/>
    <n v="0"/>
    <n v="1"/>
    <n v="0"/>
    <n v="0"/>
    <n v="0"/>
    <m/>
  </r>
  <r>
    <x v="246"/>
    <x v="4"/>
    <x v="5"/>
    <x v="0"/>
    <s v="français"/>
    <x v="0"/>
    <n v="10.5"/>
    <n v="0"/>
    <n v="0"/>
    <n v="0"/>
    <n v="0"/>
    <n v="1"/>
    <n v="0"/>
    <n v="0"/>
    <n v="0"/>
    <n v="0"/>
    <n v="0"/>
    <n v="0"/>
    <m/>
  </r>
  <r>
    <x v="247"/>
    <x v="4"/>
    <x v="5"/>
    <x v="0"/>
    <s v="français"/>
    <x v="1"/>
    <n v="0.5"/>
    <n v="0"/>
    <n v="0"/>
    <n v="0"/>
    <n v="0"/>
    <n v="0"/>
    <n v="0"/>
    <n v="0"/>
    <n v="0"/>
    <n v="0"/>
    <n v="1"/>
    <n v="0"/>
    <m/>
  </r>
  <r>
    <x v="248"/>
    <x v="4"/>
    <x v="5"/>
    <x v="0"/>
    <s v="anglais"/>
    <x v="1"/>
    <n v="0.5"/>
    <n v="0"/>
    <n v="0"/>
    <n v="0"/>
    <n v="0"/>
    <n v="0"/>
    <n v="0"/>
    <n v="0"/>
    <n v="1"/>
    <n v="0"/>
    <n v="0"/>
    <n v="0"/>
    <m/>
  </r>
  <r>
    <x v="249"/>
    <x v="1"/>
    <x v="5"/>
    <x v="0"/>
    <s v="anglais"/>
    <x v="0"/>
    <n v="10.5"/>
    <n v="0"/>
    <n v="0"/>
    <n v="0"/>
    <n v="0"/>
    <n v="1"/>
    <n v="0"/>
    <n v="0"/>
    <n v="0"/>
    <n v="0"/>
    <n v="0"/>
    <n v="0"/>
    <m/>
  </r>
  <r>
    <x v="250"/>
    <x v="1"/>
    <x v="5"/>
    <x v="0"/>
    <s v="français"/>
    <x v="2"/>
    <n v="3"/>
    <n v="1"/>
    <n v="0"/>
    <n v="1"/>
    <n v="0"/>
    <n v="0"/>
    <n v="0"/>
    <n v="0"/>
    <n v="0"/>
    <n v="0"/>
    <n v="0"/>
    <n v="0"/>
    <m/>
  </r>
  <r>
    <x v="251"/>
    <x v="2"/>
    <x v="5"/>
    <x v="0"/>
    <s v="français"/>
    <x v="2"/>
    <n v="3"/>
    <n v="1"/>
    <n v="0"/>
    <n v="1"/>
    <n v="0"/>
    <n v="0"/>
    <n v="0"/>
    <n v="0"/>
    <n v="0"/>
    <n v="0"/>
    <n v="0"/>
    <n v="0"/>
    <m/>
  </r>
  <r>
    <x v="252"/>
    <x v="6"/>
    <x v="5"/>
    <x v="1"/>
    <s v="français"/>
    <x v="0"/>
    <n v="10.5"/>
    <n v="1"/>
    <n v="0"/>
    <n v="1"/>
    <n v="1"/>
    <n v="0"/>
    <n v="0"/>
    <n v="0"/>
    <n v="0"/>
    <n v="0"/>
    <n v="0"/>
    <n v="0"/>
    <m/>
  </r>
  <r>
    <x v="253"/>
    <x v="6"/>
    <x v="5"/>
    <x v="0"/>
    <s v="français"/>
    <x v="2"/>
    <n v="3"/>
    <n v="1"/>
    <n v="0"/>
    <n v="1"/>
    <n v="0"/>
    <n v="1"/>
    <n v="0"/>
    <n v="0"/>
    <n v="0"/>
    <n v="0"/>
    <n v="0"/>
    <n v="0"/>
    <m/>
  </r>
  <r>
    <x v="254"/>
    <x v="6"/>
    <x v="5"/>
    <x v="0"/>
    <s v="français"/>
    <x v="1"/>
    <n v="0.5"/>
    <n v="0"/>
    <n v="0"/>
    <n v="0"/>
    <n v="0"/>
    <n v="0"/>
    <n v="0"/>
    <n v="0"/>
    <n v="0"/>
    <n v="0"/>
    <n v="1"/>
    <n v="0"/>
    <m/>
  </r>
  <r>
    <x v="255"/>
    <x v="7"/>
    <x v="1"/>
    <x v="0"/>
    <s v="français"/>
    <x v="0"/>
    <n v="10.5"/>
    <n v="0"/>
    <n v="1"/>
    <n v="0"/>
    <n v="0"/>
    <n v="0"/>
    <n v="0"/>
    <n v="0"/>
    <n v="0"/>
    <n v="0"/>
    <n v="0"/>
    <n v="0"/>
    <m/>
  </r>
  <r>
    <x v="256"/>
    <x v="3"/>
    <x v="1"/>
    <x v="0"/>
    <s v="anglais"/>
    <x v="3"/>
    <n v="20"/>
    <n v="0"/>
    <n v="0"/>
    <n v="0"/>
    <n v="0"/>
    <n v="0"/>
    <n v="0"/>
    <n v="0"/>
    <n v="1"/>
    <n v="0"/>
    <n v="0"/>
    <n v="0"/>
    <s v="Un monsieur un peu agressif dès que cela ne va pas comme il veut, mais qui peut s'excuser après. C'est selon. Besoin d'aide pour enregistrer des choses sur clé usb et imprimer"/>
  </r>
  <r>
    <x v="257"/>
    <x v="1"/>
    <x v="1"/>
    <x v="0"/>
    <s v="anglais"/>
    <x v="2"/>
    <n v="3"/>
    <n v="0"/>
    <n v="0"/>
    <n v="0"/>
    <n v="0"/>
    <n v="0"/>
    <n v="0"/>
    <n v="0"/>
    <n v="1"/>
    <n v="0"/>
    <n v="0"/>
    <n v="0"/>
    <m/>
  </r>
  <r>
    <x v="258"/>
    <x v="1"/>
    <x v="1"/>
    <x v="0"/>
    <s v="anglais"/>
    <x v="2"/>
    <n v="3"/>
    <n v="0"/>
    <n v="0"/>
    <n v="0"/>
    <n v="0"/>
    <n v="0"/>
    <n v="0"/>
    <n v="1"/>
    <n v="0"/>
    <n v="0"/>
    <n v="0"/>
    <n v="0"/>
    <m/>
  </r>
  <r>
    <x v="259"/>
    <x v="1"/>
    <x v="1"/>
    <x v="0"/>
    <s v="anglais"/>
    <x v="2"/>
    <n v="3"/>
    <n v="0"/>
    <n v="0"/>
    <n v="0"/>
    <n v="0"/>
    <n v="0"/>
    <n v="0"/>
    <n v="1"/>
    <n v="0"/>
    <n v="0"/>
    <n v="0"/>
    <n v="0"/>
    <m/>
  </r>
  <r>
    <x v="260"/>
    <x v="2"/>
    <x v="1"/>
    <x v="0"/>
    <s v="français"/>
    <x v="2"/>
    <n v="3"/>
    <n v="0"/>
    <n v="0"/>
    <n v="0"/>
    <n v="0"/>
    <n v="0"/>
    <n v="0"/>
    <n v="0"/>
    <n v="0"/>
    <n v="1"/>
    <n v="0"/>
    <n v="0"/>
    <m/>
  </r>
  <r>
    <x v="261"/>
    <x v="2"/>
    <x v="1"/>
    <x v="0"/>
    <s v="français"/>
    <x v="2"/>
    <n v="3"/>
    <n v="1"/>
    <n v="0"/>
    <n v="0"/>
    <n v="0"/>
    <n v="0"/>
    <n v="0"/>
    <n v="0"/>
    <n v="0"/>
    <n v="0"/>
    <n v="0"/>
    <n v="0"/>
    <m/>
  </r>
  <r>
    <x v="262"/>
    <x v="5"/>
    <x v="2"/>
    <x v="0"/>
    <s v="français"/>
    <x v="0"/>
    <n v="10.5"/>
    <n v="0"/>
    <n v="0"/>
    <n v="0"/>
    <n v="0"/>
    <n v="1"/>
    <n v="0"/>
    <n v="1"/>
    <n v="0"/>
    <n v="1"/>
    <n v="0"/>
    <n v="0"/>
    <m/>
  </r>
  <r>
    <x v="263"/>
    <x v="0"/>
    <x v="2"/>
    <x v="0"/>
    <s v="français"/>
    <x v="0"/>
    <n v="10.5"/>
    <n v="1"/>
    <n v="0"/>
    <n v="1"/>
    <n v="0"/>
    <n v="0"/>
    <n v="0"/>
    <n v="0"/>
    <n v="0"/>
    <n v="0"/>
    <n v="0"/>
    <n v="0"/>
    <m/>
  </r>
  <r>
    <x v="264"/>
    <x v="0"/>
    <x v="2"/>
    <x v="0"/>
    <s v="français"/>
    <x v="2"/>
    <n v="3"/>
    <n v="0"/>
    <n v="0"/>
    <n v="0"/>
    <n v="0"/>
    <n v="0"/>
    <n v="1"/>
    <n v="0"/>
    <n v="0"/>
    <n v="0"/>
    <n v="0"/>
    <n v="0"/>
    <m/>
  </r>
  <r>
    <x v="265"/>
    <x v="3"/>
    <x v="2"/>
    <x v="0"/>
    <s v="français"/>
    <x v="2"/>
    <n v="3"/>
    <n v="0"/>
    <n v="0"/>
    <n v="0"/>
    <n v="0"/>
    <n v="0"/>
    <n v="0"/>
    <n v="0"/>
    <n v="0"/>
    <n v="0"/>
    <n v="0"/>
    <n v="1"/>
    <s v="Renseignements sur les Jeudis midi"/>
  </r>
  <r>
    <x v="266"/>
    <x v="3"/>
    <x v="2"/>
    <x v="0"/>
    <s v="français"/>
    <x v="0"/>
    <n v="10.5"/>
    <n v="0"/>
    <n v="0"/>
    <n v="0"/>
    <n v="0"/>
    <n v="1"/>
    <n v="0"/>
    <n v="0"/>
    <n v="0"/>
    <n v="0"/>
    <n v="0"/>
    <n v="0"/>
    <s v="Modifier une inscription 92 en compte normal"/>
  </r>
  <r>
    <x v="267"/>
    <x v="3"/>
    <x v="2"/>
    <x v="0"/>
    <s v="français"/>
    <x v="2"/>
    <n v="3"/>
    <n v="1"/>
    <n v="0"/>
    <n v="0"/>
    <n v="0"/>
    <n v="0"/>
    <n v="0"/>
    <n v="0"/>
    <n v="0"/>
    <n v="0"/>
    <n v="0"/>
    <n v="0"/>
    <s v="Revue internationale de l'enfant / Union internationale de secours aux enfants , année 1926 = cote E 1880"/>
  </r>
  <r>
    <x v="268"/>
    <x v="1"/>
    <x v="2"/>
    <x v="0"/>
    <s v="français"/>
    <x v="0"/>
    <n v="10.5"/>
    <n v="1"/>
    <n v="0"/>
    <n v="1"/>
    <n v="0"/>
    <n v="0"/>
    <n v="0"/>
    <n v="0"/>
    <n v="0"/>
    <n v="0"/>
    <n v="0"/>
    <n v="0"/>
    <m/>
  </r>
  <r>
    <x v="269"/>
    <x v="1"/>
    <x v="2"/>
    <x v="0"/>
    <s v="français"/>
    <x v="0"/>
    <n v="10.5"/>
    <n v="0"/>
    <n v="0"/>
    <n v="0"/>
    <n v="0"/>
    <n v="0"/>
    <n v="0"/>
    <n v="0"/>
    <n v="1"/>
    <n v="0"/>
    <n v="0"/>
    <n v="0"/>
    <m/>
  </r>
  <r>
    <x v="270"/>
    <x v="1"/>
    <x v="2"/>
    <x v="0"/>
    <s v="français"/>
    <x v="1"/>
    <n v="0.5"/>
    <n v="0"/>
    <n v="0"/>
    <n v="0"/>
    <n v="0"/>
    <n v="0"/>
    <n v="0"/>
    <n v="0"/>
    <n v="0"/>
    <n v="0"/>
    <n v="0"/>
    <n v="1"/>
    <s v="agrapheuse"/>
  </r>
  <r>
    <x v="271"/>
    <x v="1"/>
    <x v="2"/>
    <x v="0"/>
    <s v="français"/>
    <x v="2"/>
    <n v="3"/>
    <n v="0"/>
    <n v="0"/>
    <n v="0"/>
    <n v="0"/>
    <n v="0"/>
    <n v="0"/>
    <n v="0"/>
    <n v="0"/>
    <n v="0"/>
    <n v="0"/>
    <n v="1"/>
    <s v="Accompagner avec l'ascenseur"/>
  </r>
  <r>
    <x v="272"/>
    <x v="2"/>
    <x v="2"/>
    <x v="0"/>
    <s v="français"/>
    <x v="0"/>
    <n v="10.5"/>
    <n v="0"/>
    <n v="0"/>
    <n v="0"/>
    <n v="0"/>
    <n v="1"/>
    <n v="0"/>
    <n v="0"/>
    <n v="0"/>
    <n v="0"/>
    <n v="0"/>
    <n v="0"/>
    <m/>
  </r>
  <r>
    <x v="273"/>
    <x v="2"/>
    <x v="2"/>
    <x v="0"/>
    <s v="français"/>
    <x v="1"/>
    <n v="0.5"/>
    <n v="0"/>
    <n v="0"/>
    <n v="0"/>
    <n v="0"/>
    <n v="0"/>
    <n v="0"/>
    <n v="0"/>
    <n v="0"/>
    <n v="0"/>
    <n v="1"/>
    <n v="0"/>
    <m/>
  </r>
  <r>
    <x v="274"/>
    <x v="2"/>
    <x v="2"/>
    <x v="0"/>
    <s v="français"/>
    <x v="0"/>
    <n v="10.5"/>
    <n v="0"/>
    <n v="1"/>
    <n v="1"/>
    <n v="0"/>
    <n v="1"/>
    <n v="0"/>
    <n v="0"/>
    <n v="0"/>
    <n v="0"/>
    <n v="0"/>
    <n v="0"/>
    <m/>
  </r>
  <r>
    <x v="275"/>
    <x v="5"/>
    <x v="3"/>
    <x v="0"/>
    <s v="français"/>
    <x v="0"/>
    <n v="10.5"/>
    <n v="1"/>
    <n v="0"/>
    <n v="0"/>
    <n v="1"/>
    <n v="0"/>
    <n v="0"/>
    <n v="0"/>
    <n v="0"/>
    <n v="0"/>
    <n v="0"/>
    <n v="0"/>
    <s v="Recherche d'un artice numérisé de la Tribune, 1884"/>
  </r>
  <r>
    <x v="276"/>
    <x v="5"/>
    <x v="3"/>
    <x v="0"/>
    <s v="français"/>
    <x v="0"/>
    <n v="10.5"/>
    <n v="0"/>
    <n v="1"/>
    <n v="0"/>
    <n v="1"/>
    <n v="0"/>
    <n v="0"/>
    <n v="1"/>
    <n v="0"/>
    <n v="0"/>
    <n v="0"/>
    <n v="0"/>
    <s v="Recherche d'articles dans la Tribune années 1890-1910"/>
  </r>
  <r>
    <x v="277"/>
    <x v="0"/>
    <x v="3"/>
    <x v="0"/>
    <s v="français"/>
    <x v="2"/>
    <n v="3"/>
    <n v="1"/>
    <n v="0"/>
    <n v="1"/>
    <n v="0"/>
    <n v="0"/>
    <n v="0"/>
    <n v="0"/>
    <n v="0"/>
    <n v="0"/>
    <n v="0"/>
    <n v="0"/>
    <m/>
  </r>
  <r>
    <x v="278"/>
    <x v="7"/>
    <x v="3"/>
    <x v="0"/>
    <s v="français"/>
    <x v="0"/>
    <n v="10.5"/>
    <n v="0"/>
    <n v="0"/>
    <n v="0"/>
    <n v="0"/>
    <n v="0"/>
    <n v="0"/>
    <n v="0"/>
    <n v="0"/>
    <n v="0"/>
    <n v="0"/>
    <n v="1"/>
    <s v="Avoir accès aux ressources numériques de l'unige en étant de l'unine"/>
  </r>
  <r>
    <x v="279"/>
    <x v="3"/>
    <x v="3"/>
    <x v="0"/>
    <s v="français"/>
    <x v="0"/>
    <n v="10.5"/>
    <n v="0"/>
    <n v="1"/>
    <n v="1"/>
    <n v="1"/>
    <n v="0"/>
    <n v="0"/>
    <n v="1"/>
    <n v="0"/>
    <n v="1"/>
    <n v="0"/>
    <n v="0"/>
    <s v="Consulter le registre foncier récent"/>
  </r>
  <r>
    <x v="280"/>
    <x v="3"/>
    <x v="3"/>
    <x v="0"/>
    <s v="français"/>
    <x v="2"/>
    <n v="3"/>
    <n v="1"/>
    <n v="0"/>
    <n v="1"/>
    <n v="0"/>
    <n v="0"/>
    <n v="0"/>
    <n v="0"/>
    <n v="0"/>
    <n v="0"/>
    <n v="0"/>
    <n v="0"/>
    <s v="Robespierre et la république sociale / Albert Mathiez "/>
  </r>
  <r>
    <x v="281"/>
    <x v="4"/>
    <x v="3"/>
    <x v="1"/>
    <s v="français"/>
    <x v="0"/>
    <n v="10.5"/>
    <n v="0"/>
    <n v="0"/>
    <n v="0"/>
    <n v="0"/>
    <n v="0"/>
    <n v="0"/>
    <n v="0"/>
    <n v="0"/>
    <n v="0"/>
    <n v="0"/>
    <n v="1"/>
    <s v="Orientation vers les bibliothèques HES Santé et Social"/>
  </r>
  <r>
    <x v="282"/>
    <x v="4"/>
    <x v="3"/>
    <x v="0"/>
    <s v="français"/>
    <x v="2"/>
    <n v="3"/>
    <n v="0"/>
    <n v="0"/>
    <n v="0"/>
    <n v="0"/>
    <n v="0"/>
    <n v="0"/>
    <n v="1"/>
    <n v="0"/>
    <n v="0"/>
    <n v="0"/>
    <n v="0"/>
    <m/>
  </r>
  <r>
    <x v="283"/>
    <x v="1"/>
    <x v="3"/>
    <x v="0"/>
    <s v="français"/>
    <x v="3"/>
    <n v="20"/>
    <n v="0"/>
    <n v="0"/>
    <n v="0"/>
    <n v="0"/>
    <n v="1"/>
    <n v="0"/>
    <n v="0"/>
    <n v="0"/>
    <n v="0"/>
    <n v="0"/>
    <n v="0"/>
    <s v="Mineure. Ai tout fait, la lectrice repasse avec le formulaire signé"/>
  </r>
  <r>
    <x v="284"/>
    <x v="1"/>
    <x v="3"/>
    <x v="0"/>
    <s v="français"/>
    <x v="0"/>
    <n v="10.5"/>
    <n v="0"/>
    <n v="0"/>
    <n v="0"/>
    <n v="0"/>
    <n v="1"/>
    <n v="0"/>
    <n v="0"/>
    <n v="0"/>
    <n v="0"/>
    <n v="0"/>
    <n v="0"/>
    <s v="Mineure. Ai tout fait, la lectrice repasse avec le formulaire signé"/>
  </r>
  <r>
    <x v="285"/>
    <x v="2"/>
    <x v="3"/>
    <x v="0"/>
    <s v="français"/>
    <x v="0"/>
    <n v="10.5"/>
    <n v="0"/>
    <n v="0"/>
    <n v="0"/>
    <n v="0"/>
    <n v="1"/>
    <n v="0"/>
    <n v="0"/>
    <n v="0"/>
    <n v="0"/>
    <n v="0"/>
    <n v="0"/>
    <m/>
  </r>
  <r>
    <x v="286"/>
    <x v="2"/>
    <x v="3"/>
    <x v="0"/>
    <s v="français"/>
    <x v="0"/>
    <n v="10.5"/>
    <n v="0"/>
    <n v="0"/>
    <n v="0"/>
    <n v="0"/>
    <n v="1"/>
    <n v="0"/>
    <n v="0"/>
    <n v="0"/>
    <n v="0"/>
    <n v="0"/>
    <n v="0"/>
    <m/>
  </r>
  <r>
    <x v="287"/>
    <x v="5"/>
    <x v="4"/>
    <x v="0"/>
    <s v="français"/>
    <x v="0"/>
    <n v="10.5"/>
    <n v="1"/>
    <n v="0"/>
    <n v="1"/>
    <n v="0"/>
    <n v="0"/>
    <n v="0"/>
    <n v="0"/>
    <n v="0"/>
    <n v="0"/>
    <n v="0"/>
    <n v="0"/>
    <m/>
  </r>
  <r>
    <x v="288"/>
    <x v="5"/>
    <x v="4"/>
    <x v="0"/>
    <s v="français"/>
    <x v="1"/>
    <n v="0.5"/>
    <n v="0"/>
    <n v="0"/>
    <n v="0"/>
    <n v="0"/>
    <n v="0"/>
    <n v="0"/>
    <n v="1"/>
    <n v="0"/>
    <n v="0"/>
    <n v="0"/>
    <n v="0"/>
    <m/>
  </r>
  <r>
    <x v="289"/>
    <x v="0"/>
    <x v="4"/>
    <x v="1"/>
    <s v="français"/>
    <x v="0"/>
    <n v="10.5"/>
    <n v="0"/>
    <n v="1"/>
    <n v="1"/>
    <n v="0"/>
    <n v="0"/>
    <n v="0"/>
    <n v="0"/>
    <n v="0"/>
    <n v="0"/>
    <n v="0"/>
    <n v="0"/>
    <s v="Documentation sur l'Hôtel de Ville"/>
  </r>
  <r>
    <x v="290"/>
    <x v="0"/>
    <x v="4"/>
    <x v="0"/>
    <s v="français"/>
    <x v="1"/>
    <n v="0.5"/>
    <n v="0"/>
    <n v="0"/>
    <n v="0"/>
    <n v="0"/>
    <n v="0"/>
    <n v="0"/>
    <n v="0"/>
    <n v="0"/>
    <n v="1"/>
    <n v="0"/>
    <n v="0"/>
    <m/>
  </r>
  <r>
    <x v="291"/>
    <x v="0"/>
    <x v="4"/>
    <x v="0"/>
    <s v="français"/>
    <x v="1"/>
    <n v="0.5"/>
    <n v="0"/>
    <n v="0"/>
    <n v="0"/>
    <n v="0"/>
    <n v="0"/>
    <n v="0"/>
    <n v="0"/>
    <n v="0"/>
    <n v="0"/>
    <n v="0"/>
    <n v="1"/>
    <s v="Déroulage d'un store"/>
  </r>
  <r>
    <x v="292"/>
    <x v="0"/>
    <x v="4"/>
    <x v="0"/>
    <s v="français"/>
    <x v="2"/>
    <n v="3"/>
    <n v="0"/>
    <n v="1"/>
    <n v="1"/>
    <n v="0"/>
    <n v="0"/>
    <n v="0"/>
    <n v="0"/>
    <n v="0"/>
    <n v="0"/>
    <n v="0"/>
    <n v="0"/>
    <s v="Crime, faits divers à Genève dans les années 80-90"/>
  </r>
  <r>
    <x v="293"/>
    <x v="7"/>
    <x v="4"/>
    <x v="0"/>
    <s v="français"/>
    <x v="3"/>
    <n v="20"/>
    <n v="1"/>
    <n v="0"/>
    <n v="0"/>
    <n v="0"/>
    <n v="1"/>
    <n v="0"/>
    <n v="0"/>
    <n v="0"/>
    <n v="0"/>
    <n v="0"/>
    <n v="0"/>
    <s v="Compte 92, ouvrages sur l'Hôtel de Ville"/>
  </r>
  <r>
    <x v="294"/>
    <x v="7"/>
    <x v="4"/>
    <x v="0"/>
    <s v="français"/>
    <x v="1"/>
    <n v="0.5"/>
    <n v="0"/>
    <n v="0"/>
    <n v="0"/>
    <n v="0"/>
    <n v="0"/>
    <n v="0"/>
    <n v="0"/>
    <n v="1"/>
    <n v="0"/>
    <n v="0"/>
    <n v="0"/>
    <s v="Adaptateur"/>
  </r>
  <r>
    <x v="295"/>
    <x v="7"/>
    <x v="4"/>
    <x v="0"/>
    <s v="français"/>
    <x v="2"/>
    <n v="3"/>
    <n v="0"/>
    <n v="0"/>
    <n v="0"/>
    <n v="0"/>
    <n v="1"/>
    <n v="0"/>
    <n v="0"/>
    <n v="0"/>
    <n v="0"/>
    <n v="0"/>
    <n v="0"/>
    <s v="Finalisation de l'inscription d'hier pour une personne mineure; voulait se créer un compte MondoPC mais comme mineure je l'ai redirigée vers les BM"/>
  </r>
  <r>
    <x v="296"/>
    <x v="5"/>
    <x v="5"/>
    <x v="0"/>
    <s v="français"/>
    <x v="2"/>
    <n v="3"/>
    <n v="0"/>
    <n v="0"/>
    <n v="0"/>
    <n v="0"/>
    <n v="0"/>
    <n v="0"/>
    <n v="0"/>
    <n v="0"/>
    <n v="1"/>
    <n v="0"/>
    <n v="0"/>
    <m/>
  </r>
  <r>
    <x v="297"/>
    <x v="5"/>
    <x v="5"/>
    <x v="1"/>
    <s v="français"/>
    <x v="2"/>
    <n v="3"/>
    <n v="0"/>
    <n v="0"/>
    <n v="0"/>
    <n v="0"/>
    <n v="0"/>
    <n v="0"/>
    <n v="0"/>
    <n v="0"/>
    <n v="0"/>
    <n v="1"/>
    <n v="0"/>
    <m/>
  </r>
  <r>
    <x v="298"/>
    <x v="5"/>
    <x v="5"/>
    <x v="1"/>
    <s v="français"/>
    <x v="0"/>
    <n v="10.5"/>
    <n v="0"/>
    <n v="0"/>
    <n v="0"/>
    <n v="0"/>
    <n v="0"/>
    <n v="0"/>
    <n v="0"/>
    <n v="0"/>
    <n v="0"/>
    <n v="0"/>
    <n v="1"/>
    <s v="Collègue d'une autre bibliothèque qui a reçu par erreur par navette un matériel d'orchestre et qui voulait savoir ce qu'elle devait en faire car la fiche 7days n'était pas avec les documents "/>
  </r>
  <r>
    <x v="299"/>
    <x v="3"/>
    <x v="5"/>
    <x v="0"/>
    <s v="français"/>
    <x v="2"/>
    <n v="3"/>
    <n v="0"/>
    <n v="0"/>
    <n v="0"/>
    <n v="0"/>
    <n v="0"/>
    <n v="0"/>
    <n v="0"/>
    <n v="1"/>
    <n v="0"/>
    <n v="0"/>
    <n v="0"/>
    <m/>
  </r>
  <r>
    <x v="300"/>
    <x v="3"/>
    <x v="5"/>
    <x v="0"/>
    <s v="français"/>
    <x v="2"/>
    <n v="3"/>
    <n v="0"/>
    <n v="0"/>
    <n v="0"/>
    <n v="0"/>
    <n v="0"/>
    <n v="0"/>
    <n v="0"/>
    <n v="1"/>
    <n v="0"/>
    <n v="0"/>
    <n v="0"/>
    <m/>
  </r>
  <r>
    <x v="301"/>
    <x v="3"/>
    <x v="5"/>
    <x v="0"/>
    <s v="français"/>
    <x v="1"/>
    <n v="0.5"/>
    <n v="0"/>
    <n v="0"/>
    <n v="0"/>
    <n v="0"/>
    <n v="0"/>
    <n v="0"/>
    <n v="0"/>
    <n v="0"/>
    <n v="0"/>
    <n v="1"/>
    <n v="0"/>
    <m/>
  </r>
  <r>
    <x v="302"/>
    <x v="4"/>
    <x v="5"/>
    <x v="0"/>
    <s v="français"/>
    <x v="2"/>
    <n v="3"/>
    <n v="0"/>
    <n v="0"/>
    <n v="0"/>
    <n v="0"/>
    <n v="0"/>
    <n v="0"/>
    <n v="1"/>
    <n v="0"/>
    <n v="0"/>
    <n v="0"/>
    <n v="0"/>
    <m/>
  </r>
  <r>
    <x v="303"/>
    <x v="4"/>
    <x v="5"/>
    <x v="0"/>
    <s v="français"/>
    <x v="1"/>
    <n v="0.5"/>
    <n v="0"/>
    <n v="0"/>
    <n v="0"/>
    <n v="0"/>
    <n v="0"/>
    <n v="0"/>
    <n v="0"/>
    <n v="0"/>
    <n v="0"/>
    <n v="1"/>
    <n v="0"/>
    <m/>
  </r>
  <r>
    <x v="304"/>
    <x v="4"/>
    <x v="5"/>
    <x v="0"/>
    <s v="français"/>
    <x v="2"/>
    <n v="3"/>
    <n v="0"/>
    <n v="0"/>
    <n v="0"/>
    <n v="0"/>
    <n v="0"/>
    <n v="0"/>
    <n v="0"/>
    <n v="0"/>
    <n v="0"/>
    <n v="0"/>
    <n v="1"/>
    <s v="Peut-on jouer au concours de l'exposition Zoé sans scanner le QR code ? =&gt; oui, sur le site de la BGE"/>
  </r>
  <r>
    <x v="305"/>
    <x v="4"/>
    <x v="5"/>
    <x v="0"/>
    <s v="français"/>
    <x v="2"/>
    <n v="3"/>
    <n v="0"/>
    <n v="0"/>
    <n v="0"/>
    <n v="0"/>
    <n v="0"/>
    <n v="0"/>
    <n v="1"/>
    <n v="0"/>
    <n v="0"/>
    <n v="0"/>
    <n v="0"/>
    <m/>
  </r>
  <r>
    <x v="306"/>
    <x v="1"/>
    <x v="5"/>
    <x v="0"/>
    <s v="français"/>
    <x v="3"/>
    <n v="20"/>
    <n v="1"/>
    <n v="0"/>
    <n v="1"/>
    <n v="0"/>
    <n v="1"/>
    <n v="0"/>
    <n v="1"/>
    <n v="0"/>
    <n v="0"/>
    <n v="0"/>
    <n v="0"/>
    <s v="Recherchait des &quot;annales&quot; d'exercices de mathématiques pour la maturité"/>
  </r>
  <r>
    <x v="307"/>
    <x v="1"/>
    <x v="5"/>
    <x v="0"/>
    <s v="français"/>
    <x v="1"/>
    <n v="0.5"/>
    <n v="0"/>
    <n v="0"/>
    <n v="0"/>
    <n v="0"/>
    <n v="0"/>
    <n v="0"/>
    <n v="0"/>
    <n v="1"/>
    <n v="0"/>
    <n v="0"/>
    <n v="0"/>
    <m/>
  </r>
  <r>
    <x v="308"/>
    <x v="1"/>
    <x v="5"/>
    <x v="0"/>
    <s v="français"/>
    <x v="2"/>
    <n v="3"/>
    <n v="0"/>
    <n v="0"/>
    <n v="0"/>
    <n v="0"/>
    <n v="0"/>
    <n v="0"/>
    <n v="0"/>
    <n v="1"/>
    <n v="0"/>
    <n v="0"/>
    <n v="0"/>
    <s v="LibreOffice ne s'ouvrait pas =&gt; résolu en redémarrant l'ordinateur"/>
  </r>
  <r>
    <x v="309"/>
    <x v="1"/>
    <x v="5"/>
    <x v="0"/>
    <s v="français"/>
    <x v="1"/>
    <n v="0.5"/>
    <n v="0"/>
    <n v="0"/>
    <n v="0"/>
    <n v="0"/>
    <n v="0"/>
    <n v="0"/>
    <n v="0"/>
    <n v="0"/>
    <n v="0"/>
    <n v="1"/>
    <n v="0"/>
    <m/>
  </r>
  <r>
    <x v="310"/>
    <x v="2"/>
    <x v="5"/>
    <x v="0"/>
    <s v="français"/>
    <x v="2"/>
    <n v="3"/>
    <n v="1"/>
    <n v="0"/>
    <n v="1"/>
    <n v="0"/>
    <n v="0"/>
    <n v="0"/>
    <n v="0"/>
    <n v="0"/>
    <n v="0"/>
    <n v="0"/>
    <n v="0"/>
    <s v="Montres, horlogerie"/>
  </r>
  <r>
    <x v="311"/>
    <x v="2"/>
    <x v="5"/>
    <x v="0"/>
    <s v="français"/>
    <x v="0"/>
    <n v="10.5"/>
    <n v="0"/>
    <n v="0"/>
    <n v="0"/>
    <n v="0"/>
    <n v="1"/>
    <n v="0"/>
    <n v="0"/>
    <n v="0"/>
    <n v="0"/>
    <n v="0"/>
    <n v="0"/>
    <m/>
  </r>
  <r>
    <x v="312"/>
    <x v="6"/>
    <x v="5"/>
    <x v="0"/>
    <s v="français"/>
    <x v="1"/>
    <n v="0.5"/>
    <n v="0"/>
    <n v="0"/>
    <n v="0"/>
    <n v="0"/>
    <n v="0"/>
    <n v="0"/>
    <n v="0"/>
    <n v="0"/>
    <n v="1"/>
    <n v="0"/>
    <n v="0"/>
    <m/>
  </r>
  <r>
    <x v="313"/>
    <x v="6"/>
    <x v="5"/>
    <x v="0"/>
    <s v="français"/>
    <x v="1"/>
    <n v="0.5"/>
    <n v="0"/>
    <n v="0"/>
    <n v="0"/>
    <n v="0"/>
    <n v="0"/>
    <n v="0"/>
    <n v="0"/>
    <n v="0"/>
    <n v="1"/>
    <n v="0"/>
    <n v="0"/>
    <m/>
  </r>
  <r>
    <x v="314"/>
    <x v="0"/>
    <x v="0"/>
    <x v="0"/>
    <s v="français"/>
    <x v="0"/>
    <n v="10.5"/>
    <n v="0"/>
    <n v="0"/>
    <n v="0"/>
    <n v="0"/>
    <n v="1"/>
    <n v="0"/>
    <n v="0"/>
    <n v="0"/>
    <n v="0"/>
    <n v="0"/>
    <n v="0"/>
    <m/>
  </r>
  <r>
    <x v="315"/>
    <x v="0"/>
    <x v="0"/>
    <x v="0"/>
    <s v="français"/>
    <x v="0"/>
    <n v="10.5"/>
    <n v="0"/>
    <n v="0"/>
    <n v="0"/>
    <n v="0"/>
    <n v="1"/>
    <n v="0"/>
    <n v="0"/>
    <n v="0"/>
    <n v="1"/>
    <n v="1"/>
    <n v="0"/>
    <m/>
  </r>
  <r>
    <x v="316"/>
    <x v="4"/>
    <x v="0"/>
    <x v="0"/>
    <s v="français"/>
    <x v="1"/>
    <n v="0.5"/>
    <n v="0"/>
    <n v="0"/>
    <n v="0"/>
    <n v="0"/>
    <n v="0"/>
    <n v="0"/>
    <n v="0"/>
    <n v="0"/>
    <n v="0"/>
    <n v="0"/>
    <n v="1"/>
    <s v="Robinet pour remplir gourde"/>
  </r>
  <r>
    <x v="317"/>
    <x v="1"/>
    <x v="0"/>
    <x v="0"/>
    <s v="français"/>
    <x v="1"/>
    <n v="0.5"/>
    <n v="0"/>
    <n v="0"/>
    <n v="0"/>
    <n v="0"/>
    <n v="0"/>
    <n v="0"/>
    <n v="0"/>
    <n v="0"/>
    <n v="0"/>
    <n v="0"/>
    <n v="1"/>
    <m/>
  </r>
  <r>
    <x v="318"/>
    <x v="1"/>
    <x v="0"/>
    <x v="0"/>
    <s v="anglais"/>
    <x v="2"/>
    <n v="3"/>
    <n v="0"/>
    <n v="0"/>
    <n v="0"/>
    <n v="0"/>
    <n v="0"/>
    <n v="0"/>
    <n v="1"/>
    <n v="0"/>
    <n v="0"/>
    <n v="0"/>
    <n v="0"/>
    <m/>
  </r>
  <r>
    <x v="319"/>
    <x v="2"/>
    <x v="0"/>
    <x v="0"/>
    <s v="anglais"/>
    <x v="0"/>
    <n v="10.5"/>
    <n v="0"/>
    <n v="0"/>
    <n v="0"/>
    <n v="0"/>
    <n v="0"/>
    <n v="0"/>
    <n v="0"/>
    <n v="0"/>
    <n v="0"/>
    <n v="0"/>
    <n v="1"/>
    <s v="L'imprimante ne propose pas la bonne imprimante"/>
  </r>
  <r>
    <x v="320"/>
    <x v="2"/>
    <x v="0"/>
    <x v="0"/>
    <s v="français"/>
    <x v="1"/>
    <n v="0.5"/>
    <n v="0"/>
    <n v="0"/>
    <n v="0"/>
    <n v="0"/>
    <n v="0"/>
    <n v="0"/>
    <n v="0"/>
    <n v="0"/>
    <n v="0"/>
    <n v="0"/>
    <n v="1"/>
    <s v="Pas de cash pour machine (Est-ce que le paiement par carte sera proposer un jour ?)"/>
  </r>
  <r>
    <x v="321"/>
    <x v="6"/>
    <x v="0"/>
    <x v="0"/>
    <s v="français"/>
    <x v="0"/>
    <n v="10.5"/>
    <n v="0"/>
    <n v="0"/>
    <n v="0"/>
    <n v="0"/>
    <n v="1"/>
    <n v="0"/>
    <n v="0"/>
    <n v="0"/>
    <n v="1"/>
    <n v="0"/>
    <n v="0"/>
    <m/>
  </r>
  <r>
    <x v="322"/>
    <x v="6"/>
    <x v="0"/>
    <x v="0"/>
    <s v="anglais"/>
    <x v="2"/>
    <n v="3"/>
    <n v="0"/>
    <n v="0"/>
    <n v="0"/>
    <n v="0"/>
    <n v="0"/>
    <n v="0"/>
    <n v="0"/>
    <n v="1"/>
    <n v="0"/>
    <n v="0"/>
    <n v="0"/>
    <m/>
  </r>
  <r>
    <x v="323"/>
    <x v="6"/>
    <x v="0"/>
    <x v="0"/>
    <s v="français"/>
    <x v="0"/>
    <n v="10.5"/>
    <n v="0"/>
    <n v="0"/>
    <n v="0"/>
    <n v="0"/>
    <n v="1"/>
    <n v="0"/>
    <n v="0"/>
    <n v="0"/>
    <n v="1"/>
    <n v="0"/>
    <n v="0"/>
    <m/>
  </r>
  <r>
    <x v="324"/>
    <x v="6"/>
    <x v="0"/>
    <x v="0"/>
    <s v="anglais"/>
    <x v="1"/>
    <n v="0.5"/>
    <n v="0"/>
    <n v="0"/>
    <n v="0"/>
    <n v="0"/>
    <n v="0"/>
    <n v="0"/>
    <n v="0"/>
    <n v="0"/>
    <n v="0"/>
    <n v="1"/>
    <n v="0"/>
    <s v="espace café"/>
  </r>
  <r>
    <x v="325"/>
    <x v="8"/>
    <x v="0"/>
    <x v="1"/>
    <s v="français"/>
    <x v="3"/>
    <n v="20"/>
    <n v="1"/>
    <n v="0"/>
    <n v="1"/>
    <n v="0"/>
    <n v="1"/>
    <n v="0"/>
    <n v="0"/>
    <n v="0"/>
    <n v="0"/>
    <n v="0"/>
    <n v="1"/>
    <s v="document accessible en ligne, info sur la BAA, info sur son compte SLSP"/>
  </r>
  <r>
    <x v="326"/>
    <x v="8"/>
    <x v="0"/>
    <x v="0"/>
    <s v="anglais"/>
    <x v="1"/>
    <n v="0.5"/>
    <n v="0"/>
    <n v="0"/>
    <n v="0"/>
    <n v="0"/>
    <n v="0"/>
    <n v="0"/>
    <n v="0"/>
    <n v="1"/>
    <n v="0"/>
    <n v="0"/>
    <n v="0"/>
    <m/>
  </r>
  <r>
    <x v="327"/>
    <x v="5"/>
    <x v="1"/>
    <x v="1"/>
    <s v="français"/>
    <x v="2"/>
    <n v="3"/>
    <n v="0"/>
    <n v="0"/>
    <n v="0"/>
    <n v="0"/>
    <n v="0"/>
    <n v="1"/>
    <n v="0"/>
    <n v="0"/>
    <n v="0"/>
    <n v="0"/>
    <n v="0"/>
    <s v="Collègue du secrétariat général qui souhaitait savoir si des périodiques sont disponibles (il avait eu l'info qu'on a eu une inondation au sous-sol...). Il était mécontent de ne pas avoir plus d'informations sur le temps que cela va nous prendre de régler le problème"/>
  </r>
  <r>
    <x v="328"/>
    <x v="0"/>
    <x v="1"/>
    <x v="0"/>
    <s v="français"/>
    <x v="2"/>
    <n v="3"/>
    <n v="0"/>
    <n v="0"/>
    <n v="0"/>
    <n v="0"/>
    <n v="0"/>
    <n v="0"/>
    <n v="0"/>
    <n v="0"/>
    <n v="0"/>
    <n v="0"/>
    <n v="1"/>
    <s v="Enfant qui a renversé sa tasse de chocolat chaud dans l'espace café"/>
  </r>
  <r>
    <x v="329"/>
    <x v="7"/>
    <x v="1"/>
    <x v="0"/>
    <s v="français"/>
    <x v="0"/>
    <n v="10.5"/>
    <n v="1"/>
    <n v="0"/>
    <n v="1"/>
    <n v="1"/>
    <n v="0"/>
    <n v="1"/>
    <n v="0"/>
    <n v="0"/>
    <n v="1"/>
    <n v="0"/>
    <n v="0"/>
    <s v="Johan Padan à la découverte des Amériques / Dario Fo  +  ouvrages en français de l'écrivain Dag Johan Haugerud"/>
  </r>
  <r>
    <x v="330"/>
    <x v="7"/>
    <x v="1"/>
    <x v="0"/>
    <s v="français"/>
    <x v="2"/>
    <n v="3"/>
    <n v="0"/>
    <n v="0"/>
    <n v="0"/>
    <n v="0"/>
    <n v="0"/>
    <n v="0"/>
    <n v="0"/>
    <n v="0"/>
    <n v="1"/>
    <n v="0"/>
    <n v="0"/>
    <s v="Demande s'il y a moyen de garder un ouvrage plus longtemps alors qu'il a été demandé par quelqu'un d'autre."/>
  </r>
  <r>
    <x v="331"/>
    <x v="1"/>
    <x v="1"/>
    <x v="0"/>
    <s v="français"/>
    <x v="2"/>
    <n v="3"/>
    <n v="0"/>
    <n v="0"/>
    <n v="0"/>
    <n v="0"/>
    <n v="0"/>
    <n v="0"/>
    <n v="1"/>
    <n v="0"/>
    <n v="0"/>
    <n v="0"/>
    <n v="0"/>
    <m/>
  </r>
  <r>
    <x v="332"/>
    <x v="1"/>
    <x v="1"/>
    <x v="0"/>
    <s v="français"/>
    <x v="0"/>
    <n v="10.5"/>
    <n v="0"/>
    <n v="1"/>
    <n v="1"/>
    <n v="0"/>
    <n v="0"/>
    <n v="0"/>
    <n v="0"/>
    <n v="0"/>
    <n v="0"/>
    <n v="0"/>
    <n v="0"/>
    <m/>
  </r>
  <r>
    <x v="333"/>
    <x v="1"/>
    <x v="1"/>
    <x v="0"/>
    <s v="français"/>
    <x v="2"/>
    <n v="3"/>
    <n v="0"/>
    <n v="0"/>
    <n v="0"/>
    <n v="0"/>
    <n v="0"/>
    <n v="0"/>
    <n v="0"/>
    <n v="0"/>
    <n v="0"/>
    <n v="0"/>
    <n v="1"/>
    <s v="Une usagère a demandé s'il était possible de garder en permanence une bibliothèque comme celle faite pour Zoé en changeant de thème régulièrement (thématique particulière, autre maison d'édition, best-of des bibliothécaires, etc.)"/>
  </r>
  <r>
    <x v="334"/>
    <x v="2"/>
    <x v="1"/>
    <x v="0"/>
    <s v="français"/>
    <x v="0"/>
    <n v="10.5"/>
    <n v="0"/>
    <n v="0"/>
    <n v="0"/>
    <n v="0"/>
    <n v="1"/>
    <n v="0"/>
    <n v="0"/>
    <n v="0"/>
    <n v="0"/>
    <n v="0"/>
    <n v="0"/>
    <m/>
  </r>
  <r>
    <x v="335"/>
    <x v="6"/>
    <x v="1"/>
    <x v="0"/>
    <s v="français"/>
    <x v="2"/>
    <n v="3"/>
    <n v="0"/>
    <n v="0"/>
    <n v="0"/>
    <n v="0"/>
    <n v="0"/>
    <n v="0"/>
    <n v="1"/>
    <n v="0"/>
    <n v="0"/>
    <n v="0"/>
    <n v="0"/>
    <m/>
  </r>
  <r>
    <x v="336"/>
    <x v="6"/>
    <x v="1"/>
    <x v="0"/>
    <s v="français"/>
    <x v="3"/>
    <n v="20"/>
    <n v="0"/>
    <n v="0"/>
    <n v="0"/>
    <n v="0"/>
    <n v="1"/>
    <n v="0"/>
    <n v="0"/>
    <n v="0"/>
    <n v="0"/>
    <n v="0"/>
    <n v="0"/>
    <m/>
  </r>
  <r>
    <x v="337"/>
    <x v="6"/>
    <x v="1"/>
    <x v="0"/>
    <s v="français"/>
    <x v="0"/>
    <n v="10.5"/>
    <n v="0"/>
    <n v="0"/>
    <n v="0"/>
    <n v="0"/>
    <n v="1"/>
    <n v="0"/>
    <n v="0"/>
    <n v="0"/>
    <n v="0"/>
    <n v="0"/>
    <n v="0"/>
    <m/>
  </r>
  <r>
    <x v="338"/>
    <x v="6"/>
    <x v="1"/>
    <x v="0"/>
    <s v="français"/>
    <x v="1"/>
    <n v="0.5"/>
    <n v="0"/>
    <n v="0"/>
    <n v="0"/>
    <n v="0"/>
    <n v="0"/>
    <n v="0"/>
    <n v="0"/>
    <n v="0"/>
    <n v="0"/>
    <n v="0"/>
    <n v="1"/>
    <s v="écouteurs"/>
  </r>
  <r>
    <x v="339"/>
    <x v="8"/>
    <x v="1"/>
    <x v="0"/>
    <s v="français"/>
    <x v="0"/>
    <n v="10.5"/>
    <n v="0"/>
    <n v="0"/>
    <n v="0"/>
    <n v="0"/>
    <n v="0"/>
    <n v="0"/>
    <n v="0"/>
    <n v="1"/>
    <n v="0"/>
    <n v="0"/>
    <n v="0"/>
    <m/>
  </r>
  <r>
    <x v="340"/>
    <x v="8"/>
    <x v="1"/>
    <x v="0"/>
    <s v="français"/>
    <x v="0"/>
    <n v="10.5"/>
    <n v="0"/>
    <n v="0"/>
    <n v="0"/>
    <n v="0"/>
    <n v="1"/>
    <n v="0"/>
    <n v="0"/>
    <n v="0"/>
    <n v="0"/>
    <n v="0"/>
    <n v="0"/>
    <m/>
  </r>
  <r>
    <x v="341"/>
    <x v="0"/>
    <x v="2"/>
    <x v="0"/>
    <s v="français"/>
    <x v="1"/>
    <n v="0.5"/>
    <n v="0"/>
    <n v="0"/>
    <n v="0"/>
    <n v="0"/>
    <n v="0"/>
    <n v="0"/>
    <n v="0"/>
    <n v="0"/>
    <n v="0"/>
    <n v="1"/>
    <n v="0"/>
    <s v="prêt"/>
  </r>
  <r>
    <x v="342"/>
    <x v="7"/>
    <x v="2"/>
    <x v="0"/>
    <s v="français"/>
    <x v="2"/>
    <n v="3"/>
    <n v="1"/>
    <n v="0"/>
    <n v="0"/>
    <n v="0"/>
    <n v="0"/>
    <n v="0"/>
    <n v="0"/>
    <n v="0"/>
    <n v="0"/>
    <n v="0"/>
    <n v="0"/>
    <m/>
  </r>
  <r>
    <x v="343"/>
    <x v="7"/>
    <x v="2"/>
    <x v="0"/>
    <s v="autre"/>
    <x v="2"/>
    <n v="3"/>
    <n v="1"/>
    <n v="0"/>
    <n v="1"/>
    <n v="0"/>
    <n v="0"/>
    <n v="0"/>
    <n v="0"/>
    <n v="0"/>
    <n v="0"/>
    <n v="0"/>
    <n v="0"/>
    <s v="Livres en espagnol"/>
  </r>
  <r>
    <x v="344"/>
    <x v="4"/>
    <x v="2"/>
    <x v="0"/>
    <s v="français"/>
    <x v="0"/>
    <n v="10.5"/>
    <n v="0"/>
    <n v="0"/>
    <n v="0"/>
    <n v="0"/>
    <n v="1"/>
    <n v="0"/>
    <n v="0"/>
    <n v="0"/>
    <n v="1"/>
    <n v="0"/>
    <n v="0"/>
    <m/>
  </r>
  <r>
    <x v="345"/>
    <x v="2"/>
    <x v="2"/>
    <x v="0"/>
    <s v="français"/>
    <x v="2"/>
    <n v="3"/>
    <n v="0"/>
    <n v="0"/>
    <n v="0"/>
    <n v="0"/>
    <n v="1"/>
    <n v="0"/>
    <n v="0"/>
    <n v="0"/>
    <n v="0"/>
    <n v="0"/>
    <n v="0"/>
    <s v="Réoritenté vers les BM plus adaptées à son profil de lecteur"/>
  </r>
  <r>
    <x v="346"/>
    <x v="8"/>
    <x v="2"/>
    <x v="0"/>
    <s v="français"/>
    <x v="2"/>
    <n v="3"/>
    <n v="1"/>
    <n v="0"/>
    <n v="1"/>
    <n v="0"/>
    <n v="1"/>
    <n v="0"/>
    <n v="0"/>
    <n v="0"/>
    <n v="0"/>
    <n v="0"/>
    <n v="0"/>
    <m/>
  </r>
  <r>
    <x v="347"/>
    <x v="8"/>
    <x v="2"/>
    <x v="0"/>
    <s v="français"/>
    <x v="3"/>
    <n v="20"/>
    <n v="0"/>
    <n v="0"/>
    <n v="0"/>
    <n v="0"/>
    <n v="1"/>
    <n v="0"/>
    <n v="0"/>
    <n v="0"/>
    <n v="1"/>
    <n v="0"/>
    <n v="0"/>
    <m/>
  </r>
  <r>
    <x v="348"/>
    <x v="8"/>
    <x v="2"/>
    <x v="0"/>
    <s v="anglais"/>
    <x v="2"/>
    <n v="3"/>
    <n v="0"/>
    <n v="0"/>
    <n v="0"/>
    <n v="0"/>
    <n v="0"/>
    <n v="0"/>
    <n v="0"/>
    <n v="0"/>
    <n v="0"/>
    <n v="0"/>
    <n v="1"/>
    <m/>
  </r>
  <r>
    <x v="349"/>
    <x v="5"/>
    <x v="3"/>
    <x v="0"/>
    <s v="français"/>
    <x v="0"/>
    <n v="10.5"/>
    <n v="0"/>
    <n v="0"/>
    <n v="0"/>
    <n v="0"/>
    <n v="0"/>
    <n v="0"/>
    <n v="1"/>
    <n v="0"/>
    <n v="0"/>
    <n v="0"/>
    <n v="0"/>
    <m/>
  </r>
  <r>
    <x v="350"/>
    <x v="0"/>
    <x v="3"/>
    <x v="0"/>
    <s v="français"/>
    <x v="0"/>
    <n v="10.5"/>
    <n v="0"/>
    <n v="0"/>
    <n v="0"/>
    <n v="0"/>
    <n v="0"/>
    <n v="0"/>
    <n v="1"/>
    <n v="0"/>
    <n v="0"/>
    <n v="0"/>
    <n v="0"/>
    <m/>
  </r>
  <r>
    <x v="351"/>
    <x v="0"/>
    <x v="3"/>
    <x v="0"/>
    <s v="français"/>
    <x v="2"/>
    <n v="3"/>
    <n v="0"/>
    <n v="0"/>
    <n v="0"/>
    <n v="0"/>
    <n v="0"/>
    <n v="0"/>
    <n v="0"/>
    <n v="1"/>
    <n v="0"/>
    <n v="0"/>
    <n v="0"/>
    <m/>
  </r>
  <r>
    <x v="352"/>
    <x v="7"/>
    <x v="3"/>
    <x v="0"/>
    <s v="français"/>
    <x v="1"/>
    <n v="0.5"/>
    <n v="0"/>
    <n v="0"/>
    <n v="0"/>
    <n v="0"/>
    <n v="0"/>
    <n v="0"/>
    <n v="0"/>
    <n v="1"/>
    <n v="0"/>
    <n v="0"/>
    <n v="0"/>
    <m/>
  </r>
  <r>
    <x v="353"/>
    <x v="3"/>
    <x v="3"/>
    <x v="0"/>
    <s v="français"/>
    <x v="3"/>
    <n v="20"/>
    <n v="0"/>
    <n v="0"/>
    <n v="0"/>
    <n v="0"/>
    <n v="1"/>
    <n v="0"/>
    <n v="0"/>
    <n v="0"/>
    <n v="0"/>
    <n v="0"/>
    <n v="0"/>
    <m/>
  </r>
  <r>
    <x v="354"/>
    <x v="1"/>
    <x v="3"/>
    <x v="0"/>
    <s v="français"/>
    <x v="1"/>
    <n v="0.5"/>
    <n v="0"/>
    <n v="0"/>
    <n v="0"/>
    <n v="0"/>
    <n v="0"/>
    <n v="0"/>
    <n v="0"/>
    <n v="0"/>
    <n v="0"/>
    <n v="1"/>
    <n v="0"/>
    <m/>
  </r>
  <r>
    <x v="355"/>
    <x v="1"/>
    <x v="3"/>
    <x v="1"/>
    <s v="français"/>
    <x v="0"/>
    <n v="10.5"/>
    <n v="0"/>
    <n v="1"/>
    <n v="0"/>
    <n v="0"/>
    <n v="0"/>
    <n v="0"/>
    <n v="0"/>
    <n v="0"/>
    <n v="0"/>
    <n v="0"/>
    <n v="1"/>
    <s v="Photo d'Ella Maillart dans l'Illustré"/>
  </r>
  <r>
    <x v="356"/>
    <x v="2"/>
    <x v="3"/>
    <x v="0"/>
    <s v="français"/>
    <x v="2"/>
    <n v="3"/>
    <n v="1"/>
    <n v="0"/>
    <n v="1"/>
    <n v="0"/>
    <n v="0"/>
    <n v="0"/>
    <n v="0"/>
    <n v="0"/>
    <n v="0"/>
    <n v="1"/>
    <n v="0"/>
    <m/>
  </r>
  <r>
    <x v="357"/>
    <x v="2"/>
    <x v="3"/>
    <x v="0"/>
    <s v="anglais"/>
    <x v="3"/>
    <n v="20"/>
    <n v="0"/>
    <n v="0"/>
    <n v="0"/>
    <n v="0"/>
    <n v="1"/>
    <n v="0"/>
    <n v="0"/>
    <n v="0"/>
    <n v="0"/>
    <n v="0"/>
    <n v="0"/>
    <m/>
  </r>
  <r>
    <x v="358"/>
    <x v="2"/>
    <x v="3"/>
    <x v="0"/>
    <s v="français"/>
    <x v="2"/>
    <n v="3"/>
    <n v="1"/>
    <n v="0"/>
    <n v="1"/>
    <n v="1"/>
    <n v="0"/>
    <n v="0"/>
    <n v="0"/>
    <n v="0"/>
    <n v="0"/>
    <n v="0"/>
    <n v="0"/>
    <m/>
  </r>
  <r>
    <x v="359"/>
    <x v="2"/>
    <x v="3"/>
    <x v="0"/>
    <s v="français"/>
    <x v="2"/>
    <n v="3"/>
    <n v="0"/>
    <n v="0"/>
    <n v="0"/>
    <n v="0"/>
    <n v="0"/>
    <n v="0"/>
    <n v="0"/>
    <n v="0"/>
    <n v="0"/>
    <n v="0"/>
    <n v="1"/>
    <s v="objet perdu"/>
  </r>
  <r>
    <x v="360"/>
    <x v="2"/>
    <x v="3"/>
    <x v="0"/>
    <s v="français"/>
    <x v="1"/>
    <n v="0.5"/>
    <n v="0"/>
    <n v="0"/>
    <n v="0"/>
    <n v="0"/>
    <n v="0"/>
    <n v="0"/>
    <n v="0"/>
    <n v="0"/>
    <n v="0"/>
    <n v="0"/>
    <n v="1"/>
    <s v="machine café"/>
  </r>
  <r>
    <x v="361"/>
    <x v="2"/>
    <x v="3"/>
    <x v="0"/>
    <s v="français"/>
    <x v="0"/>
    <n v="10.5"/>
    <n v="0"/>
    <n v="0"/>
    <n v="0"/>
    <n v="0"/>
    <n v="1"/>
    <n v="0"/>
    <n v="0"/>
    <n v="0"/>
    <n v="0"/>
    <n v="0"/>
    <n v="0"/>
    <m/>
  </r>
  <r>
    <x v="362"/>
    <x v="6"/>
    <x v="3"/>
    <x v="0"/>
    <s v="français"/>
    <x v="2"/>
    <n v="3"/>
    <n v="0"/>
    <n v="0"/>
    <n v="0"/>
    <n v="0"/>
    <n v="0"/>
    <n v="0"/>
    <n v="1"/>
    <n v="0"/>
    <n v="0"/>
    <n v="0"/>
    <n v="0"/>
    <m/>
  </r>
  <r>
    <x v="363"/>
    <x v="6"/>
    <x v="3"/>
    <x v="0"/>
    <s v="français"/>
    <x v="2"/>
    <n v="3"/>
    <n v="1"/>
    <n v="0"/>
    <n v="1"/>
    <n v="1"/>
    <n v="0"/>
    <n v="0"/>
    <n v="0"/>
    <n v="0"/>
    <n v="0"/>
    <n v="0"/>
    <n v="0"/>
    <m/>
  </r>
  <r>
    <x v="364"/>
    <x v="8"/>
    <x v="3"/>
    <x v="0"/>
    <s v="français"/>
    <x v="2"/>
    <n v="3"/>
    <n v="0"/>
    <n v="0"/>
    <n v="0"/>
    <n v="0"/>
    <n v="0"/>
    <n v="0"/>
    <n v="0"/>
    <n v="0"/>
    <n v="0"/>
    <n v="1"/>
    <n v="0"/>
    <s v="problème de livre non rendu"/>
  </r>
  <r>
    <x v="365"/>
    <x v="8"/>
    <x v="3"/>
    <x v="0"/>
    <s v="français"/>
    <x v="1"/>
    <n v="0.5"/>
    <n v="0"/>
    <n v="0"/>
    <n v="0"/>
    <n v="0"/>
    <n v="0"/>
    <n v="0"/>
    <n v="0"/>
    <n v="0"/>
    <n v="0"/>
    <n v="1"/>
    <n v="0"/>
    <s v="service du pret"/>
  </r>
  <r>
    <x v="366"/>
    <x v="8"/>
    <x v="3"/>
    <x v="0"/>
    <s v="français"/>
    <x v="0"/>
    <n v="10.5"/>
    <n v="0"/>
    <n v="0"/>
    <n v="0"/>
    <n v="0"/>
    <n v="0"/>
    <n v="0"/>
    <n v="0"/>
    <n v="0"/>
    <n v="0"/>
    <n v="0"/>
    <n v="1"/>
    <m/>
  </r>
  <r>
    <x v="367"/>
    <x v="0"/>
    <x v="4"/>
    <x v="0"/>
    <s v="français"/>
    <x v="0"/>
    <n v="10.5"/>
    <n v="0"/>
    <n v="0"/>
    <n v="0"/>
    <n v="0"/>
    <n v="0"/>
    <n v="0"/>
    <n v="0"/>
    <n v="0"/>
    <n v="1"/>
    <n v="1"/>
    <n v="0"/>
    <s v="La Musicale"/>
  </r>
  <r>
    <x v="368"/>
    <x v="7"/>
    <x v="4"/>
    <x v="0"/>
    <s v="français"/>
    <x v="1"/>
    <n v="0.5"/>
    <n v="0"/>
    <n v="0"/>
    <n v="0"/>
    <n v="0"/>
    <n v="0"/>
    <n v="0"/>
    <n v="0"/>
    <n v="0"/>
    <n v="1"/>
    <n v="0"/>
    <n v="0"/>
    <s v="fermeture salles, horaires"/>
  </r>
  <r>
    <x v="369"/>
    <x v="0"/>
    <x v="5"/>
    <x v="0"/>
    <s v="français"/>
    <x v="2"/>
    <n v="3"/>
    <n v="0"/>
    <n v="0"/>
    <n v="0"/>
    <n v="0"/>
    <n v="0"/>
    <n v="0"/>
    <n v="0"/>
    <n v="1"/>
    <n v="0"/>
    <n v="0"/>
    <n v="0"/>
    <m/>
  </r>
  <r>
    <x v="370"/>
    <x v="7"/>
    <x v="5"/>
    <x v="0"/>
    <s v="français"/>
    <x v="0"/>
    <n v="10.5"/>
    <n v="1"/>
    <n v="0"/>
    <n v="1"/>
    <n v="0"/>
    <n v="0"/>
    <n v="0"/>
    <n v="0"/>
    <n v="0"/>
    <n v="0"/>
    <n v="0"/>
    <n v="0"/>
    <m/>
  </r>
  <r>
    <x v="371"/>
    <x v="7"/>
    <x v="5"/>
    <x v="1"/>
    <s v="français"/>
    <x v="0"/>
    <n v="10.5"/>
    <n v="0"/>
    <n v="0"/>
    <n v="1"/>
    <n v="0"/>
    <n v="0"/>
    <n v="0"/>
    <n v="0"/>
    <n v="0"/>
    <n v="0"/>
    <n v="0"/>
    <n v="1"/>
    <s v="Accès ressources en ligne"/>
  </r>
  <r>
    <x v="372"/>
    <x v="3"/>
    <x v="5"/>
    <x v="0"/>
    <s v="français"/>
    <x v="0"/>
    <n v="10.5"/>
    <n v="0"/>
    <n v="0"/>
    <n v="0"/>
    <n v="0"/>
    <n v="1"/>
    <n v="0"/>
    <n v="0"/>
    <n v="0"/>
    <n v="1"/>
    <n v="0"/>
    <n v="0"/>
    <m/>
  </r>
  <r>
    <x v="373"/>
    <x v="3"/>
    <x v="5"/>
    <x v="0"/>
    <s v="français"/>
    <x v="1"/>
    <n v="0.5"/>
    <n v="0"/>
    <n v="0"/>
    <n v="0"/>
    <n v="0"/>
    <n v="0"/>
    <n v="0"/>
    <n v="0"/>
    <n v="0"/>
    <n v="0"/>
    <n v="1"/>
    <n v="0"/>
    <m/>
  </r>
  <r>
    <x v="374"/>
    <x v="3"/>
    <x v="5"/>
    <x v="0"/>
    <s v="français"/>
    <x v="1"/>
    <n v="0.5"/>
    <n v="0"/>
    <n v="0"/>
    <n v="0"/>
    <n v="0"/>
    <n v="0"/>
    <n v="0"/>
    <n v="0"/>
    <n v="1"/>
    <n v="0"/>
    <n v="0"/>
    <n v="0"/>
    <m/>
  </r>
  <r>
    <x v="375"/>
    <x v="3"/>
    <x v="5"/>
    <x v="0"/>
    <s v="français"/>
    <x v="1"/>
    <n v="0.5"/>
    <n v="0"/>
    <n v="0"/>
    <n v="0"/>
    <n v="0"/>
    <n v="0"/>
    <n v="0"/>
    <n v="0"/>
    <n v="0"/>
    <n v="0"/>
    <n v="1"/>
    <n v="0"/>
    <m/>
  </r>
  <r>
    <x v="376"/>
    <x v="3"/>
    <x v="5"/>
    <x v="0"/>
    <s v="français"/>
    <x v="1"/>
    <n v="0.5"/>
    <n v="0"/>
    <n v="0"/>
    <n v="0"/>
    <n v="0"/>
    <n v="0"/>
    <n v="0"/>
    <n v="0"/>
    <n v="1"/>
    <n v="0"/>
    <n v="0"/>
    <n v="0"/>
    <m/>
  </r>
  <r>
    <x v="377"/>
    <x v="3"/>
    <x v="5"/>
    <x v="0"/>
    <s v="français"/>
    <x v="0"/>
    <n v="10.5"/>
    <n v="0"/>
    <n v="0"/>
    <n v="0"/>
    <n v="0"/>
    <n v="0"/>
    <n v="0"/>
    <n v="0"/>
    <n v="0"/>
    <n v="0"/>
    <n v="0"/>
    <n v="1"/>
    <s v="Voyage en ascenseur"/>
  </r>
  <r>
    <x v="378"/>
    <x v="3"/>
    <x v="5"/>
    <x v="0"/>
    <s v="français"/>
    <x v="1"/>
    <n v="0.5"/>
    <n v="0"/>
    <n v="0"/>
    <n v="0"/>
    <n v="0"/>
    <n v="0"/>
    <n v="0"/>
    <n v="0"/>
    <n v="1"/>
    <n v="0"/>
    <n v="0"/>
    <n v="0"/>
    <m/>
  </r>
  <r>
    <x v="379"/>
    <x v="3"/>
    <x v="5"/>
    <x v="0"/>
    <s v="français"/>
    <x v="0"/>
    <n v="10.5"/>
    <n v="0"/>
    <n v="0"/>
    <n v="0"/>
    <n v="0"/>
    <n v="1"/>
    <n v="0"/>
    <n v="0"/>
    <n v="0"/>
    <n v="0"/>
    <n v="0"/>
    <n v="0"/>
    <m/>
  </r>
  <r>
    <x v="380"/>
    <x v="4"/>
    <x v="5"/>
    <x v="0"/>
    <s v="français"/>
    <x v="2"/>
    <n v="3"/>
    <n v="1"/>
    <n v="0"/>
    <n v="1"/>
    <n v="0"/>
    <n v="0"/>
    <n v="0"/>
    <n v="0"/>
    <n v="0"/>
    <n v="0"/>
    <n v="1"/>
    <n v="0"/>
    <m/>
  </r>
  <r>
    <x v="381"/>
    <x v="4"/>
    <x v="5"/>
    <x v="0"/>
    <s v="français"/>
    <x v="2"/>
    <n v="3"/>
    <n v="0"/>
    <n v="0"/>
    <n v="0"/>
    <n v="0"/>
    <n v="0"/>
    <n v="0"/>
    <n v="1"/>
    <n v="0"/>
    <n v="0"/>
    <n v="0"/>
    <n v="0"/>
    <m/>
  </r>
  <r>
    <x v="382"/>
    <x v="1"/>
    <x v="5"/>
    <x v="1"/>
    <s v="français"/>
    <x v="0"/>
    <n v="10.5"/>
    <n v="0"/>
    <n v="0"/>
    <n v="0"/>
    <n v="0"/>
    <n v="0"/>
    <n v="0"/>
    <n v="0"/>
    <n v="0"/>
    <n v="0"/>
    <n v="0"/>
    <n v="1"/>
    <s v="Photo Anne Marie Schwarzenbach / Ella Maillart"/>
  </r>
  <r>
    <x v="383"/>
    <x v="1"/>
    <x v="5"/>
    <x v="1"/>
    <s v="français"/>
    <x v="0"/>
    <n v="10.5"/>
    <n v="0"/>
    <n v="0"/>
    <n v="0"/>
    <n v="0"/>
    <n v="0"/>
    <n v="0"/>
    <n v="0"/>
    <n v="0"/>
    <n v="0"/>
    <n v="0"/>
    <n v="0"/>
    <s v="Consulter des anciens numéros de la Suisse ; où trouver des actes de décès quand on connait le nom mais pas la date ? =&gt; Archives d'Etat"/>
  </r>
  <r>
    <x v="384"/>
    <x v="1"/>
    <x v="5"/>
    <x v="0"/>
    <s v="français"/>
    <x v="1"/>
    <n v="0.5"/>
    <n v="0"/>
    <n v="0"/>
    <n v="0"/>
    <n v="0"/>
    <n v="0"/>
    <n v="0"/>
    <n v="0"/>
    <n v="0"/>
    <n v="0"/>
    <n v="1"/>
    <n v="0"/>
    <s v="Expo Zoé"/>
  </r>
  <r>
    <x v="385"/>
    <x v="2"/>
    <x v="5"/>
    <x v="0"/>
    <s v="français"/>
    <x v="1"/>
    <n v="0.5"/>
    <n v="0"/>
    <n v="0"/>
    <n v="0"/>
    <n v="0"/>
    <n v="0"/>
    <n v="0"/>
    <n v="0"/>
    <n v="0"/>
    <n v="0"/>
    <n v="1"/>
    <n v="0"/>
    <s v="Salle Saussure"/>
  </r>
  <r>
    <x v="386"/>
    <x v="2"/>
    <x v="5"/>
    <x v="0"/>
    <s v="français"/>
    <x v="2"/>
    <n v="3"/>
    <n v="0"/>
    <n v="0"/>
    <n v="0"/>
    <n v="0"/>
    <n v="0"/>
    <n v="0"/>
    <n v="1"/>
    <n v="0"/>
    <n v="0"/>
    <n v="0"/>
    <n v="0"/>
    <m/>
  </r>
  <r>
    <x v="387"/>
    <x v="2"/>
    <x v="5"/>
    <x v="0"/>
    <s v="français"/>
    <x v="2"/>
    <n v="3"/>
    <n v="0"/>
    <n v="1"/>
    <n v="0"/>
    <n v="0"/>
    <n v="0"/>
    <n v="0"/>
    <n v="0"/>
    <n v="0"/>
    <n v="0"/>
    <n v="0"/>
    <n v="0"/>
    <s v="Druzes ou Kamal Joumblatt"/>
  </r>
  <r>
    <x v="388"/>
    <x v="2"/>
    <x v="5"/>
    <x v="0"/>
    <s v="français"/>
    <x v="1"/>
    <n v="0.5"/>
    <n v="1"/>
    <n v="0"/>
    <n v="1"/>
    <n v="0"/>
    <n v="0"/>
    <n v="0"/>
    <n v="0"/>
    <n v="0"/>
    <n v="0"/>
    <n v="0"/>
    <n v="0"/>
    <m/>
  </r>
  <r>
    <x v="389"/>
    <x v="2"/>
    <x v="5"/>
    <x v="0"/>
    <s v="français"/>
    <x v="2"/>
    <n v="3"/>
    <n v="0"/>
    <n v="0"/>
    <n v="0"/>
    <n v="0"/>
    <n v="0"/>
    <n v="0"/>
    <n v="0"/>
    <n v="1"/>
    <n v="0"/>
    <n v="0"/>
    <n v="0"/>
    <s v="Comment imprimer"/>
  </r>
  <r>
    <x v="390"/>
    <x v="2"/>
    <x v="5"/>
    <x v="0"/>
    <s v="français"/>
    <x v="2"/>
    <n v="3"/>
    <n v="0"/>
    <n v="1"/>
    <n v="0"/>
    <n v="0"/>
    <n v="0"/>
    <n v="0"/>
    <n v="0"/>
    <n v="0"/>
    <n v="0"/>
    <n v="0"/>
    <n v="0"/>
    <s v="Figaro du 14 août"/>
  </r>
  <r>
    <x v="391"/>
    <x v="8"/>
    <x v="5"/>
    <x v="0"/>
    <s v="français"/>
    <x v="2"/>
    <n v="3"/>
    <n v="0"/>
    <n v="0"/>
    <n v="0"/>
    <n v="0"/>
    <n v="0"/>
    <n v="0"/>
    <n v="0"/>
    <n v="0"/>
    <n v="1"/>
    <n v="0"/>
    <n v="0"/>
    <m/>
  </r>
  <r>
    <x v="392"/>
    <x v="8"/>
    <x v="5"/>
    <x v="0"/>
    <s v="français"/>
    <x v="2"/>
    <n v="3"/>
    <n v="0"/>
    <n v="0"/>
    <n v="0"/>
    <n v="0"/>
    <n v="0"/>
    <n v="0"/>
    <n v="1"/>
    <n v="0"/>
    <n v="0"/>
    <n v="0"/>
    <n v="0"/>
    <m/>
  </r>
  <r>
    <x v="393"/>
    <x v="8"/>
    <x v="5"/>
    <x v="0"/>
    <s v="français"/>
    <x v="2"/>
    <n v="3"/>
    <n v="0"/>
    <n v="0"/>
    <n v="0"/>
    <n v="0"/>
    <n v="0"/>
    <n v="0"/>
    <n v="1"/>
    <n v="0"/>
    <n v="0"/>
    <n v="0"/>
    <n v="0"/>
    <m/>
  </r>
  <r>
    <x v="394"/>
    <x v="8"/>
    <x v="5"/>
    <x v="0"/>
    <s v="français"/>
    <x v="1"/>
    <n v="0.5"/>
    <n v="0"/>
    <n v="0"/>
    <n v="0"/>
    <n v="0"/>
    <n v="0"/>
    <n v="0"/>
    <n v="0"/>
    <n v="0"/>
    <n v="1"/>
    <n v="0"/>
    <n v="0"/>
    <s v="Heures de fermeture de la salle de lecture"/>
  </r>
  <r>
    <x v="395"/>
    <x v="4"/>
    <x v="0"/>
    <x v="0"/>
    <s v="anglais"/>
    <x v="1"/>
    <n v="0.5"/>
    <n v="0"/>
    <n v="0"/>
    <n v="0"/>
    <n v="0"/>
    <n v="0"/>
    <n v="0"/>
    <n v="0"/>
    <n v="1"/>
    <n v="0"/>
    <n v="0"/>
    <n v="0"/>
    <s v="Imprimantes"/>
  </r>
  <r>
    <x v="396"/>
    <x v="4"/>
    <x v="0"/>
    <x v="0"/>
    <s v="anglais"/>
    <x v="1"/>
    <n v="0.5"/>
    <n v="0"/>
    <n v="0"/>
    <n v="0"/>
    <n v="0"/>
    <n v="0"/>
    <n v="0"/>
    <n v="0"/>
    <n v="1"/>
    <n v="0"/>
    <n v="0"/>
    <n v="0"/>
    <s v="Impression"/>
  </r>
  <r>
    <x v="397"/>
    <x v="4"/>
    <x v="0"/>
    <x v="0"/>
    <s v="anglais"/>
    <x v="1"/>
    <n v="0.5"/>
    <n v="0"/>
    <n v="0"/>
    <n v="0"/>
    <n v="0"/>
    <n v="0"/>
    <n v="0"/>
    <n v="0"/>
    <n v="0"/>
    <n v="0"/>
    <n v="0"/>
    <n v="1"/>
    <s v="Perte d'un manteau -&gt; Loge"/>
  </r>
  <r>
    <x v="398"/>
    <x v="1"/>
    <x v="0"/>
    <x v="0"/>
    <s v="français"/>
    <x v="1"/>
    <n v="0.5"/>
    <n v="0"/>
    <n v="0"/>
    <n v="0"/>
    <n v="0"/>
    <n v="0"/>
    <n v="0"/>
    <n v="0"/>
    <n v="0"/>
    <n v="0"/>
    <n v="1"/>
    <n v="0"/>
    <m/>
  </r>
  <r>
    <x v="399"/>
    <x v="3"/>
    <x v="1"/>
    <x v="1"/>
    <s v="français"/>
    <x v="0"/>
    <n v="10.5"/>
    <n v="1"/>
    <n v="0"/>
    <n v="1"/>
    <n v="0"/>
    <n v="0"/>
    <n v="0"/>
    <n v="0"/>
    <n v="0"/>
    <n v="0"/>
    <n v="0"/>
    <n v="0"/>
    <m/>
  </r>
  <r>
    <x v="400"/>
    <x v="3"/>
    <x v="1"/>
    <x v="0"/>
    <s v="français"/>
    <x v="0"/>
    <n v="10.5"/>
    <n v="0"/>
    <n v="0"/>
    <n v="0"/>
    <n v="0"/>
    <n v="0"/>
    <n v="0"/>
    <n v="0"/>
    <n v="0"/>
    <n v="1"/>
    <n v="0"/>
    <n v="0"/>
    <m/>
  </r>
  <r>
    <x v="401"/>
    <x v="4"/>
    <x v="1"/>
    <x v="0"/>
    <s v="anglais"/>
    <x v="2"/>
    <n v="3"/>
    <n v="0"/>
    <n v="0"/>
    <n v="0"/>
    <n v="0"/>
    <n v="0"/>
    <n v="0"/>
    <n v="1"/>
    <n v="0"/>
    <n v="0"/>
    <n v="0"/>
    <n v="0"/>
    <m/>
  </r>
  <r>
    <x v="402"/>
    <x v="1"/>
    <x v="1"/>
    <x v="1"/>
    <s v="français"/>
    <x v="0"/>
    <n v="10.5"/>
    <n v="0"/>
    <n v="0"/>
    <n v="0"/>
    <n v="0"/>
    <n v="0"/>
    <n v="0"/>
    <n v="0"/>
    <n v="0"/>
    <n v="0"/>
    <n v="0"/>
    <n v="1"/>
    <s v="Un lecteur souhaiterait faire numériser un dictionnaire d'arménien au profit de la bibliothèque."/>
  </r>
  <r>
    <x v="403"/>
    <x v="8"/>
    <x v="1"/>
    <x v="0"/>
    <s v="français"/>
    <x v="2"/>
    <n v="3"/>
    <n v="0"/>
    <n v="0"/>
    <n v="0"/>
    <n v="0"/>
    <n v="1"/>
    <n v="0"/>
    <n v="0"/>
    <n v="0"/>
    <n v="0"/>
    <n v="0"/>
    <n v="0"/>
    <m/>
  </r>
  <r>
    <x v="404"/>
    <x v="8"/>
    <x v="1"/>
    <x v="0"/>
    <s v="français"/>
    <x v="1"/>
    <n v="0.5"/>
    <n v="0"/>
    <n v="0"/>
    <n v="0"/>
    <n v="0"/>
    <n v="0"/>
    <n v="0"/>
    <n v="0"/>
    <n v="0"/>
    <n v="1"/>
    <n v="0"/>
    <n v="0"/>
    <m/>
  </r>
  <r>
    <x v="405"/>
    <x v="8"/>
    <x v="1"/>
    <x v="0"/>
    <s v="français"/>
    <x v="2"/>
    <n v="3"/>
    <n v="1"/>
    <n v="0"/>
    <n v="1"/>
    <n v="0"/>
    <n v="0"/>
    <n v="0"/>
    <n v="0"/>
    <n v="0"/>
    <n v="0"/>
    <n v="0"/>
    <n v="0"/>
    <m/>
  </r>
  <r>
    <x v="406"/>
    <x v="5"/>
    <x v="2"/>
    <x v="0"/>
    <s v="français"/>
    <x v="1"/>
    <n v="0.5"/>
    <n v="0"/>
    <n v="0"/>
    <n v="0"/>
    <n v="0"/>
    <n v="0"/>
    <n v="0"/>
    <n v="1"/>
    <n v="0"/>
    <n v="0"/>
    <n v="0"/>
    <n v="0"/>
    <m/>
  </r>
  <r>
    <x v="407"/>
    <x v="0"/>
    <x v="2"/>
    <x v="0"/>
    <s v="français"/>
    <x v="0"/>
    <n v="10.5"/>
    <n v="0"/>
    <n v="0"/>
    <n v="0"/>
    <n v="0"/>
    <n v="0"/>
    <n v="0"/>
    <n v="0"/>
    <n v="1"/>
    <n v="0"/>
    <n v="0"/>
    <n v="0"/>
    <m/>
  </r>
  <r>
    <x v="408"/>
    <x v="3"/>
    <x v="2"/>
    <x v="0"/>
    <s v="français"/>
    <x v="0"/>
    <n v="10.5"/>
    <n v="0"/>
    <n v="0"/>
    <n v="0"/>
    <n v="0"/>
    <n v="1"/>
    <n v="0"/>
    <n v="0"/>
    <n v="0"/>
    <n v="1"/>
    <n v="0"/>
    <n v="0"/>
    <m/>
  </r>
  <r>
    <x v="409"/>
    <x v="1"/>
    <x v="2"/>
    <x v="0"/>
    <s v="français"/>
    <x v="2"/>
    <n v="3"/>
    <n v="0"/>
    <n v="0"/>
    <n v="1"/>
    <n v="0"/>
    <n v="1"/>
    <n v="0"/>
    <n v="0"/>
    <n v="0"/>
    <n v="0"/>
    <n v="0"/>
    <n v="0"/>
    <m/>
  </r>
  <r>
    <x v="410"/>
    <x v="1"/>
    <x v="2"/>
    <x v="1"/>
    <s v="français"/>
    <x v="0"/>
    <n v="10.5"/>
    <n v="0"/>
    <n v="0"/>
    <n v="0"/>
    <n v="0"/>
    <n v="0"/>
    <n v="0"/>
    <n v="0"/>
    <n v="0"/>
    <n v="0"/>
    <n v="1"/>
    <n v="0"/>
    <s v="Recherche des avis de décès"/>
  </r>
  <r>
    <x v="411"/>
    <x v="1"/>
    <x v="2"/>
    <x v="0"/>
    <s v="français"/>
    <x v="2"/>
    <n v="3"/>
    <n v="0"/>
    <n v="0"/>
    <n v="0"/>
    <n v="0"/>
    <n v="0"/>
    <n v="0"/>
    <n v="1"/>
    <n v="0"/>
    <n v="0"/>
    <n v="0"/>
    <n v="0"/>
    <m/>
  </r>
  <r>
    <x v="412"/>
    <x v="2"/>
    <x v="2"/>
    <x v="0"/>
    <s v="français"/>
    <x v="2"/>
    <n v="3"/>
    <n v="1"/>
    <n v="0"/>
    <n v="1"/>
    <n v="0"/>
    <n v="0"/>
    <n v="0"/>
    <n v="0"/>
    <n v="0"/>
    <n v="0"/>
    <n v="0"/>
    <n v="0"/>
    <m/>
  </r>
  <r>
    <x v="413"/>
    <x v="5"/>
    <x v="3"/>
    <x v="0"/>
    <s v="français"/>
    <x v="1"/>
    <n v="0.5"/>
    <n v="0"/>
    <n v="0"/>
    <n v="0"/>
    <n v="0"/>
    <n v="0"/>
    <n v="0"/>
    <n v="0"/>
    <n v="0"/>
    <n v="0"/>
    <n v="1"/>
    <n v="0"/>
    <m/>
  </r>
  <r>
    <x v="414"/>
    <x v="3"/>
    <x v="3"/>
    <x v="0"/>
    <s v="français"/>
    <x v="3"/>
    <n v="20"/>
    <n v="0"/>
    <n v="0"/>
    <n v="0"/>
    <n v="0"/>
    <n v="1"/>
    <n v="0"/>
    <n v="0"/>
    <n v="0"/>
    <n v="1"/>
    <n v="0"/>
    <n v="0"/>
    <m/>
  </r>
  <r>
    <x v="415"/>
    <x v="3"/>
    <x v="3"/>
    <x v="0"/>
    <s v="français"/>
    <x v="2"/>
    <n v="3"/>
    <n v="0"/>
    <n v="0"/>
    <n v="0"/>
    <n v="0"/>
    <n v="0"/>
    <n v="0"/>
    <n v="0"/>
    <n v="1"/>
    <n v="0"/>
    <n v="0"/>
    <n v="0"/>
    <m/>
  </r>
  <r>
    <x v="416"/>
    <x v="4"/>
    <x v="3"/>
    <x v="1"/>
    <s v="français"/>
    <x v="2"/>
    <n v="3"/>
    <n v="0"/>
    <n v="0"/>
    <n v="0"/>
    <n v="0"/>
    <n v="0"/>
    <n v="0"/>
    <n v="0"/>
    <n v="0"/>
    <n v="0"/>
    <n v="0"/>
    <n v="1"/>
    <s v="Pensait joindre la BM Cité"/>
  </r>
  <r>
    <x v="417"/>
    <x v="4"/>
    <x v="3"/>
    <x v="0"/>
    <s v="français"/>
    <x v="1"/>
    <n v="0.5"/>
    <n v="0"/>
    <n v="0"/>
    <n v="0"/>
    <n v="0"/>
    <n v="0"/>
    <n v="0"/>
    <n v="0"/>
    <n v="0"/>
    <n v="0"/>
    <n v="1"/>
    <n v="0"/>
    <s v="wc"/>
  </r>
  <r>
    <x v="418"/>
    <x v="1"/>
    <x v="3"/>
    <x v="0"/>
    <s v="français"/>
    <x v="1"/>
    <n v="0.5"/>
    <n v="0"/>
    <n v="0"/>
    <n v="0"/>
    <n v="0"/>
    <n v="0"/>
    <n v="0"/>
    <n v="0"/>
    <n v="0"/>
    <n v="0"/>
    <n v="1"/>
    <n v="0"/>
    <s v="prêt"/>
  </r>
  <r>
    <x v="419"/>
    <x v="1"/>
    <x v="3"/>
    <x v="0"/>
    <s v="français"/>
    <x v="0"/>
    <n v="10.5"/>
    <n v="1"/>
    <n v="0"/>
    <n v="1"/>
    <n v="0"/>
    <n v="0"/>
    <n v="0"/>
    <n v="0"/>
    <n v="0"/>
    <n v="0"/>
    <n v="0"/>
    <n v="0"/>
    <s v="recherche (sans succès) sur la poetesse indienne Lakshmî"/>
  </r>
  <r>
    <x v="420"/>
    <x v="1"/>
    <x v="3"/>
    <x v="0"/>
    <s v="français"/>
    <x v="1"/>
    <n v="0.5"/>
    <n v="0"/>
    <n v="0"/>
    <n v="0"/>
    <n v="0"/>
    <n v="0"/>
    <n v="0"/>
    <n v="0"/>
    <n v="0"/>
    <n v="0"/>
    <n v="1"/>
    <n v="0"/>
    <s v="Salle de lecture"/>
  </r>
  <r>
    <x v="421"/>
    <x v="2"/>
    <x v="3"/>
    <x v="0"/>
    <s v="français"/>
    <x v="1"/>
    <n v="0.5"/>
    <n v="0"/>
    <n v="0"/>
    <n v="0"/>
    <n v="0"/>
    <n v="0"/>
    <n v="0"/>
    <n v="0"/>
    <n v="0"/>
    <n v="1"/>
    <n v="0"/>
    <n v="0"/>
    <s v="casque audio"/>
  </r>
  <r>
    <x v="422"/>
    <x v="2"/>
    <x v="3"/>
    <x v="0"/>
    <s v="français"/>
    <x v="2"/>
    <n v="3"/>
    <n v="0"/>
    <n v="0"/>
    <n v="0"/>
    <n v="0"/>
    <n v="0"/>
    <n v="0"/>
    <n v="0"/>
    <n v="0"/>
    <n v="1"/>
    <n v="0"/>
    <n v="0"/>
    <s v="ne se souvient plus de ses identifiants MondoPC"/>
  </r>
  <r>
    <x v="423"/>
    <x v="2"/>
    <x v="3"/>
    <x v="0"/>
    <s v="français"/>
    <x v="1"/>
    <n v="0.5"/>
    <n v="0"/>
    <n v="0"/>
    <n v="0"/>
    <n v="0"/>
    <n v="0"/>
    <n v="0"/>
    <n v="0"/>
    <n v="0"/>
    <n v="0"/>
    <n v="1"/>
    <n v="0"/>
    <s v="Question à propos de Zotero. Je sollicite Agnes M."/>
  </r>
  <r>
    <x v="424"/>
    <x v="2"/>
    <x v="3"/>
    <x v="0"/>
    <s v="français"/>
    <x v="0"/>
    <n v="10.5"/>
    <n v="0"/>
    <n v="0"/>
    <n v="0"/>
    <n v="0"/>
    <n v="0"/>
    <n v="0"/>
    <n v="0"/>
    <n v="0"/>
    <n v="0"/>
    <n v="0"/>
    <n v="1"/>
    <s v="J'ai écouté longuement un usager (probablement un peu dérangé...) qui souhaite que je fasse remonterquoi... je n'ai rien compris, mais ça a l'air très compliqué !"/>
  </r>
  <r>
    <x v="425"/>
    <x v="7"/>
    <x v="4"/>
    <x v="0"/>
    <s v="anglais"/>
    <x v="3"/>
    <n v="20"/>
    <n v="0"/>
    <n v="0"/>
    <n v="0"/>
    <n v="1"/>
    <n v="0"/>
    <n v="0"/>
    <n v="1"/>
    <n v="0"/>
    <n v="0"/>
    <n v="0"/>
    <n v="0"/>
    <m/>
  </r>
  <r>
    <x v="426"/>
    <x v="5"/>
    <x v="5"/>
    <x v="0"/>
    <s v="français"/>
    <x v="2"/>
    <n v="3"/>
    <n v="0"/>
    <n v="0"/>
    <n v="0"/>
    <n v="0"/>
    <n v="0"/>
    <n v="0"/>
    <n v="1"/>
    <n v="0"/>
    <n v="0"/>
    <n v="0"/>
    <n v="0"/>
    <m/>
  </r>
  <r>
    <x v="427"/>
    <x v="0"/>
    <x v="5"/>
    <x v="0"/>
    <s v="français"/>
    <x v="3"/>
    <n v="20"/>
    <n v="1"/>
    <n v="0"/>
    <n v="1"/>
    <n v="0"/>
    <n v="0"/>
    <n v="0"/>
    <n v="0"/>
    <n v="0"/>
    <n v="0"/>
    <n v="0"/>
    <n v="0"/>
    <s v="Recherche d'un ouvrage d'un certain Camille Thion, introuvable, car mal orthographié par le lecteur. Thion -&gt; Tihon"/>
  </r>
  <r>
    <x v="428"/>
    <x v="3"/>
    <x v="5"/>
    <x v="0"/>
    <s v="français"/>
    <x v="0"/>
    <n v="10.5"/>
    <n v="0"/>
    <n v="0"/>
    <n v="0"/>
    <n v="0"/>
    <n v="1"/>
    <n v="0"/>
    <n v="0"/>
    <n v="0"/>
    <n v="0"/>
    <n v="0"/>
    <n v="0"/>
    <m/>
  </r>
  <r>
    <x v="429"/>
    <x v="3"/>
    <x v="5"/>
    <x v="1"/>
    <s v="français"/>
    <x v="0"/>
    <n v="10.5"/>
    <n v="1"/>
    <n v="0"/>
    <n v="1"/>
    <n v="1"/>
    <n v="0"/>
    <n v="0"/>
    <n v="0"/>
    <n v="0"/>
    <n v="0"/>
    <n v="0"/>
    <n v="0"/>
    <m/>
  </r>
  <r>
    <x v="430"/>
    <x v="4"/>
    <x v="5"/>
    <x v="0"/>
    <s v="français"/>
    <x v="1"/>
    <n v="0.5"/>
    <n v="0"/>
    <n v="0"/>
    <n v="0"/>
    <n v="0"/>
    <n v="0"/>
    <n v="0"/>
    <n v="0"/>
    <n v="0"/>
    <n v="0"/>
    <n v="0"/>
    <n v="1"/>
    <s v="Monnaie café"/>
  </r>
  <r>
    <x v="431"/>
    <x v="4"/>
    <x v="5"/>
    <x v="0"/>
    <s v="français"/>
    <x v="1"/>
    <n v="0.5"/>
    <n v="0"/>
    <n v="0"/>
    <n v="0"/>
    <n v="0"/>
    <n v="0"/>
    <n v="0"/>
    <n v="0"/>
    <n v="0"/>
    <n v="0"/>
    <n v="0"/>
    <n v="1"/>
    <s v="Réservation de salle"/>
  </r>
  <r>
    <x v="432"/>
    <x v="1"/>
    <x v="5"/>
    <x v="0"/>
    <s v="français"/>
    <x v="2"/>
    <n v="3"/>
    <n v="0"/>
    <n v="0"/>
    <n v="0"/>
    <n v="0"/>
    <n v="0"/>
    <n v="0"/>
    <n v="0"/>
    <n v="1"/>
    <n v="0"/>
    <n v="0"/>
    <n v="0"/>
    <s v="Plus de papier dans  l'imprimante"/>
  </r>
  <r>
    <x v="433"/>
    <x v="2"/>
    <x v="5"/>
    <x v="0"/>
    <s v="français"/>
    <x v="0"/>
    <n v="10.5"/>
    <n v="0"/>
    <n v="0"/>
    <n v="0"/>
    <n v="0"/>
    <n v="1"/>
    <n v="0"/>
    <n v="0"/>
    <n v="0"/>
    <n v="0"/>
    <n v="0"/>
    <n v="0"/>
    <m/>
  </r>
  <r>
    <x v="434"/>
    <x v="2"/>
    <x v="5"/>
    <x v="0"/>
    <s v="anglais"/>
    <x v="0"/>
    <n v="10.5"/>
    <n v="0"/>
    <n v="1"/>
    <n v="0"/>
    <n v="0"/>
    <n v="0"/>
    <n v="0"/>
    <n v="0"/>
    <n v="0"/>
    <n v="0"/>
    <n v="0"/>
    <n v="0"/>
    <s v="Titres en ukrainien"/>
  </r>
  <r>
    <x v="435"/>
    <x v="2"/>
    <x v="5"/>
    <x v="0"/>
    <s v="français"/>
    <x v="2"/>
    <n v="3"/>
    <n v="0"/>
    <n v="1"/>
    <n v="0"/>
    <n v="0"/>
    <n v="0"/>
    <n v="0"/>
    <n v="0"/>
    <n v="0"/>
    <n v="0"/>
    <n v="0"/>
    <n v="0"/>
    <s v="Poétesses françaises"/>
  </r>
  <r>
    <x v="436"/>
    <x v="2"/>
    <x v="5"/>
    <x v="0"/>
    <s v="français"/>
    <x v="2"/>
    <n v="3"/>
    <n v="0"/>
    <n v="0"/>
    <n v="0"/>
    <n v="0"/>
    <n v="0"/>
    <n v="0"/>
    <n v="0"/>
    <n v="1"/>
    <n v="0"/>
    <n v="0"/>
    <n v="0"/>
    <s v="Wifi"/>
  </r>
  <r>
    <x v="437"/>
    <x v="2"/>
    <x v="5"/>
    <x v="0"/>
    <s v="français"/>
    <x v="1"/>
    <n v="0.5"/>
    <n v="0"/>
    <n v="0"/>
    <n v="0"/>
    <n v="0"/>
    <n v="0"/>
    <n v="0"/>
    <n v="0"/>
    <n v="1"/>
    <n v="0"/>
    <n v="0"/>
    <n v="0"/>
    <s v="Modalités impressions"/>
  </r>
  <r>
    <x v="438"/>
    <x v="2"/>
    <x v="5"/>
    <x v="0"/>
    <s v="français"/>
    <x v="2"/>
    <n v="3"/>
    <n v="0"/>
    <n v="0"/>
    <n v="0"/>
    <n v="0"/>
    <n v="0"/>
    <n v="0"/>
    <n v="1"/>
    <n v="0"/>
    <n v="0"/>
    <n v="0"/>
    <n v="0"/>
    <m/>
  </r>
  <r>
    <x v="439"/>
    <x v="2"/>
    <x v="5"/>
    <x v="0"/>
    <s v="anglais"/>
    <x v="2"/>
    <n v="3"/>
    <n v="0"/>
    <n v="0"/>
    <n v="0"/>
    <n v="0"/>
    <n v="0"/>
    <n v="0"/>
    <n v="1"/>
    <n v="0"/>
    <n v="0"/>
    <n v="0"/>
    <n v="0"/>
    <m/>
  </r>
  <r>
    <x v="440"/>
    <x v="2"/>
    <x v="5"/>
    <x v="0"/>
    <s v="français"/>
    <x v="1"/>
    <n v="0.5"/>
    <n v="0"/>
    <n v="0"/>
    <n v="0"/>
    <n v="0"/>
    <n v="0"/>
    <n v="0"/>
    <n v="0"/>
    <n v="1"/>
    <n v="0"/>
    <n v="0"/>
    <n v="0"/>
    <s v="Adaptateur"/>
  </r>
  <r>
    <x v="441"/>
    <x v="6"/>
    <x v="5"/>
    <x v="0"/>
    <s v="français"/>
    <x v="1"/>
    <n v="0.5"/>
    <n v="0"/>
    <n v="0"/>
    <n v="0"/>
    <n v="0"/>
    <n v="0"/>
    <n v="0"/>
    <n v="0"/>
    <n v="1"/>
    <n v="0"/>
    <n v="0"/>
    <n v="0"/>
    <m/>
  </r>
  <r>
    <x v="442"/>
    <x v="6"/>
    <x v="5"/>
    <x v="0"/>
    <s v="français"/>
    <x v="2"/>
    <n v="3"/>
    <n v="0"/>
    <n v="0"/>
    <n v="0"/>
    <n v="0"/>
    <n v="0"/>
    <n v="0"/>
    <n v="0"/>
    <n v="0"/>
    <n v="1"/>
    <n v="0"/>
    <n v="0"/>
    <m/>
  </r>
  <r>
    <x v="443"/>
    <x v="8"/>
    <x v="5"/>
    <x v="0"/>
    <s v="français"/>
    <x v="0"/>
    <n v="10.5"/>
    <n v="1"/>
    <n v="0"/>
    <n v="1"/>
    <n v="0"/>
    <n v="0"/>
    <n v="0"/>
    <n v="0"/>
    <n v="0"/>
    <n v="0"/>
    <n v="0"/>
    <n v="1"/>
    <s v="orientation vers Fac. de théologie"/>
  </r>
  <r>
    <x v="444"/>
    <x v="8"/>
    <x v="5"/>
    <x v="0"/>
    <s v="français"/>
    <x v="1"/>
    <n v="0.5"/>
    <n v="0"/>
    <n v="0"/>
    <n v="0"/>
    <n v="0"/>
    <n v="0"/>
    <n v="0"/>
    <n v="0"/>
    <n v="1"/>
    <n v="0"/>
    <n v="0"/>
    <n v="0"/>
    <m/>
  </r>
  <r>
    <x v="445"/>
    <x v="8"/>
    <x v="5"/>
    <x v="0"/>
    <s v="français"/>
    <x v="1"/>
    <n v="0.5"/>
    <n v="0"/>
    <n v="0"/>
    <n v="0"/>
    <n v="0"/>
    <n v="0"/>
    <n v="0"/>
    <n v="0"/>
    <n v="0"/>
    <n v="1"/>
    <n v="0"/>
    <n v="0"/>
    <m/>
  </r>
  <r>
    <x v="446"/>
    <x v="0"/>
    <x v="0"/>
    <x v="0"/>
    <s v="français"/>
    <x v="0"/>
    <n v="10.5"/>
    <n v="0"/>
    <n v="0"/>
    <n v="0"/>
    <n v="0"/>
    <n v="1"/>
    <n v="0"/>
    <n v="0"/>
    <n v="0"/>
    <n v="0"/>
    <n v="0"/>
    <n v="0"/>
    <m/>
  </r>
  <r>
    <x v="447"/>
    <x v="0"/>
    <x v="0"/>
    <x v="0"/>
    <s v="français"/>
    <x v="0"/>
    <n v="10.5"/>
    <n v="0"/>
    <n v="0"/>
    <n v="0"/>
    <n v="0"/>
    <n v="1"/>
    <n v="0"/>
    <n v="0"/>
    <n v="0"/>
    <n v="0"/>
    <n v="0"/>
    <n v="0"/>
    <m/>
  </r>
  <r>
    <x v="448"/>
    <x v="0"/>
    <x v="0"/>
    <x v="0"/>
    <s v="français"/>
    <x v="0"/>
    <n v="10.5"/>
    <n v="1"/>
    <n v="0"/>
    <n v="0"/>
    <n v="1"/>
    <n v="0"/>
    <n v="0"/>
    <n v="0"/>
    <n v="0"/>
    <n v="0"/>
    <n v="0"/>
    <n v="0"/>
    <s v="Demande de deux pdf d'articles via JSTOR"/>
  </r>
  <r>
    <x v="449"/>
    <x v="0"/>
    <x v="0"/>
    <x v="0"/>
    <s v="français"/>
    <x v="2"/>
    <n v="3"/>
    <n v="0"/>
    <n v="0"/>
    <n v="0"/>
    <n v="0"/>
    <n v="0"/>
    <n v="0"/>
    <n v="0"/>
    <n v="1"/>
    <n v="0"/>
    <n v="0"/>
    <n v="0"/>
    <s v="Réglage de la luminosité d'un écran PC public"/>
  </r>
  <r>
    <x v="450"/>
    <x v="4"/>
    <x v="0"/>
    <x v="0"/>
    <s v="français"/>
    <x v="2"/>
    <n v="3"/>
    <n v="0"/>
    <n v="0"/>
    <n v="0"/>
    <n v="0"/>
    <n v="0"/>
    <n v="0"/>
    <n v="0"/>
    <n v="0"/>
    <n v="0"/>
    <n v="0"/>
    <n v="1"/>
    <s v="Photo à usage interne avec le mobilier de la Bibliothèque (si pas commerciale et ne montrant pas les installations -&gt; pas de soucis  autrement signature d'une décharge)"/>
  </r>
  <r>
    <x v="451"/>
    <x v="1"/>
    <x v="0"/>
    <x v="0"/>
    <s v="français"/>
    <x v="2"/>
    <n v="3"/>
    <n v="1"/>
    <n v="0"/>
    <n v="1"/>
    <n v="0"/>
    <n v="0"/>
    <n v="0"/>
    <n v="0"/>
    <n v="0"/>
    <n v="0"/>
    <n v="0"/>
    <n v="0"/>
    <s v="Périodiques"/>
  </r>
  <r>
    <x v="452"/>
    <x v="5"/>
    <x v="1"/>
    <x v="0"/>
    <s v="français"/>
    <x v="2"/>
    <n v="3"/>
    <n v="1"/>
    <n v="0"/>
    <n v="1"/>
    <n v="0"/>
    <n v="0"/>
    <n v="0"/>
    <n v="0"/>
    <n v="0"/>
    <n v="0"/>
    <n v="0"/>
    <n v="0"/>
    <m/>
  </r>
  <r>
    <x v="453"/>
    <x v="0"/>
    <x v="1"/>
    <x v="0"/>
    <s v="français"/>
    <x v="0"/>
    <n v="10.5"/>
    <n v="0"/>
    <n v="0"/>
    <n v="0"/>
    <n v="0"/>
    <n v="1"/>
    <n v="0"/>
    <n v="0"/>
    <n v="0"/>
    <n v="0"/>
    <n v="0"/>
    <n v="0"/>
    <s v="Problème de connexion dû à un problème de mot de passe, résolu"/>
  </r>
  <r>
    <x v="454"/>
    <x v="7"/>
    <x v="1"/>
    <x v="0"/>
    <s v="français"/>
    <x v="2"/>
    <n v="3"/>
    <n v="1"/>
    <n v="0"/>
    <n v="0"/>
    <n v="0"/>
    <n v="0"/>
    <n v="0"/>
    <n v="0"/>
    <n v="0"/>
    <n v="0"/>
    <n v="0"/>
    <n v="0"/>
    <m/>
  </r>
  <r>
    <x v="455"/>
    <x v="3"/>
    <x v="1"/>
    <x v="0"/>
    <s v="français"/>
    <x v="2"/>
    <n v="3"/>
    <n v="0"/>
    <n v="0"/>
    <n v="0"/>
    <n v="0"/>
    <n v="0"/>
    <n v="0"/>
    <n v="0"/>
    <n v="1"/>
    <n v="0"/>
    <n v="0"/>
    <n v="0"/>
    <m/>
  </r>
  <r>
    <x v="456"/>
    <x v="3"/>
    <x v="1"/>
    <x v="0"/>
    <s v="français"/>
    <x v="1"/>
    <n v="0.5"/>
    <n v="0"/>
    <n v="1"/>
    <n v="0"/>
    <n v="0"/>
    <n v="0"/>
    <n v="0"/>
    <n v="0"/>
    <n v="0"/>
    <n v="0"/>
    <n v="0"/>
    <n v="0"/>
    <m/>
  </r>
  <r>
    <x v="457"/>
    <x v="3"/>
    <x v="1"/>
    <x v="0"/>
    <s v="français"/>
    <x v="1"/>
    <n v="0.5"/>
    <n v="0"/>
    <n v="0"/>
    <n v="0"/>
    <n v="0"/>
    <n v="0"/>
    <n v="0"/>
    <n v="0"/>
    <n v="0"/>
    <n v="0"/>
    <n v="1"/>
    <n v="0"/>
    <m/>
  </r>
  <r>
    <x v="458"/>
    <x v="3"/>
    <x v="1"/>
    <x v="0"/>
    <s v="français"/>
    <x v="1"/>
    <n v="0.5"/>
    <n v="0"/>
    <n v="0"/>
    <n v="0"/>
    <n v="0"/>
    <n v="0"/>
    <n v="0"/>
    <n v="0"/>
    <n v="0"/>
    <n v="0"/>
    <n v="1"/>
    <n v="0"/>
    <m/>
  </r>
  <r>
    <x v="459"/>
    <x v="8"/>
    <x v="1"/>
    <x v="0"/>
    <s v="français"/>
    <x v="2"/>
    <n v="3"/>
    <n v="0"/>
    <n v="0"/>
    <n v="0"/>
    <n v="0"/>
    <n v="0"/>
    <n v="0"/>
    <n v="0"/>
    <n v="0"/>
    <n v="1"/>
    <n v="0"/>
    <n v="0"/>
    <m/>
  </r>
  <r>
    <x v="460"/>
    <x v="8"/>
    <x v="1"/>
    <x v="0"/>
    <s v="français"/>
    <x v="1"/>
    <n v="0.5"/>
    <n v="0"/>
    <n v="0"/>
    <n v="0"/>
    <n v="0"/>
    <n v="0"/>
    <n v="0"/>
    <n v="0"/>
    <n v="0"/>
    <n v="0"/>
    <n v="0"/>
    <n v="0"/>
    <m/>
  </r>
  <r>
    <x v="461"/>
    <x v="8"/>
    <x v="1"/>
    <x v="0"/>
    <s v="français"/>
    <x v="2"/>
    <n v="3"/>
    <n v="1"/>
    <n v="0"/>
    <n v="0"/>
    <n v="0"/>
    <n v="0"/>
    <n v="0"/>
    <n v="0"/>
    <n v="0"/>
    <n v="0"/>
    <n v="0"/>
    <n v="0"/>
    <m/>
  </r>
  <r>
    <x v="462"/>
    <x v="8"/>
    <x v="1"/>
    <x v="0"/>
    <s v="français"/>
    <x v="1"/>
    <n v="0.5"/>
    <n v="0"/>
    <n v="0"/>
    <n v="0"/>
    <n v="0"/>
    <n v="0"/>
    <n v="0"/>
    <n v="0"/>
    <n v="0"/>
    <n v="1"/>
    <n v="0"/>
    <n v="0"/>
    <m/>
  </r>
  <r>
    <x v="463"/>
    <x v="5"/>
    <x v="2"/>
    <x v="1"/>
    <s v="français"/>
    <x v="2"/>
    <n v="3"/>
    <n v="0"/>
    <n v="0"/>
    <n v="0"/>
    <n v="0"/>
    <n v="0"/>
    <n v="0"/>
    <n v="0"/>
    <n v="0"/>
    <n v="0"/>
    <n v="0"/>
    <n v="1"/>
    <s v="Demande d'infos concernant des prolongations de prêt à l'UNIGE -&gt; j'ai donné le bon numéro"/>
  </r>
  <r>
    <x v="464"/>
    <x v="5"/>
    <x v="2"/>
    <x v="0"/>
    <s v="français"/>
    <x v="1"/>
    <n v="0.5"/>
    <n v="0"/>
    <n v="0"/>
    <n v="0"/>
    <n v="0"/>
    <n v="0"/>
    <n v="0"/>
    <n v="0"/>
    <n v="0"/>
    <n v="0"/>
    <n v="1"/>
    <n v="0"/>
    <m/>
  </r>
  <r>
    <x v="465"/>
    <x v="5"/>
    <x v="2"/>
    <x v="1"/>
    <s v="français"/>
    <x v="2"/>
    <n v="3"/>
    <n v="0"/>
    <n v="0"/>
    <n v="0"/>
    <n v="0"/>
    <n v="0"/>
    <n v="0"/>
    <n v="0"/>
    <n v="0"/>
    <n v="0"/>
    <n v="0"/>
    <n v="1"/>
    <s v="Proposition de don "/>
  </r>
  <r>
    <x v="466"/>
    <x v="5"/>
    <x v="2"/>
    <x v="0"/>
    <s v="français"/>
    <x v="1"/>
    <n v="0.5"/>
    <n v="1"/>
    <n v="0"/>
    <n v="0"/>
    <n v="0"/>
    <n v="0"/>
    <n v="0"/>
    <n v="0"/>
    <n v="0"/>
    <n v="0"/>
    <n v="0"/>
    <n v="0"/>
    <m/>
  </r>
  <r>
    <x v="467"/>
    <x v="3"/>
    <x v="2"/>
    <x v="0"/>
    <s v="français"/>
    <x v="0"/>
    <n v="10.5"/>
    <n v="0"/>
    <n v="0"/>
    <n v="0"/>
    <n v="1"/>
    <n v="0"/>
    <n v="0"/>
    <n v="0"/>
    <n v="0"/>
    <n v="0"/>
    <n v="0"/>
    <n v="0"/>
    <m/>
  </r>
  <r>
    <x v="468"/>
    <x v="3"/>
    <x v="2"/>
    <x v="0"/>
    <s v="français"/>
    <x v="2"/>
    <n v="3"/>
    <n v="0"/>
    <n v="0"/>
    <n v="0"/>
    <n v="0"/>
    <n v="0"/>
    <n v="0"/>
    <n v="1"/>
    <n v="0"/>
    <n v="0"/>
    <n v="0"/>
    <n v="0"/>
    <m/>
  </r>
  <r>
    <x v="469"/>
    <x v="1"/>
    <x v="3"/>
    <x v="0"/>
    <s v="français"/>
    <x v="2"/>
    <n v="3"/>
    <n v="0"/>
    <n v="0"/>
    <n v="0"/>
    <n v="0"/>
    <n v="0"/>
    <n v="0"/>
    <n v="1"/>
    <n v="0"/>
    <n v="0"/>
    <n v="0"/>
    <n v="0"/>
    <m/>
  </r>
  <r>
    <x v="470"/>
    <x v="1"/>
    <x v="3"/>
    <x v="0"/>
    <s v="français"/>
    <x v="1"/>
    <n v="0.5"/>
    <n v="0"/>
    <n v="0"/>
    <n v="0"/>
    <n v="0"/>
    <n v="0"/>
    <n v="0"/>
    <n v="0"/>
    <n v="0"/>
    <n v="0"/>
    <n v="1"/>
    <n v="0"/>
    <s v="wc"/>
  </r>
  <r>
    <x v="471"/>
    <x v="1"/>
    <x v="3"/>
    <x v="0"/>
    <s v="français"/>
    <x v="2"/>
    <n v="3"/>
    <n v="0"/>
    <n v="0"/>
    <n v="0"/>
    <n v="0"/>
    <n v="0"/>
    <n v="0"/>
    <n v="0"/>
    <n v="1"/>
    <n v="0"/>
    <n v="0"/>
    <n v="0"/>
    <s v="cherche à recharger son téléphone"/>
  </r>
  <r>
    <x v="472"/>
    <x v="2"/>
    <x v="3"/>
    <x v="0"/>
    <s v="français"/>
    <x v="2"/>
    <n v="3"/>
    <n v="0"/>
    <n v="0"/>
    <n v="0"/>
    <n v="0"/>
    <n v="0"/>
    <n v="0"/>
    <n v="0"/>
    <n v="0"/>
    <n v="1"/>
    <n v="0"/>
    <n v="0"/>
    <s v="comment s'inscrire"/>
  </r>
  <r>
    <x v="473"/>
    <x v="2"/>
    <x v="3"/>
    <x v="0"/>
    <s v="anglais"/>
    <x v="2"/>
    <n v="3"/>
    <n v="0"/>
    <n v="0"/>
    <n v="0"/>
    <n v="0"/>
    <n v="0"/>
    <n v="0"/>
    <n v="0"/>
    <n v="0"/>
    <n v="1"/>
    <n v="0"/>
    <n v="0"/>
    <s v="comment faire pour imprimer"/>
  </r>
  <r>
    <x v="474"/>
    <x v="2"/>
    <x v="3"/>
    <x v="0"/>
    <s v="anglais"/>
    <x v="2"/>
    <n v="3"/>
    <n v="0"/>
    <n v="0"/>
    <n v="0"/>
    <n v="0"/>
    <n v="0"/>
    <n v="0"/>
    <n v="0"/>
    <n v="0"/>
    <n v="1"/>
    <n v="0"/>
    <n v="0"/>
    <s v="comment faire pour imprimer"/>
  </r>
  <r>
    <x v="475"/>
    <x v="6"/>
    <x v="3"/>
    <x v="1"/>
    <s v="français"/>
    <x v="2"/>
    <n v="3"/>
    <n v="0"/>
    <n v="0"/>
    <n v="0"/>
    <n v="0"/>
    <n v="0"/>
    <n v="0"/>
    <n v="0"/>
    <n v="0"/>
    <n v="0"/>
    <n v="0"/>
    <n v="1"/>
    <s v="comment citer le copyright pour une photo prise sur le site du CIG ?"/>
  </r>
  <r>
    <x v="476"/>
    <x v="8"/>
    <x v="3"/>
    <x v="0"/>
    <s v="français"/>
    <x v="2"/>
    <n v="3"/>
    <n v="0"/>
    <n v="0"/>
    <n v="0"/>
    <n v="0"/>
    <n v="0"/>
    <n v="0"/>
    <n v="0"/>
    <n v="1"/>
    <n v="0"/>
    <n v="0"/>
    <n v="0"/>
    <m/>
  </r>
  <r>
    <x v="477"/>
    <x v="8"/>
    <x v="3"/>
    <x v="0"/>
    <s v="français"/>
    <x v="2"/>
    <n v="3"/>
    <n v="0"/>
    <n v="0"/>
    <n v="0"/>
    <n v="0"/>
    <n v="0"/>
    <n v="0"/>
    <n v="0"/>
    <n v="1"/>
    <n v="0"/>
    <n v="0"/>
    <n v="0"/>
    <m/>
  </r>
  <r>
    <x v="478"/>
    <x v="8"/>
    <x v="3"/>
    <x v="0"/>
    <s v="français"/>
    <x v="1"/>
    <n v="0.5"/>
    <n v="0"/>
    <n v="0"/>
    <n v="0"/>
    <n v="0"/>
    <n v="0"/>
    <n v="0"/>
    <n v="0"/>
    <n v="0"/>
    <n v="0"/>
    <n v="1"/>
    <n v="0"/>
    <m/>
  </r>
  <r>
    <x v="479"/>
    <x v="8"/>
    <x v="3"/>
    <x v="0"/>
    <s v="français"/>
    <x v="1"/>
    <n v="0.5"/>
    <n v="0"/>
    <n v="0"/>
    <n v="0"/>
    <n v="0"/>
    <n v="0"/>
    <n v="0"/>
    <n v="0"/>
    <n v="0"/>
    <n v="1"/>
    <n v="0"/>
    <n v="0"/>
    <m/>
  </r>
  <r>
    <x v="480"/>
    <x v="8"/>
    <x v="3"/>
    <x v="0"/>
    <s v="français"/>
    <x v="2"/>
    <n v="3"/>
    <n v="1"/>
    <n v="0"/>
    <n v="1"/>
    <n v="0"/>
    <n v="0"/>
    <n v="0"/>
    <n v="0"/>
    <n v="0"/>
    <n v="0"/>
    <n v="0"/>
    <n v="0"/>
    <m/>
  </r>
  <r>
    <x v="481"/>
    <x v="8"/>
    <x v="3"/>
    <x v="0"/>
    <s v="français"/>
    <x v="2"/>
    <n v="3"/>
    <n v="0"/>
    <n v="0"/>
    <n v="0"/>
    <n v="0"/>
    <n v="0"/>
    <n v="0"/>
    <n v="1"/>
    <n v="0"/>
    <n v="0"/>
    <n v="0"/>
    <n v="0"/>
    <m/>
  </r>
  <r>
    <x v="482"/>
    <x v="5"/>
    <x v="4"/>
    <x v="0"/>
    <s v="français"/>
    <x v="1"/>
    <n v="0.5"/>
    <n v="0"/>
    <n v="0"/>
    <n v="0"/>
    <n v="0"/>
    <n v="0"/>
    <n v="0"/>
    <n v="0"/>
    <n v="0"/>
    <n v="0"/>
    <n v="1"/>
    <n v="0"/>
    <m/>
  </r>
  <r>
    <x v="483"/>
    <x v="5"/>
    <x v="4"/>
    <x v="0"/>
    <s v="anglais"/>
    <x v="1"/>
    <n v="0.5"/>
    <n v="0"/>
    <n v="0"/>
    <n v="0"/>
    <n v="0"/>
    <n v="0"/>
    <n v="0"/>
    <n v="0"/>
    <n v="0"/>
    <n v="0"/>
    <n v="1"/>
    <n v="0"/>
    <m/>
  </r>
  <r>
    <x v="484"/>
    <x v="5"/>
    <x v="4"/>
    <x v="0"/>
    <s v="autre"/>
    <x v="1"/>
    <n v="0.5"/>
    <n v="0"/>
    <n v="0"/>
    <n v="0"/>
    <n v="0"/>
    <n v="0"/>
    <n v="0"/>
    <n v="0"/>
    <n v="0"/>
    <n v="0"/>
    <n v="0"/>
    <n v="0"/>
    <m/>
  </r>
  <r>
    <x v="485"/>
    <x v="0"/>
    <x v="4"/>
    <x v="0"/>
    <s v="français"/>
    <x v="2"/>
    <n v="3"/>
    <n v="0"/>
    <n v="0"/>
    <n v="0"/>
    <n v="0"/>
    <n v="0"/>
    <n v="0"/>
    <n v="0"/>
    <n v="1"/>
    <n v="0"/>
    <n v="0"/>
    <n v="0"/>
    <m/>
  </r>
  <r>
    <x v="486"/>
    <x v="0"/>
    <x v="4"/>
    <x v="0"/>
    <s v="anglais"/>
    <x v="0"/>
    <n v="10.5"/>
    <n v="0"/>
    <n v="0"/>
    <n v="0"/>
    <n v="0"/>
    <n v="0"/>
    <n v="0"/>
    <n v="0"/>
    <n v="1"/>
    <n v="0"/>
    <n v="0"/>
    <n v="0"/>
    <m/>
  </r>
  <r>
    <x v="487"/>
    <x v="7"/>
    <x v="4"/>
    <x v="0"/>
    <s v="français"/>
    <x v="1"/>
    <n v="0.5"/>
    <n v="0"/>
    <n v="0"/>
    <n v="0"/>
    <n v="0"/>
    <n v="0"/>
    <n v="0"/>
    <n v="0"/>
    <n v="0"/>
    <n v="1"/>
    <n v="0"/>
    <n v="0"/>
    <m/>
  </r>
  <r>
    <x v="488"/>
    <x v="0"/>
    <x v="5"/>
    <x v="0"/>
    <s v="français"/>
    <x v="2"/>
    <n v="3"/>
    <n v="1"/>
    <n v="0"/>
    <n v="1"/>
    <n v="0"/>
    <n v="0"/>
    <n v="1"/>
    <n v="0"/>
    <n v="0"/>
    <n v="0"/>
    <n v="0"/>
    <n v="0"/>
    <m/>
  </r>
  <r>
    <x v="489"/>
    <x v="0"/>
    <x v="5"/>
    <x v="0"/>
    <s v="français"/>
    <x v="2"/>
    <n v="3"/>
    <n v="0"/>
    <n v="0"/>
    <n v="0"/>
    <n v="0"/>
    <n v="0"/>
    <n v="0"/>
    <n v="1"/>
    <n v="0"/>
    <n v="0"/>
    <n v="0"/>
    <n v="0"/>
    <m/>
  </r>
  <r>
    <x v="490"/>
    <x v="7"/>
    <x v="5"/>
    <x v="0"/>
    <s v="français"/>
    <x v="2"/>
    <n v="3"/>
    <n v="1"/>
    <n v="0"/>
    <n v="1"/>
    <n v="0"/>
    <n v="0"/>
    <n v="1"/>
    <n v="0"/>
    <n v="0"/>
    <n v="0"/>
    <n v="0"/>
    <n v="0"/>
    <m/>
  </r>
  <r>
    <x v="491"/>
    <x v="3"/>
    <x v="5"/>
    <x v="0"/>
    <s v="français"/>
    <x v="0"/>
    <n v="10.5"/>
    <n v="0"/>
    <n v="0"/>
    <n v="0"/>
    <n v="0"/>
    <n v="1"/>
    <n v="0"/>
    <n v="0"/>
    <n v="0"/>
    <n v="0"/>
    <n v="0"/>
    <n v="0"/>
    <m/>
  </r>
  <r>
    <x v="492"/>
    <x v="4"/>
    <x v="5"/>
    <x v="0"/>
    <s v="français"/>
    <x v="1"/>
    <n v="0.5"/>
    <n v="0"/>
    <n v="0"/>
    <n v="0"/>
    <n v="0"/>
    <n v="0"/>
    <n v="0"/>
    <n v="0"/>
    <n v="1"/>
    <n v="0"/>
    <n v="0"/>
    <n v="0"/>
    <m/>
  </r>
  <r>
    <x v="493"/>
    <x v="4"/>
    <x v="5"/>
    <x v="0"/>
    <s v="français"/>
    <x v="3"/>
    <n v="20"/>
    <n v="0"/>
    <n v="0"/>
    <n v="0"/>
    <n v="0"/>
    <n v="0"/>
    <n v="0"/>
    <n v="0"/>
    <n v="1"/>
    <n v="0"/>
    <n v="0"/>
    <n v="0"/>
    <m/>
  </r>
  <r>
    <x v="494"/>
    <x v="4"/>
    <x v="5"/>
    <x v="0"/>
    <s v="français"/>
    <x v="1"/>
    <n v="0.5"/>
    <n v="0"/>
    <n v="0"/>
    <n v="0"/>
    <n v="0"/>
    <n v="0"/>
    <n v="0"/>
    <n v="0"/>
    <n v="1"/>
    <n v="0"/>
    <n v="0"/>
    <n v="0"/>
    <s v="Imprimer une carte recto-verso sur la même page ? =&gt; pas trouvé comment faire"/>
  </r>
  <r>
    <x v="495"/>
    <x v="4"/>
    <x v="5"/>
    <x v="0"/>
    <s v="français"/>
    <x v="1"/>
    <n v="0.5"/>
    <n v="0"/>
    <n v="0"/>
    <n v="0"/>
    <n v="0"/>
    <n v="0"/>
    <n v="0"/>
    <n v="0"/>
    <n v="0"/>
    <n v="0"/>
    <n v="1"/>
    <n v="0"/>
    <s v="Manuscrits"/>
  </r>
  <r>
    <x v="496"/>
    <x v="4"/>
    <x v="5"/>
    <x v="0"/>
    <s v="français"/>
    <x v="2"/>
    <n v="3"/>
    <n v="0"/>
    <n v="1"/>
    <n v="0"/>
    <n v="0"/>
    <n v="0"/>
    <n v="0"/>
    <n v="0"/>
    <n v="0"/>
    <n v="0"/>
    <n v="0"/>
    <n v="0"/>
    <s v="Droits fondamentaux, cour européenne de Strasbourg"/>
  </r>
  <r>
    <x v="497"/>
    <x v="1"/>
    <x v="5"/>
    <x v="0"/>
    <s v="anglais"/>
    <x v="1"/>
    <n v="0.5"/>
    <n v="0"/>
    <n v="0"/>
    <n v="0"/>
    <n v="0"/>
    <n v="0"/>
    <n v="0"/>
    <n v="0"/>
    <n v="0"/>
    <n v="1"/>
    <n v="0"/>
    <n v="0"/>
    <m/>
  </r>
  <r>
    <x v="498"/>
    <x v="2"/>
    <x v="5"/>
    <x v="0"/>
    <s v="français"/>
    <x v="2"/>
    <n v="3"/>
    <n v="0"/>
    <n v="0"/>
    <n v="0"/>
    <n v="0"/>
    <n v="0"/>
    <n v="0"/>
    <n v="1"/>
    <n v="0"/>
    <n v="0"/>
    <n v="0"/>
    <n v="0"/>
    <m/>
  </r>
  <r>
    <x v="499"/>
    <x v="2"/>
    <x v="5"/>
    <x v="0"/>
    <s v="français"/>
    <x v="1"/>
    <n v="0.5"/>
    <n v="0"/>
    <n v="0"/>
    <n v="0"/>
    <n v="0"/>
    <n v="0"/>
    <n v="0"/>
    <n v="0"/>
    <n v="0"/>
    <n v="0"/>
    <n v="0"/>
    <n v="1"/>
    <s v="Change pour machine à café"/>
  </r>
  <r>
    <x v="500"/>
    <x v="2"/>
    <x v="5"/>
    <x v="0"/>
    <s v="français"/>
    <x v="2"/>
    <n v="3"/>
    <n v="0"/>
    <n v="0"/>
    <n v="0"/>
    <n v="0"/>
    <n v="0"/>
    <n v="0"/>
    <n v="0"/>
    <n v="1"/>
    <n v="0"/>
    <n v="0"/>
    <n v="0"/>
    <s v="Impressions"/>
  </r>
  <r>
    <x v="501"/>
    <x v="2"/>
    <x v="5"/>
    <x v="0"/>
    <s v="français"/>
    <x v="0"/>
    <n v="10.5"/>
    <n v="0"/>
    <n v="0"/>
    <n v="0"/>
    <n v="0"/>
    <n v="1"/>
    <n v="0"/>
    <n v="0"/>
    <n v="0"/>
    <n v="0"/>
    <n v="0"/>
    <n v="0"/>
    <m/>
  </r>
  <r>
    <x v="502"/>
    <x v="6"/>
    <x v="5"/>
    <x v="0"/>
    <s v="français"/>
    <x v="0"/>
    <n v="10.5"/>
    <n v="0"/>
    <n v="1"/>
    <n v="1"/>
    <n v="0"/>
    <n v="0"/>
    <n v="0"/>
    <n v="0"/>
    <n v="0"/>
    <n v="0"/>
    <n v="0"/>
    <n v="1"/>
    <s v="aux BM, Lise Boourbeau, développement personnel"/>
  </r>
  <r>
    <x v="503"/>
    <x v="6"/>
    <x v="5"/>
    <x v="0"/>
    <s v="français"/>
    <x v="0"/>
    <n v="10.5"/>
    <n v="1"/>
    <n v="0"/>
    <n v="1"/>
    <n v="0"/>
    <n v="0"/>
    <n v="1"/>
    <n v="0"/>
    <n v="0"/>
    <n v="0"/>
    <n v="0"/>
    <n v="0"/>
    <m/>
  </r>
  <r>
    <x v="504"/>
    <x v="6"/>
    <x v="5"/>
    <x v="0"/>
    <s v="français"/>
    <x v="3"/>
    <n v="20"/>
    <n v="0"/>
    <n v="1"/>
    <n v="1"/>
    <n v="0"/>
    <n v="0"/>
    <n v="0"/>
    <n v="0"/>
    <n v="0"/>
    <n v="0"/>
    <n v="0"/>
    <n v="0"/>
    <m/>
  </r>
  <r>
    <x v="505"/>
    <x v="8"/>
    <x v="5"/>
    <x v="0"/>
    <s v="français"/>
    <x v="1"/>
    <n v="0.5"/>
    <n v="0"/>
    <n v="0"/>
    <n v="0"/>
    <n v="0"/>
    <n v="0"/>
    <n v="0"/>
    <n v="0"/>
    <n v="0"/>
    <n v="0"/>
    <n v="1"/>
    <n v="0"/>
    <m/>
  </r>
  <r>
    <x v="506"/>
    <x v="8"/>
    <x v="5"/>
    <x v="0"/>
    <s v="français"/>
    <x v="2"/>
    <n v="3"/>
    <n v="0"/>
    <n v="0"/>
    <n v="0"/>
    <n v="0"/>
    <n v="0"/>
    <n v="0"/>
    <n v="0"/>
    <n v="1"/>
    <n v="0"/>
    <n v="0"/>
    <n v="0"/>
    <m/>
  </r>
  <r>
    <x v="507"/>
    <x v="3"/>
    <x v="0"/>
    <x v="0"/>
    <s v="français"/>
    <x v="1"/>
    <n v="0.5"/>
    <n v="0"/>
    <n v="0"/>
    <n v="0"/>
    <n v="0"/>
    <n v="0"/>
    <n v="1"/>
    <n v="0"/>
    <n v="0"/>
    <n v="0"/>
    <n v="0"/>
    <n v="0"/>
    <s v="Où est le formulaire du PEB sur Swisscovery ?"/>
  </r>
  <r>
    <x v="508"/>
    <x v="8"/>
    <x v="0"/>
    <x v="0"/>
    <s v="français"/>
    <x v="2"/>
    <n v="3"/>
    <n v="0"/>
    <n v="0"/>
    <n v="0"/>
    <n v="0"/>
    <n v="1"/>
    <n v="0"/>
    <n v="0"/>
    <n v="0"/>
    <n v="0"/>
    <n v="0"/>
    <n v="0"/>
    <m/>
  </r>
  <r>
    <x v="509"/>
    <x v="8"/>
    <x v="0"/>
    <x v="0"/>
    <s v="français"/>
    <x v="2"/>
    <n v="3"/>
    <n v="0"/>
    <n v="0"/>
    <n v="0"/>
    <n v="0"/>
    <n v="1"/>
    <n v="0"/>
    <n v="0"/>
    <n v="0"/>
    <n v="0"/>
    <n v="0"/>
    <n v="0"/>
    <m/>
  </r>
  <r>
    <x v="510"/>
    <x v="8"/>
    <x v="0"/>
    <x v="0"/>
    <s v="français"/>
    <x v="2"/>
    <n v="3"/>
    <n v="0"/>
    <n v="0"/>
    <n v="0"/>
    <n v="0"/>
    <n v="0"/>
    <n v="0"/>
    <n v="1"/>
    <n v="0"/>
    <n v="0"/>
    <n v="0"/>
    <n v="0"/>
    <m/>
  </r>
  <r>
    <x v="511"/>
    <x v="8"/>
    <x v="0"/>
    <x v="0"/>
    <s v="français"/>
    <x v="1"/>
    <n v="0.5"/>
    <n v="0"/>
    <n v="0"/>
    <n v="0"/>
    <n v="0"/>
    <n v="0"/>
    <n v="0"/>
    <n v="0"/>
    <n v="0"/>
    <n v="0"/>
    <n v="1"/>
    <n v="0"/>
    <m/>
  </r>
  <r>
    <x v="512"/>
    <x v="8"/>
    <x v="0"/>
    <x v="0"/>
    <s v="français"/>
    <x v="2"/>
    <n v="3"/>
    <n v="0"/>
    <n v="0"/>
    <n v="0"/>
    <n v="0"/>
    <n v="0"/>
    <n v="0"/>
    <n v="0"/>
    <n v="1"/>
    <n v="0"/>
    <n v="0"/>
    <n v="0"/>
    <m/>
  </r>
  <r>
    <x v="513"/>
    <x v="8"/>
    <x v="0"/>
    <x v="1"/>
    <s v="français"/>
    <x v="1"/>
    <n v="0.5"/>
    <n v="0"/>
    <n v="0"/>
    <n v="0"/>
    <n v="0"/>
    <n v="0"/>
    <n v="0"/>
    <n v="0"/>
    <n v="0"/>
    <n v="0"/>
    <n v="0"/>
    <n v="0"/>
    <m/>
  </r>
  <r>
    <x v="514"/>
    <x v="8"/>
    <x v="0"/>
    <x v="0"/>
    <s v="français"/>
    <x v="2"/>
    <n v="3"/>
    <n v="1"/>
    <n v="0"/>
    <n v="0"/>
    <n v="0"/>
    <n v="0"/>
    <n v="0"/>
    <n v="0"/>
    <n v="0"/>
    <n v="0"/>
    <n v="0"/>
    <n v="0"/>
    <m/>
  </r>
  <r>
    <x v="515"/>
    <x v="0"/>
    <x v="1"/>
    <x v="0"/>
    <s v="anglais"/>
    <x v="2"/>
    <n v="3"/>
    <n v="0"/>
    <n v="0"/>
    <n v="0"/>
    <n v="0"/>
    <n v="0"/>
    <n v="0"/>
    <n v="1"/>
    <n v="0"/>
    <n v="0"/>
    <n v="0"/>
    <n v="0"/>
    <m/>
  </r>
  <r>
    <x v="516"/>
    <x v="0"/>
    <x v="1"/>
    <x v="0"/>
    <s v="français"/>
    <x v="0"/>
    <n v="10.5"/>
    <n v="1"/>
    <n v="0"/>
    <n v="1"/>
    <n v="0"/>
    <n v="0"/>
    <n v="1"/>
    <n v="0"/>
    <n v="0"/>
    <n v="0"/>
    <n v="0"/>
    <n v="0"/>
    <m/>
  </r>
  <r>
    <x v="517"/>
    <x v="7"/>
    <x v="1"/>
    <x v="0"/>
    <s v="anglais"/>
    <x v="0"/>
    <n v="10.5"/>
    <n v="0"/>
    <n v="0"/>
    <n v="1"/>
    <n v="0"/>
    <n v="1"/>
    <n v="0"/>
    <n v="0"/>
    <n v="0"/>
    <n v="0"/>
    <n v="0"/>
    <n v="0"/>
    <m/>
  </r>
  <r>
    <x v="518"/>
    <x v="4"/>
    <x v="1"/>
    <x v="1"/>
    <s v="anglais"/>
    <x v="2"/>
    <n v="3"/>
    <n v="0"/>
    <n v="0"/>
    <n v="0"/>
    <n v="0"/>
    <n v="0"/>
    <n v="0"/>
    <n v="0"/>
    <n v="0"/>
    <n v="0"/>
    <n v="0"/>
    <n v="1"/>
    <s v="Evaluation de la valeur de livres anciens"/>
  </r>
  <r>
    <x v="519"/>
    <x v="1"/>
    <x v="1"/>
    <x v="1"/>
    <s v="français"/>
    <x v="0"/>
    <n v="10.5"/>
    <n v="1"/>
    <n v="0"/>
    <n v="1"/>
    <n v="0"/>
    <n v="0"/>
    <n v="1"/>
    <n v="0"/>
    <n v="0"/>
    <n v="0"/>
    <n v="0"/>
    <n v="0"/>
    <m/>
  </r>
  <r>
    <x v="520"/>
    <x v="1"/>
    <x v="1"/>
    <x v="1"/>
    <s v="français"/>
    <x v="2"/>
    <n v="3"/>
    <n v="0"/>
    <n v="0"/>
    <n v="0"/>
    <n v="0"/>
    <n v="0"/>
    <n v="0"/>
    <n v="0"/>
    <n v="0"/>
    <n v="1"/>
    <n v="0"/>
    <n v="0"/>
    <m/>
  </r>
  <r>
    <x v="521"/>
    <x v="0"/>
    <x v="3"/>
    <x v="0"/>
    <s v="anglais"/>
    <x v="1"/>
    <n v="0.5"/>
    <n v="0"/>
    <n v="0"/>
    <n v="0"/>
    <n v="0"/>
    <n v="0"/>
    <n v="0"/>
    <n v="1"/>
    <n v="0"/>
    <n v="0"/>
    <n v="0"/>
    <n v="0"/>
    <m/>
  </r>
  <r>
    <x v="522"/>
    <x v="0"/>
    <x v="3"/>
    <x v="0"/>
    <s v="français"/>
    <x v="1"/>
    <n v="0.5"/>
    <n v="0"/>
    <n v="0"/>
    <n v="0"/>
    <n v="0"/>
    <n v="0"/>
    <n v="0"/>
    <n v="1"/>
    <n v="0"/>
    <n v="0"/>
    <n v="0"/>
    <n v="0"/>
    <m/>
  </r>
  <r>
    <x v="523"/>
    <x v="3"/>
    <x v="3"/>
    <x v="0"/>
    <s v="français"/>
    <x v="1"/>
    <n v="0.5"/>
    <n v="0"/>
    <n v="0"/>
    <n v="0"/>
    <n v="0"/>
    <n v="0"/>
    <n v="0"/>
    <n v="1"/>
    <n v="0"/>
    <n v="0"/>
    <n v="0"/>
    <n v="0"/>
    <m/>
  </r>
  <r>
    <x v="524"/>
    <x v="3"/>
    <x v="3"/>
    <x v="0"/>
    <s v="français"/>
    <x v="0"/>
    <n v="10.5"/>
    <n v="0"/>
    <n v="0"/>
    <n v="0"/>
    <n v="0"/>
    <n v="0"/>
    <n v="0"/>
    <n v="0"/>
    <n v="0"/>
    <n v="0"/>
    <n v="0"/>
    <n v="1"/>
    <s v="Personne très mécontente qui venait pour une expo qui était aux Archives d'Etat... Elle a confondu les lieux "/>
  </r>
  <r>
    <x v="525"/>
    <x v="3"/>
    <x v="3"/>
    <x v="0"/>
    <s v="français"/>
    <x v="0"/>
    <n v="10.5"/>
    <n v="0"/>
    <n v="0"/>
    <n v="0"/>
    <n v="0"/>
    <n v="1"/>
    <n v="0"/>
    <n v="0"/>
    <n v="0"/>
    <n v="1"/>
    <n v="0"/>
    <n v="0"/>
    <m/>
  </r>
  <r>
    <x v="526"/>
    <x v="3"/>
    <x v="3"/>
    <x v="0"/>
    <s v="français"/>
    <x v="2"/>
    <n v="3"/>
    <n v="1"/>
    <n v="0"/>
    <n v="1"/>
    <n v="0"/>
    <n v="0"/>
    <n v="0"/>
    <n v="0"/>
    <n v="0"/>
    <n v="0"/>
    <n v="0"/>
    <n v="0"/>
    <m/>
  </r>
  <r>
    <x v="527"/>
    <x v="1"/>
    <x v="3"/>
    <x v="0"/>
    <s v="français"/>
    <x v="0"/>
    <n v="10.5"/>
    <n v="0"/>
    <n v="0"/>
    <n v="0"/>
    <n v="0"/>
    <n v="1"/>
    <n v="0"/>
    <n v="0"/>
    <n v="0"/>
    <n v="0"/>
    <n v="0"/>
    <n v="0"/>
    <m/>
  </r>
  <r>
    <x v="528"/>
    <x v="1"/>
    <x v="3"/>
    <x v="0"/>
    <s v="anglais"/>
    <x v="2"/>
    <n v="3"/>
    <n v="0"/>
    <n v="0"/>
    <n v="0"/>
    <n v="0"/>
    <n v="0"/>
    <n v="0"/>
    <n v="1"/>
    <n v="0"/>
    <n v="0"/>
    <n v="0"/>
    <n v="0"/>
    <m/>
  </r>
  <r>
    <x v="529"/>
    <x v="1"/>
    <x v="3"/>
    <x v="0"/>
    <s v="anglais"/>
    <x v="2"/>
    <n v="3"/>
    <n v="0"/>
    <n v="0"/>
    <n v="0"/>
    <n v="0"/>
    <n v="0"/>
    <n v="0"/>
    <n v="1"/>
    <n v="0"/>
    <n v="0"/>
    <n v="0"/>
    <n v="0"/>
    <m/>
  </r>
  <r>
    <x v="530"/>
    <x v="1"/>
    <x v="3"/>
    <x v="0"/>
    <s v="français"/>
    <x v="0"/>
    <n v="10.5"/>
    <n v="1"/>
    <n v="0"/>
    <n v="1"/>
    <n v="0"/>
    <n v="0"/>
    <n v="0"/>
    <n v="0"/>
    <n v="0"/>
    <n v="0"/>
    <n v="0"/>
    <n v="0"/>
    <s v="aide pour un PEB"/>
  </r>
  <r>
    <x v="531"/>
    <x v="1"/>
    <x v="3"/>
    <x v="0"/>
    <s v="français"/>
    <x v="0"/>
    <n v="10.5"/>
    <n v="0"/>
    <n v="0"/>
    <n v="1"/>
    <n v="0"/>
    <n v="1"/>
    <n v="0"/>
    <n v="0"/>
    <n v="0"/>
    <n v="0"/>
    <n v="0"/>
    <n v="0"/>
    <m/>
  </r>
  <r>
    <x v="532"/>
    <x v="2"/>
    <x v="3"/>
    <x v="0"/>
    <s v="anglais"/>
    <x v="2"/>
    <n v="3"/>
    <n v="0"/>
    <n v="0"/>
    <n v="0"/>
    <n v="0"/>
    <n v="0"/>
    <n v="0"/>
    <n v="0"/>
    <n v="1"/>
    <n v="0"/>
    <n v="0"/>
    <n v="1"/>
    <s v="problème pour avoir le wifi"/>
  </r>
  <r>
    <x v="533"/>
    <x v="2"/>
    <x v="3"/>
    <x v="0"/>
    <s v="français"/>
    <x v="2"/>
    <n v="3"/>
    <n v="1"/>
    <n v="0"/>
    <n v="1"/>
    <n v="0"/>
    <n v="0"/>
    <n v="0"/>
    <n v="0"/>
    <n v="0"/>
    <n v="0"/>
    <n v="0"/>
    <n v="0"/>
    <m/>
  </r>
  <r>
    <x v="534"/>
    <x v="6"/>
    <x v="3"/>
    <x v="0"/>
    <s v="français"/>
    <x v="1"/>
    <n v="0.5"/>
    <n v="0"/>
    <n v="0"/>
    <n v="0"/>
    <n v="0"/>
    <n v="0"/>
    <n v="0"/>
    <n v="0"/>
    <n v="0"/>
    <n v="0"/>
    <n v="0"/>
    <n v="1"/>
    <s v="agrafeuse"/>
  </r>
  <r>
    <x v="535"/>
    <x v="6"/>
    <x v="3"/>
    <x v="0"/>
    <s v="français"/>
    <x v="2"/>
    <n v="3"/>
    <n v="0"/>
    <n v="0"/>
    <n v="1"/>
    <n v="0"/>
    <n v="1"/>
    <n v="0"/>
    <n v="0"/>
    <n v="0"/>
    <n v="0"/>
    <n v="0"/>
    <n v="0"/>
    <s v="n'a pas abouti"/>
  </r>
  <r>
    <x v="536"/>
    <x v="8"/>
    <x v="3"/>
    <x v="0"/>
    <s v="français"/>
    <x v="2"/>
    <n v="3"/>
    <n v="0"/>
    <n v="0"/>
    <n v="0"/>
    <n v="0"/>
    <n v="1"/>
    <n v="0"/>
    <n v="0"/>
    <n v="0"/>
    <n v="0"/>
    <n v="0"/>
    <n v="0"/>
    <m/>
  </r>
  <r>
    <x v="537"/>
    <x v="8"/>
    <x v="3"/>
    <x v="0"/>
    <s v="français"/>
    <x v="2"/>
    <n v="3"/>
    <n v="0"/>
    <n v="0"/>
    <n v="0"/>
    <n v="0"/>
    <n v="0"/>
    <n v="0"/>
    <n v="0"/>
    <n v="0"/>
    <n v="1"/>
    <n v="0"/>
    <n v="0"/>
    <m/>
  </r>
  <r>
    <x v="538"/>
    <x v="8"/>
    <x v="3"/>
    <x v="1"/>
    <s v="français"/>
    <x v="2"/>
    <n v="3"/>
    <n v="1"/>
    <n v="0"/>
    <n v="0"/>
    <n v="0"/>
    <n v="0"/>
    <n v="0"/>
    <n v="0"/>
    <n v="0"/>
    <n v="0"/>
    <n v="0"/>
    <n v="0"/>
    <m/>
  </r>
  <r>
    <x v="539"/>
    <x v="8"/>
    <x v="3"/>
    <x v="0"/>
    <s v="français"/>
    <x v="2"/>
    <n v="3"/>
    <n v="0"/>
    <n v="0"/>
    <n v="0"/>
    <n v="0"/>
    <n v="0"/>
    <n v="0"/>
    <n v="0"/>
    <n v="1"/>
    <n v="0"/>
    <n v="0"/>
    <n v="0"/>
    <m/>
  </r>
  <r>
    <x v="540"/>
    <x v="3"/>
    <x v="5"/>
    <x v="0"/>
    <s v="français"/>
    <x v="0"/>
    <n v="10.5"/>
    <n v="0"/>
    <n v="0"/>
    <n v="0"/>
    <n v="0"/>
    <n v="1"/>
    <n v="0"/>
    <n v="0"/>
    <n v="0"/>
    <n v="0"/>
    <n v="0"/>
    <n v="0"/>
    <m/>
  </r>
  <r>
    <x v="541"/>
    <x v="3"/>
    <x v="5"/>
    <x v="0"/>
    <s v="français"/>
    <x v="1"/>
    <n v="0.5"/>
    <n v="0"/>
    <n v="0"/>
    <n v="0"/>
    <n v="0"/>
    <n v="0"/>
    <n v="0"/>
    <n v="0"/>
    <n v="0"/>
    <n v="0"/>
    <n v="1"/>
    <n v="0"/>
    <m/>
  </r>
  <r>
    <x v="542"/>
    <x v="4"/>
    <x v="5"/>
    <x v="0"/>
    <s v="français"/>
    <x v="0"/>
    <n v="10.5"/>
    <n v="0"/>
    <n v="1"/>
    <n v="0"/>
    <n v="0"/>
    <n v="1"/>
    <n v="0"/>
    <n v="0"/>
    <n v="0"/>
    <n v="0"/>
    <n v="0"/>
    <n v="0"/>
    <m/>
  </r>
  <r>
    <x v="543"/>
    <x v="1"/>
    <x v="5"/>
    <x v="0"/>
    <s v="français"/>
    <x v="2"/>
    <n v="3"/>
    <n v="1"/>
    <n v="0"/>
    <n v="0"/>
    <n v="0"/>
    <n v="0"/>
    <n v="0"/>
    <n v="0"/>
    <n v="0"/>
    <n v="0"/>
    <n v="0"/>
    <n v="0"/>
    <m/>
  </r>
  <r>
    <x v="544"/>
    <x v="1"/>
    <x v="5"/>
    <x v="0"/>
    <s v="français"/>
    <x v="1"/>
    <n v="0.5"/>
    <n v="0"/>
    <n v="0"/>
    <n v="0"/>
    <n v="0"/>
    <n v="0"/>
    <n v="0"/>
    <n v="0"/>
    <n v="0"/>
    <n v="0"/>
    <n v="1"/>
    <n v="0"/>
    <s v="Salle des périodiques"/>
  </r>
  <r>
    <x v="545"/>
    <x v="2"/>
    <x v="5"/>
    <x v="0"/>
    <s v="anglais"/>
    <x v="3"/>
    <n v="20"/>
    <n v="0"/>
    <n v="0"/>
    <n v="0"/>
    <n v="0"/>
    <n v="1"/>
    <n v="0"/>
    <n v="0"/>
    <n v="0"/>
    <n v="0"/>
    <n v="0"/>
    <n v="0"/>
    <s v="Manuscrits et anciennes éditions d'Avicenne"/>
  </r>
  <r>
    <x v="546"/>
    <x v="2"/>
    <x v="5"/>
    <x v="0"/>
    <s v="français"/>
    <x v="2"/>
    <n v="3"/>
    <n v="0"/>
    <n v="0"/>
    <n v="0"/>
    <n v="0"/>
    <n v="0"/>
    <n v="0"/>
    <n v="1"/>
    <n v="0"/>
    <n v="0"/>
    <n v="0"/>
    <n v="0"/>
    <m/>
  </r>
  <r>
    <x v="547"/>
    <x v="2"/>
    <x v="5"/>
    <x v="0"/>
    <s v="français"/>
    <x v="0"/>
    <n v="10.5"/>
    <n v="0"/>
    <n v="0"/>
    <n v="0"/>
    <n v="0"/>
    <n v="0"/>
    <n v="0"/>
    <n v="0"/>
    <n v="0"/>
    <n v="0"/>
    <n v="0"/>
    <n v="1"/>
    <s v="logiciel pour faire un inventaire de bibliothèque =&gt; Koha, PMB..."/>
  </r>
  <r>
    <x v="548"/>
    <x v="2"/>
    <x v="5"/>
    <x v="0"/>
    <s v="français"/>
    <x v="2"/>
    <n v="3"/>
    <n v="1"/>
    <n v="0"/>
    <n v="0"/>
    <n v="0"/>
    <n v="0"/>
    <n v="0"/>
    <n v="0"/>
    <n v="0"/>
    <n v="0"/>
    <n v="0"/>
    <n v="0"/>
    <s v="Numéro précédent de Bilan =&gt; à commander"/>
  </r>
  <r>
    <x v="549"/>
    <x v="6"/>
    <x v="5"/>
    <x v="0"/>
    <s v="français"/>
    <x v="0"/>
    <n v="10.5"/>
    <n v="0"/>
    <n v="1"/>
    <n v="0"/>
    <n v="0"/>
    <n v="1"/>
    <n v="0"/>
    <n v="0"/>
    <n v="0"/>
    <n v="0"/>
    <n v="0"/>
    <n v="0"/>
    <m/>
  </r>
  <r>
    <x v="550"/>
    <x v="8"/>
    <x v="5"/>
    <x v="0"/>
    <s v="français"/>
    <x v="0"/>
    <n v="10.5"/>
    <n v="0"/>
    <n v="0"/>
    <n v="0"/>
    <n v="0"/>
    <n v="1"/>
    <n v="0"/>
    <n v="0"/>
    <n v="0"/>
    <n v="0"/>
    <n v="0"/>
    <n v="0"/>
    <m/>
  </r>
  <r>
    <x v="551"/>
    <x v="8"/>
    <x v="5"/>
    <x v="0"/>
    <s v="français"/>
    <x v="0"/>
    <n v="10.5"/>
    <n v="1"/>
    <n v="0"/>
    <n v="1"/>
    <n v="0"/>
    <n v="0"/>
    <n v="0"/>
    <n v="0"/>
    <n v="0"/>
    <n v="0"/>
    <n v="0"/>
    <n v="0"/>
    <m/>
  </r>
  <r>
    <x v="552"/>
    <x v="8"/>
    <x v="5"/>
    <x v="0"/>
    <s v="français"/>
    <x v="0"/>
    <n v="10.5"/>
    <n v="1"/>
    <n v="0"/>
    <n v="1"/>
    <n v="1"/>
    <n v="0"/>
    <n v="0"/>
    <n v="0"/>
    <n v="0"/>
    <n v="0"/>
    <n v="0"/>
    <n v="0"/>
    <m/>
  </r>
  <r>
    <x v="553"/>
    <x v="8"/>
    <x v="5"/>
    <x v="0"/>
    <s v="français"/>
    <x v="0"/>
    <n v="10.5"/>
    <n v="0"/>
    <n v="0"/>
    <n v="0"/>
    <n v="0"/>
    <n v="0"/>
    <n v="0"/>
    <n v="0"/>
    <n v="0"/>
    <n v="1"/>
    <n v="0"/>
    <n v="0"/>
    <m/>
  </r>
  <r>
    <x v="554"/>
    <x v="3"/>
    <x v="0"/>
    <x v="0"/>
    <s v="français"/>
    <x v="0"/>
    <n v="10.5"/>
    <n v="1"/>
    <n v="0"/>
    <n v="1"/>
    <n v="0"/>
    <n v="0"/>
    <n v="0"/>
    <n v="1"/>
    <n v="0"/>
    <n v="1"/>
    <n v="0"/>
    <n v="0"/>
    <s v="Consulter des anciens n° du Monde"/>
  </r>
  <r>
    <x v="555"/>
    <x v="3"/>
    <x v="0"/>
    <x v="0"/>
    <s v="français"/>
    <x v="2"/>
    <n v="3"/>
    <n v="0"/>
    <n v="0"/>
    <n v="0"/>
    <n v="0"/>
    <n v="0"/>
    <n v="0"/>
    <n v="1"/>
    <n v="0"/>
    <n v="0"/>
    <n v="0"/>
    <n v="0"/>
    <m/>
  </r>
  <r>
    <x v="556"/>
    <x v="4"/>
    <x v="0"/>
    <x v="0"/>
    <s v="français"/>
    <x v="2"/>
    <n v="3"/>
    <n v="0"/>
    <n v="0"/>
    <n v="0"/>
    <n v="0"/>
    <n v="0"/>
    <n v="0"/>
    <n v="0"/>
    <n v="1"/>
    <n v="0"/>
    <n v="0"/>
    <n v="1"/>
    <s v="Impression document"/>
  </r>
  <r>
    <x v="557"/>
    <x v="1"/>
    <x v="0"/>
    <x v="0"/>
    <s v="français"/>
    <x v="2"/>
    <n v="3"/>
    <n v="0"/>
    <n v="0"/>
    <n v="0"/>
    <n v="0"/>
    <n v="0"/>
    <n v="0"/>
    <n v="0"/>
    <n v="1"/>
    <n v="0"/>
    <n v="0"/>
    <n v="0"/>
    <m/>
  </r>
  <r>
    <x v="558"/>
    <x v="1"/>
    <x v="0"/>
    <x v="0"/>
    <s v="français"/>
    <x v="2"/>
    <n v="3"/>
    <n v="0"/>
    <n v="0"/>
    <n v="0"/>
    <n v="0"/>
    <n v="0"/>
    <n v="0"/>
    <n v="0"/>
    <n v="1"/>
    <n v="0"/>
    <n v="0"/>
    <n v="0"/>
    <m/>
  </r>
  <r>
    <x v="559"/>
    <x v="1"/>
    <x v="0"/>
    <x v="0"/>
    <s v="français"/>
    <x v="2"/>
    <n v="3"/>
    <n v="0"/>
    <n v="0"/>
    <n v="0"/>
    <n v="0"/>
    <n v="0"/>
    <n v="0"/>
    <n v="0"/>
    <n v="1"/>
    <n v="0"/>
    <n v="0"/>
    <n v="0"/>
    <m/>
  </r>
  <r>
    <x v="560"/>
    <x v="2"/>
    <x v="0"/>
    <x v="0"/>
    <s v="français"/>
    <x v="2"/>
    <n v="3"/>
    <n v="0"/>
    <n v="0"/>
    <n v="0"/>
    <n v="0"/>
    <n v="0"/>
    <n v="0"/>
    <n v="0"/>
    <n v="1"/>
    <n v="0"/>
    <n v="0"/>
    <n v="0"/>
    <m/>
  </r>
  <r>
    <x v="561"/>
    <x v="8"/>
    <x v="0"/>
    <x v="0"/>
    <s v="français"/>
    <x v="2"/>
    <n v="3"/>
    <n v="0"/>
    <n v="0"/>
    <n v="0"/>
    <n v="0"/>
    <n v="0"/>
    <n v="0"/>
    <n v="1"/>
    <n v="0"/>
    <n v="0"/>
    <n v="0"/>
    <n v="0"/>
    <m/>
  </r>
  <r>
    <x v="562"/>
    <x v="8"/>
    <x v="0"/>
    <x v="0"/>
    <s v="français"/>
    <x v="1"/>
    <n v="0.5"/>
    <n v="0"/>
    <n v="0"/>
    <n v="0"/>
    <n v="0"/>
    <n v="0"/>
    <n v="0"/>
    <n v="0"/>
    <n v="0"/>
    <n v="1"/>
    <n v="0"/>
    <n v="0"/>
    <m/>
  </r>
  <r>
    <x v="563"/>
    <x v="8"/>
    <x v="0"/>
    <x v="0"/>
    <s v="français"/>
    <x v="2"/>
    <n v="3"/>
    <n v="0"/>
    <n v="0"/>
    <n v="1"/>
    <n v="0"/>
    <n v="0"/>
    <n v="0"/>
    <n v="0"/>
    <n v="0"/>
    <n v="0"/>
    <n v="0"/>
    <n v="0"/>
    <m/>
  </r>
  <r>
    <x v="564"/>
    <x v="8"/>
    <x v="0"/>
    <x v="0"/>
    <s v="français"/>
    <x v="1"/>
    <n v="0.5"/>
    <n v="0"/>
    <n v="0"/>
    <n v="0"/>
    <n v="0"/>
    <n v="0"/>
    <n v="0"/>
    <n v="0"/>
    <n v="0"/>
    <n v="1"/>
    <n v="0"/>
    <n v="0"/>
    <m/>
  </r>
  <r>
    <x v="565"/>
    <x v="8"/>
    <x v="0"/>
    <x v="0"/>
    <s v="français"/>
    <x v="1"/>
    <n v="0.5"/>
    <n v="0"/>
    <n v="0"/>
    <n v="0"/>
    <n v="0"/>
    <n v="0"/>
    <n v="0"/>
    <n v="0"/>
    <n v="0"/>
    <n v="0"/>
    <n v="0"/>
    <n v="1"/>
    <m/>
  </r>
  <r>
    <x v="566"/>
    <x v="0"/>
    <x v="1"/>
    <x v="0"/>
    <s v="français"/>
    <x v="0"/>
    <n v="10.5"/>
    <n v="0"/>
    <n v="0"/>
    <n v="1"/>
    <n v="0"/>
    <n v="1"/>
    <n v="0"/>
    <n v="0"/>
    <n v="0"/>
    <n v="0"/>
    <n v="0"/>
    <n v="0"/>
    <m/>
  </r>
  <r>
    <x v="567"/>
    <x v="0"/>
    <x v="1"/>
    <x v="0"/>
    <s v="anglais"/>
    <x v="1"/>
    <n v="0.5"/>
    <n v="0"/>
    <n v="0"/>
    <n v="0"/>
    <n v="0"/>
    <n v="0"/>
    <n v="0"/>
    <n v="0"/>
    <n v="1"/>
    <n v="1"/>
    <n v="0"/>
    <n v="0"/>
    <m/>
  </r>
  <r>
    <x v="568"/>
    <x v="1"/>
    <x v="1"/>
    <x v="0"/>
    <s v="français"/>
    <x v="0"/>
    <n v="10.5"/>
    <n v="0"/>
    <n v="0"/>
    <n v="0"/>
    <n v="0"/>
    <n v="0"/>
    <n v="0"/>
    <n v="0"/>
    <n v="0"/>
    <n v="1"/>
    <n v="0"/>
    <n v="0"/>
    <m/>
  </r>
  <r>
    <x v="569"/>
    <x v="1"/>
    <x v="1"/>
    <x v="0"/>
    <s v="anglais"/>
    <x v="1"/>
    <n v="0.5"/>
    <n v="0"/>
    <n v="0"/>
    <n v="0"/>
    <n v="0"/>
    <n v="0"/>
    <n v="0"/>
    <n v="0"/>
    <n v="0"/>
    <n v="1"/>
    <n v="0"/>
    <n v="0"/>
    <m/>
  </r>
  <r>
    <x v="570"/>
    <x v="8"/>
    <x v="1"/>
    <x v="0"/>
    <s v="français"/>
    <x v="2"/>
    <n v="3"/>
    <n v="1"/>
    <n v="0"/>
    <n v="1"/>
    <n v="0"/>
    <n v="0"/>
    <n v="0"/>
    <n v="0"/>
    <n v="0"/>
    <n v="0"/>
    <n v="0"/>
    <n v="0"/>
    <m/>
  </r>
  <r>
    <x v="571"/>
    <x v="8"/>
    <x v="1"/>
    <x v="0"/>
    <s v="français"/>
    <x v="2"/>
    <n v="3"/>
    <n v="0"/>
    <n v="0"/>
    <n v="0"/>
    <n v="0"/>
    <n v="1"/>
    <n v="0"/>
    <n v="0"/>
    <n v="0"/>
    <n v="0"/>
    <n v="0"/>
    <n v="0"/>
    <m/>
  </r>
  <r>
    <x v="572"/>
    <x v="8"/>
    <x v="1"/>
    <x v="0"/>
    <s v="français"/>
    <x v="1"/>
    <n v="0.5"/>
    <n v="0"/>
    <n v="0"/>
    <n v="0"/>
    <n v="0"/>
    <n v="0"/>
    <n v="0"/>
    <n v="0"/>
    <n v="0"/>
    <n v="0"/>
    <n v="1"/>
    <n v="0"/>
    <m/>
  </r>
  <r>
    <x v="573"/>
    <x v="5"/>
    <x v="2"/>
    <x v="0"/>
    <s v="français"/>
    <x v="0"/>
    <n v="10.5"/>
    <n v="1"/>
    <n v="0"/>
    <n v="1"/>
    <n v="0"/>
    <n v="0"/>
    <n v="0"/>
    <n v="0"/>
    <n v="0"/>
    <n v="0"/>
    <n v="0"/>
    <n v="0"/>
    <m/>
  </r>
  <r>
    <x v="574"/>
    <x v="0"/>
    <x v="2"/>
    <x v="0"/>
    <s v="français"/>
    <x v="0"/>
    <n v="10.5"/>
    <n v="0"/>
    <n v="0"/>
    <n v="0"/>
    <n v="0"/>
    <n v="1"/>
    <n v="0"/>
    <n v="0"/>
    <n v="0"/>
    <n v="0"/>
    <n v="0"/>
    <n v="0"/>
    <m/>
  </r>
  <r>
    <x v="575"/>
    <x v="3"/>
    <x v="2"/>
    <x v="0"/>
    <s v="français"/>
    <x v="0"/>
    <n v="10.5"/>
    <n v="1"/>
    <n v="0"/>
    <n v="1"/>
    <n v="1"/>
    <n v="0"/>
    <n v="0"/>
    <n v="0"/>
    <n v="0"/>
    <n v="0"/>
    <n v="0"/>
    <n v="0"/>
    <m/>
  </r>
  <r>
    <x v="576"/>
    <x v="3"/>
    <x v="2"/>
    <x v="0"/>
    <s v="français"/>
    <x v="3"/>
    <n v="20"/>
    <n v="0"/>
    <n v="0"/>
    <n v="0"/>
    <n v="0"/>
    <n v="1"/>
    <n v="0"/>
    <n v="0"/>
    <n v="0"/>
    <n v="0"/>
    <n v="0"/>
    <n v="0"/>
    <m/>
  </r>
  <r>
    <x v="577"/>
    <x v="3"/>
    <x v="2"/>
    <x v="0"/>
    <s v="français"/>
    <x v="2"/>
    <n v="3"/>
    <n v="1"/>
    <n v="0"/>
    <n v="1"/>
    <n v="0"/>
    <n v="0"/>
    <n v="0"/>
    <n v="0"/>
    <n v="0"/>
    <n v="0"/>
    <n v="0"/>
    <n v="0"/>
    <m/>
  </r>
  <r>
    <x v="578"/>
    <x v="5"/>
    <x v="3"/>
    <x v="0"/>
    <s v="français"/>
    <x v="0"/>
    <n v="10.5"/>
    <n v="0"/>
    <n v="0"/>
    <n v="0"/>
    <n v="0"/>
    <n v="0"/>
    <n v="0"/>
    <n v="0"/>
    <n v="1"/>
    <n v="0"/>
    <n v="0"/>
    <n v="0"/>
    <m/>
  </r>
  <r>
    <x v="579"/>
    <x v="3"/>
    <x v="3"/>
    <x v="0"/>
    <s v="français"/>
    <x v="3"/>
    <n v="20"/>
    <n v="1"/>
    <n v="0"/>
    <n v="0"/>
    <n v="1"/>
    <n v="0"/>
    <n v="0"/>
    <n v="0"/>
    <n v="0"/>
    <n v="0"/>
    <n v="0"/>
    <n v="0"/>
    <m/>
  </r>
  <r>
    <x v="580"/>
    <x v="3"/>
    <x v="3"/>
    <x v="0"/>
    <s v="français"/>
    <x v="3"/>
    <n v="20"/>
    <n v="0"/>
    <n v="0"/>
    <n v="0"/>
    <n v="0"/>
    <n v="1"/>
    <n v="0"/>
    <n v="0"/>
    <n v="0"/>
    <n v="0"/>
    <n v="0"/>
    <n v="0"/>
    <m/>
  </r>
  <r>
    <x v="581"/>
    <x v="1"/>
    <x v="3"/>
    <x v="0"/>
    <s v="français"/>
    <x v="2"/>
    <n v="3"/>
    <n v="0"/>
    <n v="0"/>
    <n v="0"/>
    <n v="0"/>
    <n v="0"/>
    <n v="0"/>
    <n v="0"/>
    <n v="0"/>
    <n v="0"/>
    <n v="0"/>
    <n v="1"/>
    <s v="avait besoin d'une pièce de 10 cts contre 2 de 5 ;-) "/>
  </r>
  <r>
    <x v="582"/>
    <x v="6"/>
    <x v="3"/>
    <x v="0"/>
    <s v="français"/>
    <x v="2"/>
    <n v="3"/>
    <n v="0"/>
    <n v="0"/>
    <n v="0"/>
    <n v="0"/>
    <n v="0"/>
    <n v="0"/>
    <n v="0"/>
    <n v="0"/>
    <n v="0"/>
    <n v="0"/>
    <n v="1"/>
    <s v="pb avec la machine à café"/>
  </r>
  <r>
    <x v="583"/>
    <x v="7"/>
    <x v="4"/>
    <x v="0"/>
    <s v="français"/>
    <x v="2"/>
    <n v="3"/>
    <n v="0"/>
    <n v="0"/>
    <n v="0"/>
    <n v="0"/>
    <n v="0"/>
    <n v="0"/>
    <n v="0"/>
    <n v="0"/>
    <n v="1"/>
    <n v="0"/>
    <n v="0"/>
    <s v="Horaires d'ouvertures des Délices. Pas claire."/>
  </r>
  <r>
    <x v="584"/>
    <x v="7"/>
    <x v="5"/>
    <x v="0"/>
    <s v="anglais"/>
    <x v="0"/>
    <n v="10.5"/>
    <n v="0"/>
    <n v="0"/>
    <n v="0"/>
    <n v="0"/>
    <n v="0"/>
    <n v="0"/>
    <n v="0"/>
    <n v="0"/>
    <n v="0"/>
    <n v="1"/>
    <n v="0"/>
    <m/>
  </r>
  <r>
    <x v="585"/>
    <x v="7"/>
    <x v="5"/>
    <x v="0"/>
    <s v="français"/>
    <x v="1"/>
    <n v="0.5"/>
    <n v="0"/>
    <n v="0"/>
    <n v="0"/>
    <n v="0"/>
    <n v="0"/>
    <n v="0"/>
    <n v="0"/>
    <n v="1"/>
    <n v="0"/>
    <n v="0"/>
    <n v="0"/>
    <m/>
  </r>
  <r>
    <x v="586"/>
    <x v="7"/>
    <x v="5"/>
    <x v="0"/>
    <s v="français"/>
    <x v="0"/>
    <n v="10.5"/>
    <n v="1"/>
    <n v="0"/>
    <n v="1"/>
    <n v="0"/>
    <n v="0"/>
    <n v="0"/>
    <n v="0"/>
    <n v="0"/>
    <n v="0"/>
    <n v="0"/>
    <n v="0"/>
    <m/>
  </r>
  <r>
    <x v="587"/>
    <x v="7"/>
    <x v="5"/>
    <x v="0"/>
    <s v="français"/>
    <x v="2"/>
    <n v="3"/>
    <n v="1"/>
    <n v="0"/>
    <n v="1"/>
    <n v="0"/>
    <n v="0"/>
    <n v="0"/>
    <n v="0"/>
    <n v="0"/>
    <n v="0"/>
    <n v="0"/>
    <n v="0"/>
    <m/>
  </r>
  <r>
    <x v="588"/>
    <x v="7"/>
    <x v="5"/>
    <x v="0"/>
    <s v="français"/>
    <x v="1"/>
    <n v="0.5"/>
    <n v="0"/>
    <n v="0"/>
    <n v="0"/>
    <n v="0"/>
    <n v="0"/>
    <n v="0"/>
    <n v="0"/>
    <n v="1"/>
    <n v="0"/>
    <n v="0"/>
    <n v="0"/>
    <m/>
  </r>
  <r>
    <x v="589"/>
    <x v="7"/>
    <x v="5"/>
    <x v="0"/>
    <s v="anglais"/>
    <x v="1"/>
    <n v="0.5"/>
    <n v="0"/>
    <n v="0"/>
    <n v="0"/>
    <n v="0"/>
    <n v="0"/>
    <n v="0"/>
    <n v="0"/>
    <n v="1"/>
    <n v="0"/>
    <n v="0"/>
    <n v="0"/>
    <m/>
  </r>
  <r>
    <x v="590"/>
    <x v="7"/>
    <x v="5"/>
    <x v="0"/>
    <s v="français"/>
    <x v="1"/>
    <n v="0.5"/>
    <n v="0"/>
    <n v="0"/>
    <n v="0"/>
    <n v="0"/>
    <n v="0"/>
    <n v="0"/>
    <n v="0"/>
    <n v="1"/>
    <n v="0"/>
    <n v="0"/>
    <n v="0"/>
    <m/>
  </r>
  <r>
    <x v="591"/>
    <x v="3"/>
    <x v="5"/>
    <x v="0"/>
    <s v="anglais"/>
    <x v="1"/>
    <n v="0.5"/>
    <n v="0"/>
    <n v="0"/>
    <n v="0"/>
    <n v="0"/>
    <n v="0"/>
    <n v="0"/>
    <n v="0"/>
    <n v="1"/>
    <n v="0"/>
    <n v="0"/>
    <n v="0"/>
    <m/>
  </r>
  <r>
    <x v="592"/>
    <x v="3"/>
    <x v="5"/>
    <x v="1"/>
    <s v="français"/>
    <x v="2"/>
    <n v="3"/>
    <n v="0"/>
    <n v="0"/>
    <n v="1"/>
    <n v="0"/>
    <n v="0"/>
    <n v="0"/>
    <n v="0"/>
    <n v="0"/>
    <n v="0"/>
    <n v="0"/>
    <n v="0"/>
    <m/>
  </r>
  <r>
    <x v="593"/>
    <x v="3"/>
    <x v="5"/>
    <x v="0"/>
    <s v="français"/>
    <x v="0"/>
    <n v="10.5"/>
    <n v="0"/>
    <n v="0"/>
    <n v="0"/>
    <n v="0"/>
    <n v="0"/>
    <n v="0"/>
    <n v="1"/>
    <n v="0"/>
    <n v="0"/>
    <n v="0"/>
    <n v="0"/>
    <m/>
  </r>
  <r>
    <x v="594"/>
    <x v="4"/>
    <x v="5"/>
    <x v="0"/>
    <s v="français"/>
    <x v="2"/>
    <n v="3"/>
    <n v="0"/>
    <n v="0"/>
    <n v="0"/>
    <n v="0"/>
    <n v="0"/>
    <n v="0"/>
    <n v="0"/>
    <n v="0"/>
    <n v="1"/>
    <n v="0"/>
    <n v="0"/>
    <m/>
  </r>
  <r>
    <x v="595"/>
    <x v="4"/>
    <x v="5"/>
    <x v="0"/>
    <s v="français"/>
    <x v="1"/>
    <n v="0.5"/>
    <n v="0"/>
    <n v="0"/>
    <n v="0"/>
    <n v="0"/>
    <n v="0"/>
    <n v="0"/>
    <n v="0"/>
    <n v="1"/>
    <n v="0"/>
    <n v="0"/>
    <n v="0"/>
    <m/>
  </r>
  <r>
    <x v="596"/>
    <x v="4"/>
    <x v="5"/>
    <x v="0"/>
    <s v="français"/>
    <x v="1"/>
    <n v="0.5"/>
    <n v="1"/>
    <n v="0"/>
    <n v="0"/>
    <n v="0"/>
    <n v="0"/>
    <n v="0"/>
    <n v="0"/>
    <n v="0"/>
    <n v="0"/>
    <n v="0"/>
    <n v="0"/>
    <m/>
  </r>
  <r>
    <x v="597"/>
    <x v="4"/>
    <x v="5"/>
    <x v="0"/>
    <s v="français"/>
    <x v="2"/>
    <n v="3"/>
    <n v="0"/>
    <n v="0"/>
    <n v="0"/>
    <n v="0"/>
    <n v="0"/>
    <n v="0"/>
    <n v="0"/>
    <n v="1"/>
    <n v="0"/>
    <n v="0"/>
    <n v="0"/>
    <m/>
  </r>
  <r>
    <x v="598"/>
    <x v="4"/>
    <x v="5"/>
    <x v="0"/>
    <s v="français"/>
    <x v="2"/>
    <n v="3"/>
    <n v="0"/>
    <n v="0"/>
    <n v="0"/>
    <n v="0"/>
    <n v="0"/>
    <n v="0"/>
    <n v="1"/>
    <n v="1"/>
    <n v="0"/>
    <n v="0"/>
    <n v="0"/>
    <m/>
  </r>
  <r>
    <x v="599"/>
    <x v="1"/>
    <x v="5"/>
    <x v="0"/>
    <s v="anglais"/>
    <x v="0"/>
    <n v="10.5"/>
    <n v="0"/>
    <n v="0"/>
    <n v="0"/>
    <n v="0"/>
    <n v="0"/>
    <n v="0"/>
    <n v="0"/>
    <n v="1"/>
    <n v="0"/>
    <n v="0"/>
    <n v="0"/>
    <s v="Utiliser internet directement sur la télévision de la salle de réunion sans passer par un ordinateur"/>
  </r>
  <r>
    <x v="600"/>
    <x v="1"/>
    <x v="5"/>
    <x v="0"/>
    <s v="français"/>
    <x v="2"/>
    <n v="3"/>
    <n v="0"/>
    <n v="0"/>
    <n v="0"/>
    <n v="0"/>
    <n v="0"/>
    <n v="0"/>
    <n v="0"/>
    <n v="0"/>
    <n v="1"/>
    <n v="0"/>
    <n v="0"/>
    <s v="Presse en ligne"/>
  </r>
  <r>
    <x v="601"/>
    <x v="1"/>
    <x v="5"/>
    <x v="0"/>
    <s v="français"/>
    <x v="2"/>
    <n v="3"/>
    <n v="1"/>
    <n v="0"/>
    <n v="0"/>
    <n v="0"/>
    <n v="0"/>
    <n v="0"/>
    <n v="0"/>
    <n v="0"/>
    <n v="0"/>
    <n v="0"/>
    <n v="0"/>
    <s v="Archives du &quot;Journal de Genève&quot; et de&quot;Banque et finance&quot;"/>
  </r>
  <r>
    <x v="602"/>
    <x v="3"/>
    <x v="0"/>
    <x v="0"/>
    <s v="français"/>
    <x v="2"/>
    <n v="3"/>
    <n v="0"/>
    <n v="0"/>
    <n v="0"/>
    <n v="0"/>
    <n v="0"/>
    <n v="0"/>
    <n v="0"/>
    <n v="1"/>
    <n v="0"/>
    <n v="0"/>
    <n v="0"/>
    <m/>
  </r>
  <r>
    <x v="603"/>
    <x v="3"/>
    <x v="0"/>
    <x v="0"/>
    <s v="français"/>
    <x v="1"/>
    <n v="0.5"/>
    <n v="0"/>
    <n v="0"/>
    <n v="0"/>
    <n v="0"/>
    <n v="0"/>
    <n v="0"/>
    <n v="0"/>
    <n v="1"/>
    <n v="0"/>
    <n v="0"/>
    <n v="0"/>
    <m/>
  </r>
  <r>
    <x v="604"/>
    <x v="3"/>
    <x v="0"/>
    <x v="0"/>
    <s v="français"/>
    <x v="2"/>
    <n v="3"/>
    <n v="0"/>
    <n v="0"/>
    <n v="0"/>
    <n v="0"/>
    <n v="0"/>
    <n v="0"/>
    <n v="1"/>
    <n v="0"/>
    <n v="0"/>
    <n v="0"/>
    <n v="0"/>
    <m/>
  </r>
  <r>
    <x v="605"/>
    <x v="3"/>
    <x v="0"/>
    <x v="1"/>
    <s v="anglais"/>
    <x v="2"/>
    <n v="3"/>
    <n v="1"/>
    <n v="0"/>
    <n v="1"/>
    <n v="0"/>
    <n v="0"/>
    <n v="0"/>
    <n v="0"/>
    <n v="0"/>
    <n v="0"/>
    <n v="0"/>
    <n v="0"/>
    <m/>
  </r>
  <r>
    <x v="606"/>
    <x v="3"/>
    <x v="1"/>
    <x v="0"/>
    <s v="français"/>
    <x v="0"/>
    <n v="10.5"/>
    <n v="0"/>
    <n v="1"/>
    <n v="1"/>
    <n v="1"/>
    <n v="0"/>
    <n v="0"/>
    <n v="0"/>
    <n v="0"/>
    <n v="0"/>
    <n v="0"/>
    <n v="0"/>
    <m/>
  </r>
  <r>
    <x v="607"/>
    <x v="3"/>
    <x v="1"/>
    <x v="0"/>
    <s v="français"/>
    <x v="0"/>
    <n v="10.5"/>
    <n v="1"/>
    <n v="0"/>
    <n v="1"/>
    <n v="0"/>
    <n v="0"/>
    <n v="0"/>
    <n v="0"/>
    <n v="0"/>
    <n v="0"/>
    <n v="0"/>
    <n v="0"/>
    <m/>
  </r>
  <r>
    <x v="608"/>
    <x v="3"/>
    <x v="1"/>
    <x v="0"/>
    <s v="français"/>
    <x v="1"/>
    <n v="0.5"/>
    <n v="0"/>
    <n v="0"/>
    <n v="0"/>
    <n v="0"/>
    <n v="0"/>
    <n v="0"/>
    <n v="0"/>
    <n v="1"/>
    <n v="0"/>
    <n v="0"/>
    <n v="0"/>
    <m/>
  </r>
  <r>
    <x v="609"/>
    <x v="4"/>
    <x v="1"/>
    <x v="0"/>
    <s v="français"/>
    <x v="0"/>
    <n v="10.5"/>
    <n v="1"/>
    <n v="0"/>
    <n v="1"/>
    <n v="0"/>
    <n v="0"/>
    <n v="0"/>
    <n v="0"/>
    <n v="0"/>
    <n v="1"/>
    <n v="0"/>
    <n v="0"/>
    <m/>
  </r>
  <r>
    <x v="610"/>
    <x v="1"/>
    <x v="1"/>
    <x v="0"/>
    <s v="français"/>
    <x v="2"/>
    <n v="3"/>
    <n v="1"/>
    <n v="0"/>
    <n v="1"/>
    <n v="0"/>
    <n v="0"/>
    <n v="1"/>
    <n v="0"/>
    <n v="0"/>
    <n v="0"/>
    <n v="0"/>
    <n v="0"/>
    <m/>
  </r>
  <r>
    <x v="611"/>
    <x v="1"/>
    <x v="1"/>
    <x v="0"/>
    <s v="français"/>
    <x v="2"/>
    <n v="3"/>
    <n v="0"/>
    <n v="1"/>
    <n v="1"/>
    <n v="0"/>
    <n v="0"/>
    <n v="1"/>
    <n v="0"/>
    <n v="0"/>
    <n v="0"/>
    <n v="1"/>
    <n v="0"/>
    <m/>
  </r>
  <r>
    <x v="612"/>
    <x v="8"/>
    <x v="1"/>
    <x v="0"/>
    <s v="français"/>
    <x v="2"/>
    <n v="3"/>
    <n v="1"/>
    <n v="0"/>
    <n v="1"/>
    <n v="0"/>
    <n v="0"/>
    <n v="0"/>
    <n v="0"/>
    <n v="0"/>
    <n v="0"/>
    <n v="0"/>
    <n v="0"/>
    <m/>
  </r>
  <r>
    <x v="613"/>
    <x v="8"/>
    <x v="1"/>
    <x v="0"/>
    <s v="français"/>
    <x v="2"/>
    <n v="3"/>
    <n v="0"/>
    <n v="0"/>
    <n v="0"/>
    <n v="0"/>
    <n v="1"/>
    <n v="0"/>
    <n v="0"/>
    <n v="0"/>
    <n v="0"/>
    <n v="0"/>
    <n v="0"/>
    <m/>
  </r>
  <r>
    <x v="614"/>
    <x v="8"/>
    <x v="1"/>
    <x v="1"/>
    <s v="français"/>
    <x v="2"/>
    <n v="3"/>
    <n v="0"/>
    <n v="0"/>
    <n v="0"/>
    <n v="0"/>
    <n v="0"/>
    <n v="0"/>
    <n v="0"/>
    <n v="0"/>
    <n v="0"/>
    <n v="1"/>
    <n v="0"/>
    <m/>
  </r>
  <r>
    <x v="615"/>
    <x v="8"/>
    <x v="1"/>
    <x v="1"/>
    <s v="français"/>
    <x v="2"/>
    <n v="3"/>
    <n v="0"/>
    <n v="0"/>
    <n v="0"/>
    <n v="0"/>
    <n v="0"/>
    <n v="0"/>
    <n v="0"/>
    <n v="0"/>
    <n v="1"/>
    <n v="1"/>
    <n v="0"/>
    <m/>
  </r>
  <r>
    <x v="616"/>
    <x v="8"/>
    <x v="1"/>
    <x v="0"/>
    <s v="français"/>
    <x v="2"/>
    <n v="3"/>
    <n v="0"/>
    <n v="0"/>
    <n v="0"/>
    <n v="0"/>
    <n v="0"/>
    <n v="1"/>
    <n v="0"/>
    <n v="0"/>
    <n v="0"/>
    <n v="0"/>
    <n v="0"/>
    <m/>
  </r>
  <r>
    <x v="617"/>
    <x v="7"/>
    <x v="2"/>
    <x v="0"/>
    <s v="français"/>
    <x v="3"/>
    <n v="20"/>
    <n v="1"/>
    <n v="0"/>
    <n v="1"/>
    <n v="0"/>
    <n v="0"/>
    <n v="1"/>
    <n v="0"/>
    <n v="0"/>
    <n v="0"/>
    <n v="0"/>
    <n v="0"/>
    <m/>
  </r>
  <r>
    <x v="618"/>
    <x v="7"/>
    <x v="2"/>
    <x v="1"/>
    <s v="français"/>
    <x v="1"/>
    <n v="0.5"/>
    <n v="0"/>
    <n v="0"/>
    <n v="0"/>
    <n v="0"/>
    <n v="0"/>
    <n v="0"/>
    <n v="0"/>
    <n v="0"/>
    <n v="0"/>
    <n v="1"/>
    <n v="0"/>
    <m/>
  </r>
  <r>
    <x v="619"/>
    <x v="7"/>
    <x v="2"/>
    <x v="0"/>
    <s v="français"/>
    <x v="0"/>
    <n v="10.5"/>
    <n v="0"/>
    <n v="0"/>
    <n v="0"/>
    <n v="0"/>
    <n v="0"/>
    <n v="1"/>
    <n v="0"/>
    <n v="0"/>
    <n v="0"/>
    <n v="0"/>
    <n v="0"/>
    <m/>
  </r>
  <r>
    <x v="620"/>
    <x v="3"/>
    <x v="2"/>
    <x v="0"/>
    <s v="français"/>
    <x v="2"/>
    <n v="3"/>
    <n v="1"/>
    <n v="0"/>
    <n v="0"/>
    <n v="0"/>
    <n v="0"/>
    <n v="0"/>
    <n v="0"/>
    <n v="0"/>
    <n v="0"/>
    <n v="0"/>
    <n v="0"/>
    <m/>
  </r>
  <r>
    <x v="621"/>
    <x v="4"/>
    <x v="2"/>
    <x v="0"/>
    <s v="français"/>
    <x v="1"/>
    <n v="0.5"/>
    <n v="0"/>
    <n v="0"/>
    <n v="0"/>
    <n v="0"/>
    <n v="0"/>
    <n v="0"/>
    <n v="0"/>
    <n v="0"/>
    <n v="0"/>
    <n v="1"/>
    <n v="0"/>
    <m/>
  </r>
  <r>
    <x v="622"/>
    <x v="2"/>
    <x v="2"/>
    <x v="0"/>
    <s v="français"/>
    <x v="0"/>
    <n v="10.5"/>
    <n v="0"/>
    <n v="0"/>
    <n v="0"/>
    <n v="0"/>
    <n v="1"/>
    <n v="0"/>
    <n v="0"/>
    <n v="0"/>
    <n v="0"/>
    <n v="0"/>
    <n v="0"/>
    <m/>
  </r>
  <r>
    <x v="623"/>
    <x v="8"/>
    <x v="2"/>
    <x v="0"/>
    <s v="français"/>
    <x v="0"/>
    <n v="10.5"/>
    <n v="1"/>
    <n v="0"/>
    <n v="1"/>
    <n v="0"/>
    <n v="0"/>
    <n v="0"/>
    <n v="0"/>
    <n v="0"/>
    <n v="0"/>
    <n v="0"/>
    <n v="0"/>
    <m/>
  </r>
  <r>
    <x v="624"/>
    <x v="8"/>
    <x v="2"/>
    <x v="0"/>
    <s v="français"/>
    <x v="2"/>
    <n v="3"/>
    <n v="0"/>
    <n v="0"/>
    <n v="0"/>
    <n v="0"/>
    <n v="1"/>
    <n v="0"/>
    <n v="0"/>
    <n v="0"/>
    <n v="0"/>
    <n v="0"/>
    <n v="0"/>
    <m/>
  </r>
  <r>
    <x v="625"/>
    <x v="8"/>
    <x v="2"/>
    <x v="0"/>
    <s v="français"/>
    <x v="2"/>
    <n v="3"/>
    <n v="0"/>
    <n v="0"/>
    <n v="0"/>
    <n v="0"/>
    <n v="0"/>
    <n v="0"/>
    <n v="1"/>
    <n v="0"/>
    <n v="0"/>
    <n v="0"/>
    <n v="0"/>
    <m/>
  </r>
  <r>
    <x v="626"/>
    <x v="8"/>
    <x v="2"/>
    <x v="0"/>
    <s v="français"/>
    <x v="1"/>
    <n v="0.5"/>
    <n v="0"/>
    <n v="0"/>
    <n v="0"/>
    <n v="0"/>
    <n v="0"/>
    <n v="0"/>
    <n v="0"/>
    <n v="0"/>
    <n v="0"/>
    <n v="1"/>
    <n v="0"/>
    <m/>
  </r>
  <r>
    <x v="627"/>
    <x v="8"/>
    <x v="2"/>
    <x v="0"/>
    <s v="français"/>
    <x v="1"/>
    <n v="0.5"/>
    <n v="0"/>
    <n v="0"/>
    <n v="0"/>
    <n v="0"/>
    <n v="0"/>
    <n v="0"/>
    <n v="0"/>
    <n v="0"/>
    <n v="1"/>
    <n v="0"/>
    <n v="0"/>
    <m/>
  </r>
  <r>
    <x v="628"/>
    <x v="5"/>
    <x v="3"/>
    <x v="0"/>
    <s v="français"/>
    <x v="1"/>
    <n v="0.5"/>
    <n v="0"/>
    <n v="0"/>
    <n v="0"/>
    <n v="0"/>
    <n v="0"/>
    <n v="0"/>
    <n v="0"/>
    <n v="0"/>
    <n v="0"/>
    <n v="1"/>
    <n v="0"/>
    <m/>
  </r>
  <r>
    <x v="629"/>
    <x v="7"/>
    <x v="3"/>
    <x v="0"/>
    <s v="français"/>
    <x v="2"/>
    <n v="3"/>
    <n v="1"/>
    <n v="0"/>
    <n v="0"/>
    <n v="0"/>
    <n v="0"/>
    <n v="0"/>
    <n v="0"/>
    <n v="0"/>
    <n v="0"/>
    <n v="0"/>
    <n v="0"/>
    <m/>
  </r>
  <r>
    <x v="630"/>
    <x v="4"/>
    <x v="3"/>
    <x v="0"/>
    <s v="français"/>
    <x v="1"/>
    <n v="0.5"/>
    <n v="0"/>
    <n v="0"/>
    <n v="0"/>
    <n v="0"/>
    <n v="0"/>
    <n v="0"/>
    <n v="0"/>
    <n v="0"/>
    <n v="1"/>
    <n v="0"/>
    <n v="0"/>
    <m/>
  </r>
  <r>
    <x v="631"/>
    <x v="8"/>
    <x v="3"/>
    <x v="0"/>
    <s v="français"/>
    <x v="2"/>
    <n v="3"/>
    <n v="0"/>
    <n v="0"/>
    <n v="0"/>
    <n v="0"/>
    <n v="1"/>
    <n v="0"/>
    <n v="0"/>
    <n v="0"/>
    <n v="0"/>
    <n v="0"/>
    <n v="0"/>
    <m/>
  </r>
  <r>
    <x v="632"/>
    <x v="8"/>
    <x v="3"/>
    <x v="0"/>
    <s v="français"/>
    <x v="0"/>
    <n v="10.5"/>
    <n v="0"/>
    <n v="0"/>
    <n v="0"/>
    <n v="0"/>
    <n v="1"/>
    <n v="0"/>
    <n v="0"/>
    <n v="0"/>
    <n v="0"/>
    <n v="0"/>
    <n v="0"/>
    <m/>
  </r>
  <r>
    <x v="633"/>
    <x v="8"/>
    <x v="3"/>
    <x v="0"/>
    <s v="français"/>
    <x v="2"/>
    <n v="3"/>
    <n v="1"/>
    <n v="0"/>
    <n v="1"/>
    <n v="0"/>
    <n v="0"/>
    <n v="0"/>
    <n v="0"/>
    <n v="0"/>
    <n v="0"/>
    <n v="0"/>
    <n v="0"/>
    <m/>
  </r>
  <r>
    <x v="634"/>
    <x v="8"/>
    <x v="3"/>
    <x v="0"/>
    <s v="français"/>
    <x v="2"/>
    <n v="3"/>
    <n v="1"/>
    <n v="0"/>
    <n v="0"/>
    <n v="0"/>
    <n v="0"/>
    <n v="0"/>
    <n v="0"/>
    <n v="0"/>
    <n v="0"/>
    <n v="0"/>
    <n v="0"/>
    <m/>
  </r>
  <r>
    <x v="635"/>
    <x v="8"/>
    <x v="3"/>
    <x v="0"/>
    <s v="français"/>
    <x v="1"/>
    <n v="0.5"/>
    <n v="0"/>
    <n v="0"/>
    <n v="0"/>
    <n v="0"/>
    <n v="0"/>
    <n v="0"/>
    <n v="0"/>
    <n v="0"/>
    <n v="0"/>
    <n v="1"/>
    <n v="0"/>
    <m/>
  </r>
  <r>
    <x v="636"/>
    <x v="8"/>
    <x v="3"/>
    <x v="0"/>
    <s v="français"/>
    <x v="1"/>
    <n v="0.5"/>
    <n v="0"/>
    <n v="0"/>
    <n v="0"/>
    <n v="0"/>
    <n v="0"/>
    <n v="0"/>
    <n v="0"/>
    <n v="0"/>
    <n v="0"/>
    <n v="1"/>
    <n v="0"/>
    <m/>
  </r>
  <r>
    <x v="637"/>
    <x v="8"/>
    <x v="3"/>
    <x v="0"/>
    <s v="français"/>
    <x v="2"/>
    <n v="3"/>
    <n v="0"/>
    <n v="0"/>
    <n v="0"/>
    <n v="0"/>
    <n v="0"/>
    <n v="0"/>
    <n v="0"/>
    <n v="0"/>
    <n v="1"/>
    <n v="0"/>
    <n v="0"/>
    <m/>
  </r>
  <r>
    <x v="638"/>
    <x v="0"/>
    <x v="4"/>
    <x v="0"/>
    <s v="français"/>
    <x v="1"/>
    <n v="0.5"/>
    <n v="0"/>
    <n v="0"/>
    <n v="0"/>
    <n v="0"/>
    <n v="0"/>
    <n v="0"/>
    <n v="0"/>
    <n v="0"/>
    <n v="1"/>
    <n v="0"/>
    <n v="0"/>
    <s v="Où sont les toilettes ?"/>
  </r>
  <r>
    <x v="639"/>
    <x v="0"/>
    <x v="4"/>
    <x v="0"/>
    <s v="français"/>
    <x v="2"/>
    <n v="3"/>
    <n v="1"/>
    <n v="0"/>
    <n v="0"/>
    <n v="0"/>
    <n v="0"/>
    <n v="0"/>
    <n v="0"/>
    <n v="0"/>
    <n v="0"/>
    <n v="0"/>
    <n v="1"/>
    <s v="Lectrice envoyée en face aux Bastions car livre des Bastions souhaité"/>
  </r>
  <r>
    <x v="640"/>
    <x v="0"/>
    <x v="4"/>
    <x v="0"/>
    <s v="français"/>
    <x v="2"/>
    <n v="3"/>
    <n v="0"/>
    <n v="0"/>
    <n v="0"/>
    <n v="0"/>
    <n v="0"/>
    <n v="0"/>
    <n v="0"/>
    <n v="1"/>
    <n v="1"/>
    <n v="0"/>
    <n v="0"/>
    <m/>
  </r>
  <r>
    <x v="641"/>
    <x v="0"/>
    <x v="4"/>
    <x v="0"/>
    <s v="français"/>
    <x v="1"/>
    <n v="0.5"/>
    <n v="0"/>
    <n v="0"/>
    <n v="0"/>
    <n v="0"/>
    <n v="0"/>
    <n v="0"/>
    <n v="0"/>
    <n v="0"/>
    <n v="1"/>
    <n v="0"/>
    <n v="0"/>
    <m/>
  </r>
  <r>
    <x v="642"/>
    <x v="7"/>
    <x v="4"/>
    <x v="0"/>
    <s v="français"/>
    <x v="2"/>
    <n v="3"/>
    <n v="0"/>
    <n v="0"/>
    <n v="0"/>
    <n v="0"/>
    <n v="0"/>
    <n v="0"/>
    <n v="1"/>
    <n v="0"/>
    <n v="0"/>
    <n v="0"/>
    <n v="0"/>
    <m/>
  </r>
  <r>
    <x v="643"/>
    <x v="3"/>
    <x v="5"/>
    <x v="0"/>
    <s v="anglais"/>
    <x v="0"/>
    <n v="10.5"/>
    <n v="0"/>
    <n v="0"/>
    <n v="0"/>
    <n v="0"/>
    <n v="0"/>
    <n v="0"/>
    <n v="1"/>
    <n v="0"/>
    <n v="0"/>
    <n v="0"/>
    <n v="0"/>
    <m/>
  </r>
  <r>
    <x v="644"/>
    <x v="4"/>
    <x v="5"/>
    <x v="0"/>
    <s v="français"/>
    <x v="0"/>
    <n v="10.5"/>
    <n v="0"/>
    <n v="0"/>
    <n v="0"/>
    <n v="0"/>
    <n v="1"/>
    <n v="0"/>
    <n v="0"/>
    <n v="0"/>
    <n v="0"/>
    <n v="0"/>
    <n v="0"/>
    <m/>
  </r>
  <r>
    <x v="645"/>
    <x v="4"/>
    <x v="5"/>
    <x v="0"/>
    <s v="français"/>
    <x v="1"/>
    <n v="0.5"/>
    <n v="0"/>
    <n v="0"/>
    <n v="0"/>
    <n v="0"/>
    <n v="0"/>
    <n v="0"/>
    <n v="0"/>
    <n v="0"/>
    <n v="0"/>
    <n v="1"/>
    <n v="0"/>
    <m/>
  </r>
  <r>
    <x v="646"/>
    <x v="1"/>
    <x v="5"/>
    <x v="0"/>
    <s v="français"/>
    <x v="2"/>
    <n v="3"/>
    <n v="1"/>
    <n v="0"/>
    <n v="0"/>
    <n v="0"/>
    <n v="0"/>
    <n v="0"/>
    <n v="0"/>
    <n v="0"/>
    <n v="0"/>
    <n v="0"/>
    <n v="0"/>
    <m/>
  </r>
  <r>
    <x v="647"/>
    <x v="1"/>
    <x v="5"/>
    <x v="1"/>
    <s v="français"/>
    <x v="2"/>
    <n v="3"/>
    <n v="0"/>
    <n v="1"/>
    <n v="0"/>
    <n v="0"/>
    <n v="0"/>
    <n v="0"/>
    <n v="0"/>
    <n v="0"/>
    <n v="0"/>
    <n v="0"/>
    <n v="0"/>
    <s v="Droit Moyen Âge France"/>
  </r>
  <r>
    <x v="648"/>
    <x v="2"/>
    <x v="5"/>
    <x v="0"/>
    <s v="français"/>
    <x v="2"/>
    <n v="3"/>
    <n v="0"/>
    <n v="0"/>
    <n v="0"/>
    <n v="0"/>
    <n v="0"/>
    <n v="0"/>
    <n v="1"/>
    <n v="0"/>
    <n v="0"/>
    <n v="0"/>
    <n v="0"/>
    <m/>
  </r>
  <r>
    <x v="649"/>
    <x v="2"/>
    <x v="5"/>
    <x v="0"/>
    <s v="français"/>
    <x v="2"/>
    <n v="3"/>
    <n v="0"/>
    <n v="0"/>
    <n v="0"/>
    <n v="0"/>
    <n v="0"/>
    <n v="0"/>
    <n v="0"/>
    <n v="1"/>
    <n v="0"/>
    <n v="0"/>
    <n v="0"/>
    <m/>
  </r>
  <r>
    <x v="650"/>
    <x v="2"/>
    <x v="5"/>
    <x v="0"/>
    <s v="français"/>
    <x v="1"/>
    <n v="0.5"/>
    <n v="0"/>
    <n v="0"/>
    <n v="0"/>
    <n v="0"/>
    <n v="0"/>
    <n v="0"/>
    <n v="0"/>
    <n v="0"/>
    <n v="0"/>
    <n v="1"/>
    <n v="0"/>
    <m/>
  </r>
  <r>
    <x v="651"/>
    <x v="2"/>
    <x v="5"/>
    <x v="0"/>
    <s v="français"/>
    <x v="2"/>
    <n v="3"/>
    <n v="0"/>
    <n v="0"/>
    <n v="0"/>
    <n v="0"/>
    <n v="0"/>
    <n v="0"/>
    <n v="0"/>
    <n v="0"/>
    <n v="1"/>
    <n v="1"/>
    <n v="0"/>
    <s v="Réservation salle"/>
  </r>
  <r>
    <x v="652"/>
    <x v="6"/>
    <x v="5"/>
    <x v="0"/>
    <s v="français"/>
    <x v="0"/>
    <n v="10.5"/>
    <n v="0"/>
    <n v="0"/>
    <n v="0"/>
    <n v="0"/>
    <n v="0"/>
    <n v="0"/>
    <n v="0"/>
    <n v="1"/>
    <n v="0"/>
    <n v="0"/>
    <n v="0"/>
    <m/>
  </r>
  <r>
    <x v="653"/>
    <x v="6"/>
    <x v="5"/>
    <x v="0"/>
    <s v="français"/>
    <x v="1"/>
    <n v="0.5"/>
    <n v="0"/>
    <n v="0"/>
    <n v="0"/>
    <n v="0"/>
    <n v="0"/>
    <n v="0"/>
    <n v="0"/>
    <n v="0"/>
    <n v="0"/>
    <n v="1"/>
    <n v="0"/>
    <s v="vers le prêt"/>
  </r>
  <r>
    <x v="654"/>
    <x v="6"/>
    <x v="5"/>
    <x v="0"/>
    <s v="français"/>
    <x v="2"/>
    <n v="3"/>
    <n v="0"/>
    <n v="0"/>
    <n v="0"/>
    <n v="0"/>
    <n v="0"/>
    <n v="0"/>
    <n v="0"/>
    <n v="0"/>
    <n v="1"/>
    <n v="0"/>
    <n v="0"/>
    <s v="Login Mondo pc"/>
  </r>
  <r>
    <x v="655"/>
    <x v="3"/>
    <x v="0"/>
    <x v="0"/>
    <s v="français"/>
    <x v="0"/>
    <n v="10.5"/>
    <n v="0"/>
    <n v="0"/>
    <n v="0"/>
    <n v="0"/>
    <n v="1"/>
    <n v="0"/>
    <n v="0"/>
    <n v="0"/>
    <n v="0"/>
    <n v="0"/>
    <n v="0"/>
    <m/>
  </r>
  <r>
    <x v="656"/>
    <x v="1"/>
    <x v="0"/>
    <x v="0"/>
    <s v="français"/>
    <x v="2"/>
    <n v="3"/>
    <n v="0"/>
    <n v="0"/>
    <n v="0"/>
    <n v="0"/>
    <n v="0"/>
    <n v="0"/>
    <n v="1"/>
    <n v="0"/>
    <n v="0"/>
    <n v="0"/>
    <n v="0"/>
    <m/>
  </r>
  <r>
    <x v="657"/>
    <x v="1"/>
    <x v="0"/>
    <x v="0"/>
    <s v="français"/>
    <x v="3"/>
    <n v="20"/>
    <n v="0"/>
    <n v="0"/>
    <n v="0"/>
    <n v="0"/>
    <n v="1"/>
    <n v="0"/>
    <n v="0"/>
    <n v="0"/>
    <n v="0"/>
    <n v="0"/>
    <n v="0"/>
    <m/>
  </r>
  <r>
    <x v="658"/>
    <x v="0"/>
    <x v="1"/>
    <x v="0"/>
    <s v="français"/>
    <x v="3"/>
    <n v="20"/>
    <n v="0"/>
    <n v="1"/>
    <n v="1"/>
    <n v="0"/>
    <n v="1"/>
    <n v="1"/>
    <n v="0"/>
    <n v="0"/>
    <n v="1"/>
    <n v="0"/>
    <n v="0"/>
    <m/>
  </r>
  <r>
    <x v="659"/>
    <x v="0"/>
    <x v="1"/>
    <x v="0"/>
    <s v="français"/>
    <x v="2"/>
    <n v="3"/>
    <n v="0"/>
    <n v="0"/>
    <n v="0"/>
    <n v="0"/>
    <n v="0"/>
    <n v="0"/>
    <n v="0"/>
    <n v="0"/>
    <n v="0"/>
    <n v="0"/>
    <n v="1"/>
    <s v="Connexion wi-fi"/>
  </r>
  <r>
    <x v="660"/>
    <x v="3"/>
    <x v="1"/>
    <x v="0"/>
    <s v="français"/>
    <x v="0"/>
    <n v="10.5"/>
    <n v="0"/>
    <n v="0"/>
    <n v="1"/>
    <n v="0"/>
    <n v="1"/>
    <n v="0"/>
    <n v="0"/>
    <n v="0"/>
    <n v="0"/>
    <n v="0"/>
    <n v="0"/>
    <m/>
  </r>
  <r>
    <x v="661"/>
    <x v="3"/>
    <x v="1"/>
    <x v="0"/>
    <s v="français"/>
    <x v="0"/>
    <n v="10.5"/>
    <n v="0"/>
    <n v="0"/>
    <n v="0"/>
    <n v="0"/>
    <n v="0"/>
    <n v="0"/>
    <n v="1"/>
    <n v="1"/>
    <n v="0"/>
    <n v="0"/>
    <n v="0"/>
    <m/>
  </r>
  <r>
    <x v="662"/>
    <x v="3"/>
    <x v="1"/>
    <x v="0"/>
    <s v="français"/>
    <x v="2"/>
    <n v="3"/>
    <n v="0"/>
    <n v="0"/>
    <n v="0"/>
    <n v="0"/>
    <n v="0"/>
    <n v="0"/>
    <n v="0"/>
    <n v="0"/>
    <n v="1"/>
    <n v="0"/>
    <n v="0"/>
    <m/>
  </r>
  <r>
    <x v="663"/>
    <x v="1"/>
    <x v="1"/>
    <x v="0"/>
    <s v="français"/>
    <x v="0"/>
    <n v="10.5"/>
    <n v="0"/>
    <n v="0"/>
    <n v="1"/>
    <n v="0"/>
    <n v="1"/>
    <n v="0"/>
    <n v="0"/>
    <n v="0"/>
    <n v="1"/>
    <n v="0"/>
    <n v="0"/>
    <m/>
  </r>
  <r>
    <x v="664"/>
    <x v="1"/>
    <x v="1"/>
    <x v="0"/>
    <s v="français"/>
    <x v="2"/>
    <n v="3"/>
    <n v="0"/>
    <n v="0"/>
    <n v="0"/>
    <n v="0"/>
    <n v="0"/>
    <n v="0"/>
    <n v="0"/>
    <n v="0"/>
    <n v="1"/>
    <n v="0"/>
    <n v="0"/>
    <m/>
  </r>
  <r>
    <x v="665"/>
    <x v="2"/>
    <x v="1"/>
    <x v="0"/>
    <s v="français"/>
    <x v="2"/>
    <n v="3"/>
    <n v="0"/>
    <n v="0"/>
    <n v="0"/>
    <n v="0"/>
    <n v="0"/>
    <n v="0"/>
    <n v="1"/>
    <n v="0"/>
    <n v="0"/>
    <n v="0"/>
    <n v="0"/>
    <m/>
  </r>
  <r>
    <x v="666"/>
    <x v="8"/>
    <x v="1"/>
    <x v="0"/>
    <s v="français"/>
    <x v="2"/>
    <n v="3"/>
    <n v="0"/>
    <n v="0"/>
    <n v="0"/>
    <n v="0"/>
    <n v="0"/>
    <n v="0"/>
    <n v="1"/>
    <n v="0"/>
    <n v="0"/>
    <n v="0"/>
    <n v="0"/>
    <m/>
  </r>
  <r>
    <x v="667"/>
    <x v="8"/>
    <x v="1"/>
    <x v="0"/>
    <s v="français"/>
    <x v="2"/>
    <n v="3"/>
    <n v="0"/>
    <n v="0"/>
    <n v="0"/>
    <n v="0"/>
    <n v="0"/>
    <n v="0"/>
    <n v="1"/>
    <n v="0"/>
    <n v="0"/>
    <n v="0"/>
    <n v="0"/>
    <m/>
  </r>
  <r>
    <x v="668"/>
    <x v="8"/>
    <x v="1"/>
    <x v="0"/>
    <s v="français"/>
    <x v="2"/>
    <n v="3"/>
    <n v="0"/>
    <n v="0"/>
    <n v="0"/>
    <n v="0"/>
    <n v="1"/>
    <n v="0"/>
    <n v="0"/>
    <n v="0"/>
    <n v="0"/>
    <n v="0"/>
    <n v="0"/>
    <m/>
  </r>
  <r>
    <x v="669"/>
    <x v="8"/>
    <x v="1"/>
    <x v="0"/>
    <s v="français"/>
    <x v="2"/>
    <n v="3"/>
    <n v="0"/>
    <n v="0"/>
    <n v="0"/>
    <n v="0"/>
    <n v="0"/>
    <n v="0"/>
    <n v="0"/>
    <n v="1"/>
    <n v="0"/>
    <n v="0"/>
    <n v="0"/>
    <m/>
  </r>
  <r>
    <x v="670"/>
    <x v="8"/>
    <x v="1"/>
    <x v="0"/>
    <s v="français"/>
    <x v="1"/>
    <n v="0.5"/>
    <n v="0"/>
    <n v="0"/>
    <n v="0"/>
    <n v="0"/>
    <n v="0"/>
    <n v="0"/>
    <n v="0"/>
    <n v="0"/>
    <n v="0"/>
    <n v="1"/>
    <n v="0"/>
    <m/>
  </r>
  <r>
    <x v="671"/>
    <x v="5"/>
    <x v="2"/>
    <x v="0"/>
    <s v="anglais"/>
    <x v="0"/>
    <n v="10.5"/>
    <n v="0"/>
    <n v="0"/>
    <n v="1"/>
    <n v="0"/>
    <n v="1"/>
    <n v="0"/>
    <n v="0"/>
    <n v="0"/>
    <n v="0"/>
    <n v="0"/>
    <n v="0"/>
    <m/>
  </r>
  <r>
    <x v="672"/>
    <x v="5"/>
    <x v="2"/>
    <x v="0"/>
    <s v="français"/>
    <x v="0"/>
    <n v="10.5"/>
    <n v="1"/>
    <n v="0"/>
    <n v="1"/>
    <n v="0"/>
    <n v="0"/>
    <n v="1"/>
    <n v="0"/>
    <n v="0"/>
    <n v="0"/>
    <n v="0"/>
    <n v="0"/>
    <m/>
  </r>
  <r>
    <x v="673"/>
    <x v="5"/>
    <x v="2"/>
    <x v="0"/>
    <s v="français"/>
    <x v="1"/>
    <n v="0.5"/>
    <n v="0"/>
    <n v="0"/>
    <n v="0"/>
    <n v="0"/>
    <n v="0"/>
    <n v="0"/>
    <n v="0"/>
    <n v="0"/>
    <n v="0"/>
    <n v="1"/>
    <n v="0"/>
    <m/>
  </r>
  <r>
    <x v="674"/>
    <x v="3"/>
    <x v="2"/>
    <x v="0"/>
    <s v="français"/>
    <x v="2"/>
    <n v="3"/>
    <n v="0"/>
    <n v="0"/>
    <n v="0"/>
    <n v="0"/>
    <n v="0"/>
    <n v="0"/>
    <n v="0"/>
    <n v="0"/>
    <n v="1"/>
    <n v="0"/>
    <n v="0"/>
    <m/>
  </r>
  <r>
    <x v="675"/>
    <x v="3"/>
    <x v="2"/>
    <x v="0"/>
    <s v="français"/>
    <x v="0"/>
    <n v="10.5"/>
    <n v="0"/>
    <n v="1"/>
    <n v="1"/>
    <n v="1"/>
    <n v="0"/>
    <n v="0"/>
    <n v="0"/>
    <n v="0"/>
    <n v="0"/>
    <n v="0"/>
    <n v="0"/>
    <m/>
  </r>
  <r>
    <x v="676"/>
    <x v="3"/>
    <x v="2"/>
    <x v="0"/>
    <s v="français"/>
    <x v="2"/>
    <n v="3"/>
    <n v="0"/>
    <n v="0"/>
    <n v="0"/>
    <n v="0"/>
    <n v="0"/>
    <n v="0"/>
    <n v="0"/>
    <n v="0"/>
    <n v="1"/>
    <n v="0"/>
    <n v="0"/>
    <m/>
  </r>
  <r>
    <x v="677"/>
    <x v="1"/>
    <x v="2"/>
    <x v="0"/>
    <s v="français"/>
    <x v="3"/>
    <n v="20"/>
    <n v="1"/>
    <n v="0"/>
    <n v="1"/>
    <n v="0"/>
    <n v="0"/>
    <n v="0"/>
    <n v="0"/>
    <n v="0"/>
    <n v="0"/>
    <n v="0"/>
    <n v="0"/>
    <s v="Livres de Michelle Maurois (fille d'André Maurois)"/>
  </r>
  <r>
    <x v="678"/>
    <x v="1"/>
    <x v="2"/>
    <x v="0"/>
    <s v="français"/>
    <x v="1"/>
    <n v="0.5"/>
    <n v="0"/>
    <n v="0"/>
    <n v="0"/>
    <n v="0"/>
    <n v="0"/>
    <n v="0"/>
    <n v="0"/>
    <n v="0"/>
    <n v="0"/>
    <n v="0"/>
    <n v="1"/>
    <s v="retour casque "/>
  </r>
  <r>
    <x v="679"/>
    <x v="1"/>
    <x v="2"/>
    <x v="0"/>
    <s v="français"/>
    <x v="0"/>
    <n v="10.5"/>
    <n v="0"/>
    <n v="0"/>
    <n v="0"/>
    <n v="0"/>
    <n v="0"/>
    <n v="0"/>
    <n v="0"/>
    <n v="0"/>
    <n v="0"/>
    <n v="0"/>
    <n v="1"/>
    <s v="Où trouver des livres sur l'électricité (normes CH, etc.) -&gt; Bibliothèque de l'HEPIA / Bibliothèque UNIGE Science 2"/>
  </r>
  <r>
    <x v="680"/>
    <x v="0"/>
    <x v="3"/>
    <x v="0"/>
    <s v="français"/>
    <x v="0"/>
    <n v="10.5"/>
    <n v="0"/>
    <n v="1"/>
    <n v="1"/>
    <n v="0"/>
    <n v="0"/>
    <n v="0"/>
    <n v="0"/>
    <n v="0"/>
    <n v="0"/>
    <n v="0"/>
    <n v="0"/>
    <m/>
  </r>
  <r>
    <x v="681"/>
    <x v="7"/>
    <x v="3"/>
    <x v="0"/>
    <s v="anglais"/>
    <x v="1"/>
    <n v="0.5"/>
    <n v="0"/>
    <n v="0"/>
    <n v="0"/>
    <n v="0"/>
    <n v="0"/>
    <n v="0"/>
    <n v="0"/>
    <n v="0"/>
    <n v="0"/>
    <n v="1"/>
    <n v="0"/>
    <m/>
  </r>
  <r>
    <x v="682"/>
    <x v="4"/>
    <x v="3"/>
    <x v="1"/>
    <s v="français"/>
    <x v="3"/>
    <n v="20"/>
    <n v="1"/>
    <n v="0"/>
    <n v="1"/>
    <n v="0"/>
    <n v="0"/>
    <n v="0"/>
    <n v="0"/>
    <n v="0"/>
    <n v="0"/>
    <n v="0"/>
    <n v="0"/>
    <m/>
  </r>
  <r>
    <x v="683"/>
    <x v="1"/>
    <x v="3"/>
    <x v="0"/>
    <s v="français"/>
    <x v="2"/>
    <n v="3"/>
    <n v="0"/>
    <n v="0"/>
    <n v="0"/>
    <n v="0"/>
    <n v="0"/>
    <n v="0"/>
    <n v="0"/>
    <n v="0"/>
    <n v="1"/>
    <n v="0"/>
    <n v="0"/>
    <m/>
  </r>
  <r>
    <x v="684"/>
    <x v="8"/>
    <x v="3"/>
    <x v="0"/>
    <s v="français"/>
    <x v="2"/>
    <n v="3"/>
    <n v="0"/>
    <n v="0"/>
    <n v="0"/>
    <n v="0"/>
    <n v="0"/>
    <n v="0"/>
    <n v="0"/>
    <n v="0"/>
    <n v="0"/>
    <n v="0"/>
    <n v="0"/>
    <m/>
  </r>
  <r>
    <x v="685"/>
    <x v="8"/>
    <x v="3"/>
    <x v="0"/>
    <s v="français"/>
    <x v="2"/>
    <n v="3"/>
    <n v="0"/>
    <n v="0"/>
    <n v="0"/>
    <n v="0"/>
    <n v="1"/>
    <n v="0"/>
    <n v="0"/>
    <n v="0"/>
    <n v="0"/>
    <n v="0"/>
    <n v="0"/>
    <m/>
  </r>
  <r>
    <x v="686"/>
    <x v="8"/>
    <x v="3"/>
    <x v="0"/>
    <s v="français"/>
    <x v="2"/>
    <n v="3"/>
    <n v="0"/>
    <n v="0"/>
    <n v="0"/>
    <n v="0"/>
    <n v="1"/>
    <n v="0"/>
    <n v="0"/>
    <n v="0"/>
    <n v="0"/>
    <n v="0"/>
    <n v="0"/>
    <m/>
  </r>
  <r>
    <x v="687"/>
    <x v="8"/>
    <x v="3"/>
    <x v="0"/>
    <s v="français"/>
    <x v="2"/>
    <n v="3"/>
    <n v="0"/>
    <n v="0"/>
    <n v="0"/>
    <n v="0"/>
    <n v="0"/>
    <n v="1"/>
    <n v="0"/>
    <n v="0"/>
    <n v="0"/>
    <n v="0"/>
    <n v="0"/>
    <m/>
  </r>
  <r>
    <x v="688"/>
    <x v="8"/>
    <x v="3"/>
    <x v="0"/>
    <s v="français"/>
    <x v="2"/>
    <n v="3"/>
    <n v="0"/>
    <n v="0"/>
    <n v="0"/>
    <n v="0"/>
    <n v="0"/>
    <n v="1"/>
    <n v="0"/>
    <n v="0"/>
    <n v="0"/>
    <n v="0"/>
    <n v="0"/>
    <m/>
  </r>
  <r>
    <x v="689"/>
    <x v="8"/>
    <x v="3"/>
    <x v="0"/>
    <s v="français"/>
    <x v="2"/>
    <n v="3"/>
    <n v="0"/>
    <n v="0"/>
    <n v="0"/>
    <n v="0"/>
    <n v="0"/>
    <n v="0"/>
    <n v="0"/>
    <n v="0"/>
    <n v="1"/>
    <n v="0"/>
    <n v="0"/>
    <m/>
  </r>
  <r>
    <x v="690"/>
    <x v="8"/>
    <x v="3"/>
    <x v="0"/>
    <s v="français"/>
    <x v="1"/>
    <n v="0.5"/>
    <n v="0"/>
    <n v="0"/>
    <n v="0"/>
    <n v="0"/>
    <n v="0"/>
    <n v="0"/>
    <n v="0"/>
    <n v="0"/>
    <n v="0"/>
    <n v="1"/>
    <n v="0"/>
    <m/>
  </r>
  <r>
    <x v="691"/>
    <x v="8"/>
    <x v="3"/>
    <x v="0"/>
    <s v="français"/>
    <x v="1"/>
    <n v="0.5"/>
    <n v="1"/>
    <n v="0"/>
    <n v="1"/>
    <n v="0"/>
    <n v="0"/>
    <n v="0"/>
    <n v="0"/>
    <n v="0"/>
    <n v="0"/>
    <n v="0"/>
    <n v="0"/>
    <m/>
  </r>
  <r>
    <x v="692"/>
    <x v="5"/>
    <x v="4"/>
    <x v="0"/>
    <s v="français"/>
    <x v="0"/>
    <n v="10.5"/>
    <n v="1"/>
    <n v="0"/>
    <n v="1"/>
    <n v="1"/>
    <n v="0"/>
    <n v="0"/>
    <n v="0"/>
    <n v="0"/>
    <n v="0"/>
    <n v="0"/>
    <n v="0"/>
    <s v="Revue Le Muséon jusqu'alors à Bonivard - le lecteur voulait consulter toute la série à la salle Bonivard jusqu'à récemment et désormais en magasin Bonivard. Dernier numéro en salle des périodes présenté."/>
  </r>
  <r>
    <x v="693"/>
    <x v="7"/>
    <x v="4"/>
    <x v="0"/>
    <s v="français"/>
    <x v="3"/>
    <n v="20"/>
    <n v="0"/>
    <n v="0"/>
    <n v="0"/>
    <n v="0"/>
    <n v="1"/>
    <n v="0"/>
    <n v="0"/>
    <n v="0"/>
    <n v="0"/>
    <n v="0"/>
    <n v="0"/>
    <m/>
  </r>
  <r>
    <x v="694"/>
    <x v="7"/>
    <x v="4"/>
    <x v="0"/>
    <s v="français"/>
    <x v="0"/>
    <n v="10.5"/>
    <n v="0"/>
    <n v="1"/>
    <n v="1"/>
    <n v="0"/>
    <n v="0"/>
    <n v="0"/>
    <n v="0"/>
    <n v="0"/>
    <n v="0"/>
    <n v="0"/>
    <n v="0"/>
    <s v="Histoire économique genevoise"/>
  </r>
  <r>
    <x v="695"/>
    <x v="3"/>
    <x v="4"/>
    <x v="0"/>
    <s v="français"/>
    <x v="0"/>
    <n v="10.5"/>
    <n v="0"/>
    <n v="0"/>
    <n v="0"/>
    <n v="0"/>
    <n v="1"/>
    <n v="0"/>
    <n v="0"/>
    <n v="0"/>
    <n v="0"/>
    <n v="0"/>
    <n v="0"/>
    <m/>
  </r>
  <r>
    <x v="696"/>
    <x v="3"/>
    <x v="5"/>
    <x v="0"/>
    <s v="français"/>
    <x v="2"/>
    <n v="3"/>
    <n v="0"/>
    <n v="0"/>
    <n v="0"/>
    <n v="0"/>
    <n v="1"/>
    <n v="0"/>
    <n v="0"/>
    <n v="0"/>
    <n v="0"/>
    <n v="0"/>
    <n v="0"/>
    <m/>
  </r>
  <r>
    <x v="697"/>
    <x v="4"/>
    <x v="5"/>
    <x v="0"/>
    <s v="français"/>
    <x v="3"/>
    <n v="20"/>
    <n v="1"/>
    <n v="0"/>
    <n v="0"/>
    <n v="0"/>
    <n v="1"/>
    <n v="0"/>
    <n v="1"/>
    <n v="0"/>
    <n v="0"/>
    <n v="0"/>
    <n v="0"/>
    <m/>
  </r>
  <r>
    <x v="698"/>
    <x v="1"/>
    <x v="5"/>
    <x v="0"/>
    <s v="anglais"/>
    <x v="2"/>
    <n v="3"/>
    <n v="0"/>
    <n v="0"/>
    <n v="0"/>
    <n v="0"/>
    <n v="0"/>
    <n v="0"/>
    <n v="0"/>
    <n v="0"/>
    <n v="1"/>
    <n v="0"/>
    <n v="0"/>
    <m/>
  </r>
  <r>
    <x v="699"/>
    <x v="1"/>
    <x v="5"/>
    <x v="0"/>
    <s v="anglais"/>
    <x v="2"/>
    <n v="3"/>
    <n v="0"/>
    <n v="0"/>
    <n v="0"/>
    <n v="0"/>
    <n v="0"/>
    <n v="0"/>
    <n v="0"/>
    <n v="0"/>
    <n v="0"/>
    <n v="0"/>
    <n v="1"/>
    <s v="Réservation d'une salle pour événement =&gt; contacter la communication"/>
  </r>
  <r>
    <x v="700"/>
    <x v="1"/>
    <x v="5"/>
    <x v="0"/>
    <s v="français"/>
    <x v="0"/>
    <n v="10.5"/>
    <n v="1"/>
    <n v="0"/>
    <n v="0"/>
    <n v="0"/>
    <n v="1"/>
    <n v="1"/>
    <n v="0"/>
    <n v="0"/>
    <n v="0"/>
    <n v="0"/>
    <n v="0"/>
    <s v="Emprunt dictionnaire"/>
  </r>
  <r>
    <x v="701"/>
    <x v="1"/>
    <x v="5"/>
    <x v="0"/>
    <s v="anglais"/>
    <x v="0"/>
    <n v="10.5"/>
    <n v="0"/>
    <n v="0"/>
    <n v="0"/>
    <n v="0"/>
    <n v="1"/>
    <n v="0"/>
    <n v="0"/>
    <n v="0"/>
    <n v="0"/>
    <n v="0"/>
    <n v="0"/>
    <m/>
  </r>
  <r>
    <x v="702"/>
    <x v="2"/>
    <x v="5"/>
    <x v="0"/>
    <s v="français"/>
    <x v="2"/>
    <n v="3"/>
    <n v="0"/>
    <n v="0"/>
    <n v="0"/>
    <n v="0"/>
    <n v="0"/>
    <n v="0"/>
    <n v="0"/>
    <n v="1"/>
    <n v="0"/>
    <n v="0"/>
    <n v="0"/>
    <s v="Connexion wifi"/>
  </r>
  <r>
    <x v="703"/>
    <x v="2"/>
    <x v="5"/>
    <x v="0"/>
    <s v="français"/>
    <x v="1"/>
    <n v="0.5"/>
    <n v="0"/>
    <n v="0"/>
    <n v="0"/>
    <n v="0"/>
    <n v="0"/>
    <n v="0"/>
    <n v="0"/>
    <n v="0"/>
    <n v="0"/>
    <n v="1"/>
    <n v="0"/>
    <m/>
  </r>
  <r>
    <x v="704"/>
    <x v="1"/>
    <x v="0"/>
    <x v="1"/>
    <s v="français"/>
    <x v="0"/>
    <n v="10.5"/>
    <n v="0"/>
    <n v="0"/>
    <n v="0"/>
    <n v="0"/>
    <n v="1"/>
    <n v="0"/>
    <n v="0"/>
    <n v="0"/>
    <n v="0"/>
    <n v="0"/>
    <n v="0"/>
    <m/>
  </r>
  <r>
    <x v="705"/>
    <x v="1"/>
    <x v="0"/>
    <x v="0"/>
    <s v="français"/>
    <x v="2"/>
    <n v="3"/>
    <n v="0"/>
    <n v="0"/>
    <n v="0"/>
    <n v="0"/>
    <n v="0"/>
    <n v="0"/>
    <n v="0"/>
    <n v="0"/>
    <n v="0"/>
    <n v="0"/>
    <n v="1"/>
    <s v="Usager mangeant des chips dans la Salle des périodiques et dérangeant une usagère par le bruit (Aymen appelé)"/>
  </r>
  <r>
    <x v="706"/>
    <x v="1"/>
    <x v="0"/>
    <x v="0"/>
    <s v="français"/>
    <x v="1"/>
    <n v="0.5"/>
    <n v="0"/>
    <n v="0"/>
    <n v="0"/>
    <n v="0"/>
    <n v="0"/>
    <n v="0"/>
    <n v="0"/>
    <n v="0"/>
    <n v="0"/>
    <n v="1"/>
    <n v="0"/>
    <m/>
  </r>
  <r>
    <x v="707"/>
    <x v="1"/>
    <x v="0"/>
    <x v="0"/>
    <s v="français"/>
    <x v="1"/>
    <n v="0.5"/>
    <n v="0"/>
    <n v="0"/>
    <n v="0"/>
    <n v="0"/>
    <n v="0"/>
    <n v="0"/>
    <n v="0"/>
    <n v="0"/>
    <n v="0"/>
    <n v="0"/>
    <n v="1"/>
    <s v="Argent pour machine à café"/>
  </r>
  <r>
    <x v="708"/>
    <x v="8"/>
    <x v="0"/>
    <x v="0"/>
    <s v="français"/>
    <x v="2"/>
    <n v="3"/>
    <n v="0"/>
    <n v="0"/>
    <n v="0"/>
    <n v="0"/>
    <n v="1"/>
    <n v="0"/>
    <n v="0"/>
    <n v="0"/>
    <n v="0"/>
    <n v="0"/>
    <n v="0"/>
    <m/>
  </r>
  <r>
    <x v="709"/>
    <x v="8"/>
    <x v="0"/>
    <x v="0"/>
    <s v="français"/>
    <x v="1"/>
    <n v="0.5"/>
    <n v="0"/>
    <n v="0"/>
    <n v="0"/>
    <n v="0"/>
    <n v="0"/>
    <n v="0"/>
    <n v="0"/>
    <n v="0"/>
    <n v="0"/>
    <n v="1"/>
    <n v="0"/>
    <m/>
  </r>
  <r>
    <x v="710"/>
    <x v="8"/>
    <x v="0"/>
    <x v="0"/>
    <s v="français"/>
    <x v="2"/>
    <n v="3"/>
    <n v="0"/>
    <n v="0"/>
    <n v="0"/>
    <n v="0"/>
    <n v="0"/>
    <n v="0"/>
    <n v="0"/>
    <n v="0"/>
    <n v="1"/>
    <n v="0"/>
    <n v="0"/>
    <m/>
  </r>
  <r>
    <x v="711"/>
    <x v="7"/>
    <x v="1"/>
    <x v="0"/>
    <s v="français"/>
    <x v="0"/>
    <n v="10.5"/>
    <n v="0"/>
    <n v="0"/>
    <n v="1"/>
    <n v="0"/>
    <n v="1"/>
    <n v="0"/>
    <n v="0"/>
    <n v="0"/>
    <n v="1"/>
    <n v="0"/>
    <n v="0"/>
    <m/>
  </r>
  <r>
    <x v="712"/>
    <x v="1"/>
    <x v="1"/>
    <x v="0"/>
    <s v="français"/>
    <x v="2"/>
    <n v="3"/>
    <n v="0"/>
    <n v="0"/>
    <n v="0"/>
    <n v="0"/>
    <n v="0"/>
    <n v="0"/>
    <n v="1"/>
    <n v="0"/>
    <n v="0"/>
    <n v="0"/>
    <n v="0"/>
    <m/>
  </r>
  <r>
    <x v="713"/>
    <x v="8"/>
    <x v="1"/>
    <x v="0"/>
    <s v="français"/>
    <x v="2"/>
    <n v="3"/>
    <n v="1"/>
    <n v="0"/>
    <n v="1"/>
    <n v="0"/>
    <n v="0"/>
    <n v="0"/>
    <n v="0"/>
    <n v="0"/>
    <n v="0"/>
    <n v="0"/>
    <n v="0"/>
    <m/>
  </r>
  <r>
    <x v="714"/>
    <x v="8"/>
    <x v="1"/>
    <x v="0"/>
    <s v="français"/>
    <x v="2"/>
    <n v="3"/>
    <n v="0"/>
    <n v="0"/>
    <n v="0"/>
    <n v="0"/>
    <n v="0"/>
    <n v="0"/>
    <n v="0"/>
    <n v="1"/>
    <n v="0"/>
    <n v="0"/>
    <n v="0"/>
    <m/>
  </r>
  <r>
    <x v="715"/>
    <x v="8"/>
    <x v="1"/>
    <x v="0"/>
    <s v="français"/>
    <x v="1"/>
    <n v="0.5"/>
    <n v="0"/>
    <n v="0"/>
    <n v="0"/>
    <n v="0"/>
    <n v="0"/>
    <n v="0"/>
    <n v="0"/>
    <n v="0"/>
    <n v="0"/>
    <n v="1"/>
    <n v="0"/>
    <m/>
  </r>
  <r>
    <x v="716"/>
    <x v="8"/>
    <x v="1"/>
    <x v="0"/>
    <s v="français"/>
    <x v="2"/>
    <n v="3"/>
    <n v="1"/>
    <n v="0"/>
    <n v="1"/>
    <n v="0"/>
    <n v="0"/>
    <n v="0"/>
    <n v="0"/>
    <n v="0"/>
    <n v="0"/>
    <n v="0"/>
    <n v="0"/>
    <m/>
  </r>
  <r>
    <x v="717"/>
    <x v="5"/>
    <x v="2"/>
    <x v="1"/>
    <s v="français"/>
    <x v="2"/>
    <n v="3"/>
    <n v="0"/>
    <n v="0"/>
    <n v="0"/>
    <n v="0"/>
    <n v="0"/>
    <n v="0"/>
    <n v="0"/>
    <n v="0"/>
    <n v="0"/>
    <n v="0"/>
    <n v="1"/>
    <s v="Cherchait des informations mais pour l'UNIGE"/>
  </r>
  <r>
    <x v="718"/>
    <x v="5"/>
    <x v="2"/>
    <x v="0"/>
    <s v="français"/>
    <x v="2"/>
    <n v="3"/>
    <n v="1"/>
    <n v="0"/>
    <n v="0"/>
    <n v="0"/>
    <n v="0"/>
    <n v="0"/>
    <n v="0"/>
    <n v="0"/>
    <n v="0"/>
    <n v="0"/>
    <n v="0"/>
    <m/>
  </r>
  <r>
    <x v="719"/>
    <x v="5"/>
    <x v="2"/>
    <x v="1"/>
    <s v="français"/>
    <x v="0"/>
    <n v="10.5"/>
    <n v="1"/>
    <n v="0"/>
    <n v="1"/>
    <n v="0"/>
    <n v="0"/>
    <n v="0"/>
    <n v="0"/>
    <n v="0"/>
    <n v="0"/>
    <n v="0"/>
    <n v="0"/>
    <m/>
  </r>
  <r>
    <x v="720"/>
    <x v="5"/>
    <x v="2"/>
    <x v="0"/>
    <s v="français"/>
    <x v="1"/>
    <n v="0.5"/>
    <n v="0"/>
    <n v="0"/>
    <n v="0"/>
    <n v="0"/>
    <n v="0"/>
    <n v="0"/>
    <n v="0"/>
    <n v="0"/>
    <n v="1"/>
    <n v="0"/>
    <n v="0"/>
    <m/>
  </r>
  <r>
    <x v="721"/>
    <x v="0"/>
    <x v="2"/>
    <x v="0"/>
    <s v="français"/>
    <x v="0"/>
    <n v="10.5"/>
    <n v="1"/>
    <n v="0"/>
    <n v="0"/>
    <n v="0"/>
    <n v="0"/>
    <n v="0"/>
    <n v="0"/>
    <n v="0"/>
    <n v="0"/>
    <n v="0"/>
    <n v="0"/>
    <m/>
  </r>
  <r>
    <x v="722"/>
    <x v="0"/>
    <x v="2"/>
    <x v="1"/>
    <s v="français"/>
    <x v="0"/>
    <n v="10.5"/>
    <n v="1"/>
    <n v="0"/>
    <n v="1"/>
    <n v="1"/>
    <n v="0"/>
    <n v="0"/>
    <n v="0"/>
    <n v="0"/>
    <n v="0"/>
    <n v="0"/>
    <n v="0"/>
    <m/>
  </r>
  <r>
    <x v="723"/>
    <x v="1"/>
    <x v="2"/>
    <x v="0"/>
    <s v="français"/>
    <x v="2"/>
    <n v="3"/>
    <n v="0"/>
    <n v="0"/>
    <n v="0"/>
    <n v="0"/>
    <n v="0"/>
    <n v="0"/>
    <n v="1"/>
    <n v="0"/>
    <n v="0"/>
    <n v="0"/>
    <n v="0"/>
    <m/>
  </r>
  <r>
    <x v="724"/>
    <x v="2"/>
    <x v="2"/>
    <x v="0"/>
    <s v="français"/>
    <x v="2"/>
    <n v="3"/>
    <n v="1"/>
    <n v="0"/>
    <n v="1"/>
    <n v="0"/>
    <n v="0"/>
    <n v="0"/>
    <n v="0"/>
    <n v="0"/>
    <n v="0"/>
    <n v="0"/>
    <n v="0"/>
    <m/>
  </r>
  <r>
    <x v="725"/>
    <x v="5"/>
    <x v="3"/>
    <x v="0"/>
    <s v="français"/>
    <x v="1"/>
    <n v="0.5"/>
    <n v="0"/>
    <n v="0"/>
    <n v="0"/>
    <n v="0"/>
    <n v="0"/>
    <n v="0"/>
    <n v="0"/>
    <n v="0"/>
    <n v="1"/>
    <n v="0"/>
    <n v="0"/>
    <m/>
  </r>
  <r>
    <x v="726"/>
    <x v="7"/>
    <x v="3"/>
    <x v="0"/>
    <s v="français"/>
    <x v="2"/>
    <n v="3"/>
    <n v="0"/>
    <n v="0"/>
    <n v="0"/>
    <n v="0"/>
    <n v="0"/>
    <n v="0"/>
    <n v="1"/>
    <n v="0"/>
    <n v="0"/>
    <n v="0"/>
    <n v="0"/>
    <m/>
  </r>
  <r>
    <x v="727"/>
    <x v="3"/>
    <x v="3"/>
    <x v="1"/>
    <s v="français"/>
    <x v="0"/>
    <n v="10.5"/>
    <n v="1"/>
    <n v="0"/>
    <n v="1"/>
    <n v="0"/>
    <n v="0"/>
    <n v="0"/>
    <n v="0"/>
    <n v="0"/>
    <n v="0"/>
    <n v="0"/>
    <n v="0"/>
    <m/>
  </r>
  <r>
    <x v="728"/>
    <x v="4"/>
    <x v="3"/>
    <x v="1"/>
    <s v="français"/>
    <x v="0"/>
    <n v="10.5"/>
    <n v="1"/>
    <n v="0"/>
    <n v="0"/>
    <n v="0"/>
    <n v="0"/>
    <n v="0"/>
    <n v="0"/>
    <n v="0"/>
    <n v="0"/>
    <n v="0"/>
    <n v="0"/>
    <s v="Presse genevoise"/>
  </r>
  <r>
    <x v="729"/>
    <x v="6"/>
    <x v="3"/>
    <x v="0"/>
    <s v="français"/>
    <x v="2"/>
    <n v="3"/>
    <n v="0"/>
    <n v="0"/>
    <n v="0"/>
    <n v="0"/>
    <n v="0"/>
    <n v="0"/>
    <n v="0"/>
    <n v="0"/>
    <n v="0"/>
    <n v="0"/>
    <n v="1"/>
    <s v="ascenseur"/>
  </r>
  <r>
    <x v="730"/>
    <x v="6"/>
    <x v="3"/>
    <x v="0"/>
    <s v="français"/>
    <x v="2"/>
    <n v="3"/>
    <n v="1"/>
    <n v="0"/>
    <n v="1"/>
    <n v="0"/>
    <n v="0"/>
    <n v="0"/>
    <n v="0"/>
    <n v="0"/>
    <n v="0"/>
    <n v="0"/>
    <n v="0"/>
    <m/>
  </r>
  <r>
    <x v="731"/>
    <x v="6"/>
    <x v="3"/>
    <x v="0"/>
    <s v="français"/>
    <x v="2"/>
    <n v="3"/>
    <n v="1"/>
    <n v="0"/>
    <n v="1"/>
    <n v="0"/>
    <n v="0"/>
    <n v="0"/>
    <n v="0"/>
    <n v="0"/>
    <n v="0"/>
    <n v="0"/>
    <n v="0"/>
    <m/>
  </r>
  <r>
    <x v="732"/>
    <x v="7"/>
    <x v="4"/>
    <x v="0"/>
    <s v="français"/>
    <x v="0"/>
    <n v="10.5"/>
    <n v="1"/>
    <n v="0"/>
    <n v="1"/>
    <n v="0"/>
    <n v="0"/>
    <n v="0"/>
    <n v="0"/>
    <n v="0"/>
    <n v="0"/>
    <n v="0"/>
    <n v="0"/>
    <m/>
  </r>
  <r>
    <x v="733"/>
    <x v="7"/>
    <x v="4"/>
    <x v="0"/>
    <s v="français"/>
    <x v="2"/>
    <n v="3"/>
    <n v="0"/>
    <n v="0"/>
    <n v="0"/>
    <n v="0"/>
    <n v="0"/>
    <n v="0"/>
    <n v="0"/>
    <n v="0"/>
    <n v="0"/>
    <n v="1"/>
    <n v="0"/>
    <m/>
  </r>
  <r>
    <x v="734"/>
    <x v="7"/>
    <x v="4"/>
    <x v="1"/>
    <s v="français"/>
    <x v="2"/>
    <n v="3"/>
    <n v="0"/>
    <n v="0"/>
    <n v="0"/>
    <n v="0"/>
    <n v="0"/>
    <n v="0"/>
    <n v="0"/>
    <n v="0"/>
    <n v="0"/>
    <n v="0"/>
    <n v="1"/>
    <m/>
  </r>
  <r>
    <x v="735"/>
    <x v="0"/>
    <x v="5"/>
    <x v="0"/>
    <s v="français"/>
    <x v="0"/>
    <n v="10.5"/>
    <n v="0"/>
    <n v="0"/>
    <n v="0"/>
    <n v="0"/>
    <n v="0"/>
    <n v="0"/>
    <n v="0"/>
    <n v="1"/>
    <n v="0"/>
    <n v="0"/>
    <n v="0"/>
    <s v="Impressions"/>
  </r>
  <r>
    <x v="736"/>
    <x v="0"/>
    <x v="5"/>
    <x v="0"/>
    <s v="français"/>
    <x v="2"/>
    <n v="3"/>
    <n v="0"/>
    <n v="0"/>
    <n v="0"/>
    <n v="0"/>
    <n v="0"/>
    <n v="0"/>
    <n v="0"/>
    <n v="1"/>
    <n v="0"/>
    <n v="0"/>
    <n v="0"/>
    <s v="Impression"/>
  </r>
  <r>
    <x v="737"/>
    <x v="0"/>
    <x v="5"/>
    <x v="0"/>
    <s v="français"/>
    <x v="0"/>
    <n v="10.5"/>
    <n v="0"/>
    <n v="0"/>
    <n v="0"/>
    <n v="0"/>
    <n v="0"/>
    <n v="1"/>
    <n v="0"/>
    <n v="0"/>
    <n v="0"/>
    <n v="0"/>
    <n v="0"/>
    <m/>
  </r>
  <r>
    <x v="738"/>
    <x v="7"/>
    <x v="5"/>
    <x v="0"/>
    <s v="français"/>
    <x v="3"/>
    <n v="20"/>
    <n v="0"/>
    <n v="0"/>
    <n v="1"/>
    <n v="0"/>
    <n v="1"/>
    <n v="0"/>
    <n v="0"/>
    <n v="0"/>
    <n v="1"/>
    <n v="0"/>
    <n v="0"/>
    <m/>
  </r>
  <r>
    <x v="739"/>
    <x v="3"/>
    <x v="5"/>
    <x v="0"/>
    <s v="français"/>
    <x v="0"/>
    <n v="10.5"/>
    <n v="0"/>
    <n v="0"/>
    <n v="0"/>
    <n v="0"/>
    <n v="0"/>
    <n v="0"/>
    <n v="1"/>
    <n v="0"/>
    <n v="0"/>
    <n v="0"/>
    <n v="0"/>
    <m/>
  </r>
  <r>
    <x v="740"/>
    <x v="3"/>
    <x v="5"/>
    <x v="0"/>
    <s v="français"/>
    <x v="0"/>
    <n v="10.5"/>
    <n v="0"/>
    <n v="1"/>
    <n v="1"/>
    <n v="0"/>
    <n v="0"/>
    <n v="0"/>
    <n v="0"/>
    <n v="0"/>
    <n v="0"/>
    <n v="0"/>
    <n v="0"/>
    <m/>
  </r>
  <r>
    <x v="741"/>
    <x v="3"/>
    <x v="5"/>
    <x v="0"/>
    <s v="français"/>
    <x v="3"/>
    <n v="20"/>
    <n v="0"/>
    <n v="0"/>
    <n v="1"/>
    <n v="0"/>
    <n v="1"/>
    <n v="0"/>
    <n v="0"/>
    <n v="0"/>
    <n v="1"/>
    <n v="0"/>
    <n v="0"/>
    <m/>
  </r>
  <r>
    <x v="742"/>
    <x v="4"/>
    <x v="5"/>
    <x v="0"/>
    <s v="français"/>
    <x v="1"/>
    <n v="0.5"/>
    <n v="0"/>
    <n v="0"/>
    <n v="0"/>
    <n v="0"/>
    <n v="0"/>
    <n v="0"/>
    <n v="0"/>
    <n v="0"/>
    <n v="0"/>
    <n v="1"/>
    <n v="0"/>
    <m/>
  </r>
  <r>
    <x v="743"/>
    <x v="4"/>
    <x v="5"/>
    <x v="0"/>
    <s v="français"/>
    <x v="2"/>
    <n v="3"/>
    <n v="0"/>
    <n v="0"/>
    <n v="0"/>
    <n v="0"/>
    <n v="0"/>
    <n v="0"/>
    <n v="0"/>
    <n v="1"/>
    <n v="0"/>
    <n v="0"/>
    <n v="0"/>
    <m/>
  </r>
  <r>
    <x v="744"/>
    <x v="4"/>
    <x v="5"/>
    <x v="1"/>
    <s v="français"/>
    <x v="2"/>
    <n v="3"/>
    <n v="0"/>
    <n v="1"/>
    <n v="0"/>
    <n v="0"/>
    <n v="0"/>
    <n v="0"/>
    <n v="0"/>
    <n v="0"/>
    <n v="1"/>
    <n v="0"/>
    <n v="0"/>
    <s v="Recherche sur une loi votée en 1977 =&gt; redirigé sur interroge et les archives de la ville / de l'état"/>
  </r>
  <r>
    <x v="745"/>
    <x v="4"/>
    <x v="5"/>
    <x v="0"/>
    <s v="français"/>
    <x v="1"/>
    <n v="0.5"/>
    <n v="0"/>
    <n v="0"/>
    <n v="0"/>
    <n v="0"/>
    <n v="0"/>
    <n v="0"/>
    <n v="0"/>
    <n v="0"/>
    <n v="0"/>
    <n v="1"/>
    <n v="0"/>
    <m/>
  </r>
  <r>
    <x v="746"/>
    <x v="1"/>
    <x v="5"/>
    <x v="0"/>
    <s v="français"/>
    <x v="2"/>
    <n v="3"/>
    <n v="0"/>
    <n v="1"/>
    <n v="0"/>
    <n v="0"/>
    <n v="0"/>
    <n v="0"/>
    <n v="0"/>
    <n v="0"/>
    <n v="0"/>
    <n v="0"/>
    <n v="0"/>
    <m/>
  </r>
  <r>
    <x v="747"/>
    <x v="1"/>
    <x v="5"/>
    <x v="1"/>
    <s v="français"/>
    <x v="2"/>
    <n v="3"/>
    <n v="1"/>
    <n v="0"/>
    <n v="0"/>
    <n v="0"/>
    <n v="0"/>
    <n v="0"/>
    <n v="0"/>
    <n v="0"/>
    <n v="0"/>
    <n v="0"/>
    <n v="0"/>
    <s v=" Numéros de Le Travail : quotidien socialiste"/>
  </r>
  <r>
    <x v="748"/>
    <x v="1"/>
    <x v="5"/>
    <x v="0"/>
    <s v="français"/>
    <x v="0"/>
    <n v="10.5"/>
    <n v="0"/>
    <n v="0"/>
    <n v="0"/>
    <n v="0"/>
    <n v="1"/>
    <n v="0"/>
    <n v="0"/>
    <n v="0"/>
    <n v="0"/>
    <n v="0"/>
    <n v="1"/>
    <m/>
  </r>
  <r>
    <x v="749"/>
    <x v="2"/>
    <x v="5"/>
    <x v="0"/>
    <s v="français"/>
    <x v="0"/>
    <n v="10.5"/>
    <n v="0"/>
    <n v="0"/>
    <n v="0"/>
    <n v="0"/>
    <n v="1"/>
    <n v="0"/>
    <n v="0"/>
    <n v="0"/>
    <n v="0"/>
    <n v="0"/>
    <n v="0"/>
    <s v="Inscription pour accès ressources électroniques"/>
  </r>
  <r>
    <x v="750"/>
    <x v="2"/>
    <x v="5"/>
    <x v="0"/>
    <s v="français"/>
    <x v="3"/>
    <n v="20"/>
    <n v="0"/>
    <n v="1"/>
    <n v="0"/>
    <n v="0"/>
    <n v="0"/>
    <n v="1"/>
    <n v="0"/>
    <n v="0"/>
    <n v="0"/>
    <n v="1"/>
    <n v="1"/>
    <s v="Dictionnaires et traductions français-russe et français-ukrainien"/>
  </r>
  <r>
    <x v="751"/>
    <x v="2"/>
    <x v="5"/>
    <x v="0"/>
    <s v="français"/>
    <x v="0"/>
    <n v="10.5"/>
    <n v="1"/>
    <n v="0"/>
    <n v="0"/>
    <n v="0"/>
    <n v="0"/>
    <n v="0"/>
    <n v="0"/>
    <n v="0"/>
    <n v="0"/>
    <n v="0"/>
    <n v="0"/>
    <m/>
  </r>
  <r>
    <x v="752"/>
    <x v="2"/>
    <x v="5"/>
    <x v="0"/>
    <s v="français"/>
    <x v="1"/>
    <n v="0.5"/>
    <n v="0"/>
    <n v="0"/>
    <n v="0"/>
    <n v="0"/>
    <n v="0"/>
    <n v="0"/>
    <n v="0"/>
    <n v="1"/>
    <n v="0"/>
    <n v="0"/>
    <n v="0"/>
    <s v="Papier imprimante"/>
  </r>
  <r>
    <x v="753"/>
    <x v="2"/>
    <x v="5"/>
    <x v="0"/>
    <s v="français"/>
    <x v="2"/>
    <n v="3"/>
    <n v="0"/>
    <n v="0"/>
    <n v="0"/>
    <n v="0"/>
    <n v="0"/>
    <n v="1"/>
    <n v="0"/>
    <n v="0"/>
    <n v="1"/>
    <n v="0"/>
    <n v="0"/>
    <m/>
  </r>
  <r>
    <x v="754"/>
    <x v="8"/>
    <x v="5"/>
    <x v="0"/>
    <s v="français"/>
    <x v="2"/>
    <n v="3"/>
    <n v="0"/>
    <n v="0"/>
    <n v="0"/>
    <n v="0"/>
    <n v="0"/>
    <n v="0"/>
    <n v="1"/>
    <n v="0"/>
    <n v="0"/>
    <n v="0"/>
    <n v="0"/>
    <m/>
  </r>
  <r>
    <x v="755"/>
    <x v="1"/>
    <x v="0"/>
    <x v="0"/>
    <s v="français"/>
    <x v="0"/>
    <n v="10.5"/>
    <n v="0"/>
    <n v="0"/>
    <n v="0"/>
    <n v="0"/>
    <n v="1"/>
    <n v="0"/>
    <n v="0"/>
    <n v="0"/>
    <n v="0"/>
    <n v="0"/>
    <n v="0"/>
    <m/>
  </r>
  <r>
    <x v="756"/>
    <x v="1"/>
    <x v="0"/>
    <x v="0"/>
    <s v="français"/>
    <x v="1"/>
    <n v="0.5"/>
    <n v="0"/>
    <n v="0"/>
    <n v="0"/>
    <n v="0"/>
    <n v="0"/>
    <n v="0"/>
    <n v="0"/>
    <n v="1"/>
    <n v="0"/>
    <n v="0"/>
    <n v="1"/>
    <m/>
  </r>
  <r>
    <x v="757"/>
    <x v="1"/>
    <x v="0"/>
    <x v="0"/>
    <s v="français"/>
    <x v="2"/>
    <n v="3"/>
    <n v="1"/>
    <n v="0"/>
    <n v="1"/>
    <n v="0"/>
    <n v="0"/>
    <n v="0"/>
    <n v="0"/>
    <n v="0"/>
    <n v="0"/>
    <n v="0"/>
    <n v="0"/>
    <m/>
  </r>
  <r>
    <x v="758"/>
    <x v="2"/>
    <x v="0"/>
    <x v="0"/>
    <s v="français"/>
    <x v="3"/>
    <n v="20"/>
    <n v="1"/>
    <n v="0"/>
    <n v="1"/>
    <n v="0"/>
    <n v="0"/>
    <n v="0"/>
    <n v="1"/>
    <n v="0"/>
    <n v="0"/>
    <n v="0"/>
    <n v="0"/>
    <m/>
  </r>
  <r>
    <x v="759"/>
    <x v="8"/>
    <x v="0"/>
    <x v="0"/>
    <s v="français"/>
    <x v="2"/>
    <n v="3"/>
    <n v="0"/>
    <n v="0"/>
    <n v="0"/>
    <n v="0"/>
    <n v="0"/>
    <n v="0"/>
    <n v="0"/>
    <n v="0"/>
    <n v="1"/>
    <n v="0"/>
    <n v="0"/>
    <m/>
  </r>
  <r>
    <x v="760"/>
    <x v="8"/>
    <x v="0"/>
    <x v="0"/>
    <s v="français"/>
    <x v="1"/>
    <n v="0.5"/>
    <n v="0"/>
    <n v="0"/>
    <n v="0"/>
    <n v="0"/>
    <n v="0"/>
    <n v="0"/>
    <n v="0"/>
    <n v="0"/>
    <n v="0"/>
    <n v="1"/>
    <n v="0"/>
    <m/>
  </r>
  <r>
    <x v="761"/>
    <x v="8"/>
    <x v="0"/>
    <x v="0"/>
    <s v="français"/>
    <x v="1"/>
    <n v="0.5"/>
    <n v="0"/>
    <n v="0"/>
    <n v="0"/>
    <n v="0"/>
    <n v="0"/>
    <n v="0"/>
    <n v="0"/>
    <n v="0"/>
    <n v="0"/>
    <n v="0"/>
    <n v="1"/>
    <m/>
  </r>
  <r>
    <x v="762"/>
    <x v="0"/>
    <x v="1"/>
    <x v="1"/>
    <s v="français"/>
    <x v="0"/>
    <n v="10.5"/>
    <n v="1"/>
    <n v="0"/>
    <n v="0"/>
    <n v="0"/>
    <n v="0"/>
    <n v="0"/>
    <n v="0"/>
    <n v="0"/>
    <n v="1"/>
    <n v="0"/>
    <n v="0"/>
    <m/>
  </r>
  <r>
    <x v="763"/>
    <x v="0"/>
    <x v="1"/>
    <x v="0"/>
    <s v="français"/>
    <x v="2"/>
    <n v="3"/>
    <n v="0"/>
    <n v="0"/>
    <n v="0"/>
    <n v="0"/>
    <n v="0"/>
    <n v="0"/>
    <n v="0"/>
    <n v="1"/>
    <n v="1"/>
    <n v="0"/>
    <n v="0"/>
    <m/>
  </r>
  <r>
    <x v="764"/>
    <x v="3"/>
    <x v="1"/>
    <x v="0"/>
    <s v="français"/>
    <x v="2"/>
    <n v="3"/>
    <n v="0"/>
    <n v="0"/>
    <n v="0"/>
    <n v="0"/>
    <n v="0"/>
    <n v="0"/>
    <n v="0"/>
    <n v="0"/>
    <n v="0"/>
    <n v="1"/>
    <n v="0"/>
    <m/>
  </r>
  <r>
    <x v="765"/>
    <x v="3"/>
    <x v="1"/>
    <x v="1"/>
    <s v="français"/>
    <x v="2"/>
    <n v="3"/>
    <n v="0"/>
    <n v="0"/>
    <n v="0"/>
    <n v="0"/>
    <n v="0"/>
    <n v="0"/>
    <n v="0"/>
    <n v="0"/>
    <n v="1"/>
    <n v="0"/>
    <n v="0"/>
    <m/>
  </r>
  <r>
    <x v="766"/>
    <x v="4"/>
    <x v="1"/>
    <x v="0"/>
    <s v="français"/>
    <x v="0"/>
    <n v="10.5"/>
    <n v="0"/>
    <n v="0"/>
    <n v="1"/>
    <n v="0"/>
    <n v="0"/>
    <n v="1"/>
    <n v="0"/>
    <n v="0"/>
    <n v="0"/>
    <n v="0"/>
    <n v="0"/>
    <m/>
  </r>
  <r>
    <x v="767"/>
    <x v="4"/>
    <x v="1"/>
    <x v="0"/>
    <s v="français"/>
    <x v="1"/>
    <n v="0.5"/>
    <n v="0"/>
    <n v="0"/>
    <n v="0"/>
    <n v="0"/>
    <n v="0"/>
    <n v="0"/>
    <n v="1"/>
    <n v="0"/>
    <n v="0"/>
    <n v="0"/>
    <n v="0"/>
    <m/>
  </r>
  <r>
    <x v="768"/>
    <x v="1"/>
    <x v="1"/>
    <x v="0"/>
    <s v="anglais"/>
    <x v="2"/>
    <n v="3"/>
    <n v="0"/>
    <n v="0"/>
    <n v="0"/>
    <n v="0"/>
    <n v="0"/>
    <n v="0"/>
    <n v="0"/>
    <n v="0"/>
    <n v="1"/>
    <n v="0"/>
    <n v="0"/>
    <m/>
  </r>
  <r>
    <x v="769"/>
    <x v="1"/>
    <x v="1"/>
    <x v="0"/>
    <s v="français"/>
    <x v="2"/>
    <n v="3"/>
    <n v="0"/>
    <n v="0"/>
    <n v="0"/>
    <n v="0"/>
    <n v="1"/>
    <n v="0"/>
    <n v="0"/>
    <n v="0"/>
    <n v="0"/>
    <n v="0"/>
    <n v="0"/>
    <s v="Personne qui reviendra pour l'inscription car sa carte d'identité est échue"/>
  </r>
  <r>
    <x v="770"/>
    <x v="1"/>
    <x v="1"/>
    <x v="0"/>
    <s v="français"/>
    <x v="1"/>
    <n v="0.5"/>
    <n v="0"/>
    <n v="0"/>
    <n v="0"/>
    <n v="0"/>
    <n v="0"/>
    <n v="0"/>
    <n v="0"/>
    <n v="0"/>
    <n v="1"/>
    <n v="0"/>
    <n v="0"/>
    <m/>
  </r>
  <r>
    <x v="771"/>
    <x v="8"/>
    <x v="1"/>
    <x v="0"/>
    <s v="français"/>
    <x v="2"/>
    <n v="3"/>
    <n v="0"/>
    <n v="0"/>
    <n v="0"/>
    <n v="0"/>
    <n v="0"/>
    <n v="0"/>
    <n v="0"/>
    <n v="1"/>
    <n v="0"/>
    <n v="0"/>
    <n v="0"/>
    <m/>
  </r>
  <r>
    <x v="772"/>
    <x v="8"/>
    <x v="1"/>
    <x v="0"/>
    <s v="français"/>
    <x v="1"/>
    <n v="0.5"/>
    <n v="0"/>
    <n v="0"/>
    <n v="0"/>
    <n v="0"/>
    <n v="0"/>
    <n v="0"/>
    <n v="0"/>
    <n v="1"/>
    <n v="0"/>
    <n v="0"/>
    <n v="0"/>
    <m/>
  </r>
  <r>
    <x v="773"/>
    <x v="8"/>
    <x v="1"/>
    <x v="0"/>
    <s v="français"/>
    <x v="2"/>
    <n v="3"/>
    <n v="1"/>
    <n v="0"/>
    <n v="1"/>
    <n v="0"/>
    <n v="0"/>
    <n v="0"/>
    <n v="0"/>
    <n v="0"/>
    <n v="0"/>
    <n v="0"/>
    <n v="0"/>
    <m/>
  </r>
  <r>
    <x v="774"/>
    <x v="8"/>
    <x v="1"/>
    <x v="0"/>
    <s v="français"/>
    <x v="2"/>
    <n v="3"/>
    <n v="0"/>
    <n v="0"/>
    <n v="0"/>
    <n v="0"/>
    <n v="0"/>
    <n v="0"/>
    <n v="0"/>
    <n v="0"/>
    <n v="1"/>
    <n v="0"/>
    <n v="0"/>
    <m/>
  </r>
  <r>
    <x v="775"/>
    <x v="8"/>
    <x v="1"/>
    <x v="0"/>
    <s v="français"/>
    <x v="1"/>
    <n v="0.5"/>
    <n v="0"/>
    <n v="0"/>
    <n v="0"/>
    <n v="0"/>
    <n v="0"/>
    <n v="0"/>
    <n v="0"/>
    <n v="0"/>
    <n v="0"/>
    <n v="0"/>
    <n v="1"/>
    <m/>
  </r>
  <r>
    <x v="776"/>
    <x v="5"/>
    <x v="2"/>
    <x v="0"/>
    <s v="français"/>
    <x v="2"/>
    <n v="3"/>
    <n v="0"/>
    <n v="0"/>
    <n v="0"/>
    <n v="0"/>
    <n v="0"/>
    <n v="1"/>
    <n v="0"/>
    <n v="0"/>
    <n v="1"/>
    <n v="1"/>
    <n v="0"/>
    <m/>
  </r>
  <r>
    <x v="777"/>
    <x v="7"/>
    <x v="2"/>
    <x v="0"/>
    <s v="français"/>
    <x v="1"/>
    <n v="0.5"/>
    <n v="0"/>
    <n v="0"/>
    <n v="0"/>
    <n v="0"/>
    <n v="0"/>
    <n v="0"/>
    <n v="0"/>
    <n v="0"/>
    <n v="0"/>
    <n v="1"/>
    <n v="0"/>
    <m/>
  </r>
  <r>
    <x v="778"/>
    <x v="7"/>
    <x v="2"/>
    <x v="0"/>
    <s v="français"/>
    <x v="1"/>
    <n v="0.5"/>
    <n v="0"/>
    <n v="0"/>
    <n v="0"/>
    <n v="0"/>
    <n v="0"/>
    <n v="0"/>
    <n v="0"/>
    <n v="0"/>
    <n v="0"/>
    <n v="1"/>
    <n v="0"/>
    <m/>
  </r>
  <r>
    <x v="779"/>
    <x v="7"/>
    <x v="2"/>
    <x v="0"/>
    <s v="français"/>
    <x v="2"/>
    <n v="3"/>
    <n v="0"/>
    <n v="0"/>
    <n v="0"/>
    <n v="0"/>
    <n v="0"/>
    <n v="0"/>
    <n v="0"/>
    <n v="0"/>
    <n v="0"/>
    <n v="0"/>
    <n v="1"/>
    <m/>
  </r>
  <r>
    <x v="780"/>
    <x v="7"/>
    <x v="2"/>
    <x v="0"/>
    <s v="français"/>
    <x v="0"/>
    <n v="10.5"/>
    <n v="0"/>
    <n v="0"/>
    <n v="0"/>
    <n v="0"/>
    <n v="0"/>
    <n v="0"/>
    <n v="0"/>
    <n v="1"/>
    <n v="0"/>
    <n v="0"/>
    <n v="0"/>
    <m/>
  </r>
  <r>
    <x v="781"/>
    <x v="7"/>
    <x v="2"/>
    <x v="0"/>
    <s v="français"/>
    <x v="1"/>
    <n v="0.5"/>
    <n v="0"/>
    <n v="0"/>
    <n v="0"/>
    <n v="0"/>
    <n v="0"/>
    <n v="0"/>
    <n v="1"/>
    <n v="0"/>
    <n v="0"/>
    <n v="0"/>
    <n v="0"/>
    <m/>
  </r>
  <r>
    <x v="782"/>
    <x v="3"/>
    <x v="2"/>
    <x v="0"/>
    <s v="français"/>
    <x v="3"/>
    <n v="20"/>
    <n v="0"/>
    <n v="0"/>
    <n v="0"/>
    <n v="0"/>
    <n v="1"/>
    <n v="0"/>
    <n v="0"/>
    <n v="0"/>
    <n v="0"/>
    <n v="0"/>
    <n v="0"/>
    <m/>
  </r>
  <r>
    <x v="783"/>
    <x v="2"/>
    <x v="2"/>
    <x v="0"/>
    <s v="français"/>
    <x v="0"/>
    <n v="10.5"/>
    <n v="1"/>
    <n v="0"/>
    <n v="1"/>
    <n v="1"/>
    <n v="0"/>
    <n v="0"/>
    <n v="0"/>
    <n v="0"/>
    <n v="0"/>
    <n v="0"/>
    <n v="0"/>
    <m/>
  </r>
  <r>
    <x v="784"/>
    <x v="1"/>
    <x v="3"/>
    <x v="0"/>
    <s v="français"/>
    <x v="0"/>
    <n v="10.5"/>
    <n v="0"/>
    <n v="0"/>
    <n v="0"/>
    <n v="0"/>
    <n v="1"/>
    <n v="0"/>
    <n v="0"/>
    <n v="0"/>
    <n v="0"/>
    <n v="0"/>
    <n v="0"/>
    <m/>
  </r>
  <r>
    <x v="785"/>
    <x v="1"/>
    <x v="3"/>
    <x v="0"/>
    <s v="français"/>
    <x v="0"/>
    <n v="10.5"/>
    <n v="1"/>
    <n v="0"/>
    <n v="1"/>
    <n v="0"/>
    <n v="0"/>
    <n v="0"/>
    <n v="0"/>
    <n v="0"/>
    <n v="0"/>
    <n v="0"/>
    <n v="0"/>
    <m/>
  </r>
  <r>
    <x v="786"/>
    <x v="2"/>
    <x v="3"/>
    <x v="0"/>
    <s v="français"/>
    <x v="2"/>
    <n v="3"/>
    <n v="1"/>
    <n v="0"/>
    <n v="1"/>
    <n v="0"/>
    <n v="0"/>
    <n v="0"/>
    <n v="0"/>
    <n v="0"/>
    <n v="0"/>
    <n v="0"/>
    <n v="0"/>
    <s v="livres de Maurois"/>
  </r>
  <r>
    <x v="787"/>
    <x v="2"/>
    <x v="3"/>
    <x v="0"/>
    <s v="français"/>
    <x v="1"/>
    <n v="0.5"/>
    <n v="0"/>
    <n v="0"/>
    <n v="0"/>
    <n v="0"/>
    <n v="0"/>
    <n v="0"/>
    <n v="0"/>
    <n v="0"/>
    <n v="0"/>
    <n v="0"/>
    <n v="1"/>
    <s v="Y a-t-il qqch à voir sur/de Calvin à la BGE ?"/>
  </r>
  <r>
    <x v="788"/>
    <x v="2"/>
    <x v="3"/>
    <x v="0"/>
    <s v="français"/>
    <x v="2"/>
    <n v="3"/>
    <n v="1"/>
    <n v="0"/>
    <n v="1"/>
    <n v="0"/>
    <n v="0"/>
    <n v="0"/>
    <n v="0"/>
    <n v="0"/>
    <n v="0"/>
    <n v="0"/>
    <n v="0"/>
    <s v="Propagande radiophonique nazie"/>
  </r>
  <r>
    <x v="789"/>
    <x v="2"/>
    <x v="3"/>
    <x v="0"/>
    <s v="français"/>
    <x v="2"/>
    <n v="3"/>
    <n v="0"/>
    <n v="1"/>
    <n v="1"/>
    <n v="0"/>
    <n v="0"/>
    <n v="0"/>
    <n v="0"/>
    <n v="0"/>
    <n v="0"/>
    <n v="0"/>
    <n v="0"/>
    <s v="propagande radiophonique nazie"/>
  </r>
  <r>
    <x v="790"/>
    <x v="8"/>
    <x v="3"/>
    <x v="0"/>
    <s v="français"/>
    <x v="2"/>
    <n v="3"/>
    <n v="0"/>
    <n v="0"/>
    <n v="0"/>
    <n v="0"/>
    <n v="1"/>
    <n v="0"/>
    <n v="0"/>
    <n v="0"/>
    <n v="0"/>
    <n v="0"/>
    <n v="0"/>
    <m/>
  </r>
  <r>
    <x v="791"/>
    <x v="8"/>
    <x v="3"/>
    <x v="0"/>
    <s v="français"/>
    <x v="1"/>
    <n v="0.5"/>
    <n v="0"/>
    <n v="0"/>
    <n v="0"/>
    <n v="0"/>
    <n v="0"/>
    <n v="0"/>
    <n v="0"/>
    <n v="0"/>
    <n v="0"/>
    <n v="1"/>
    <n v="0"/>
    <m/>
  </r>
  <r>
    <x v="792"/>
    <x v="8"/>
    <x v="3"/>
    <x v="0"/>
    <s v="français"/>
    <x v="2"/>
    <n v="3"/>
    <n v="0"/>
    <n v="0"/>
    <n v="0"/>
    <n v="0"/>
    <n v="0"/>
    <n v="0"/>
    <n v="1"/>
    <n v="0"/>
    <n v="0"/>
    <n v="0"/>
    <n v="0"/>
    <m/>
  </r>
  <r>
    <x v="793"/>
    <x v="8"/>
    <x v="3"/>
    <x v="0"/>
    <s v="français"/>
    <x v="1"/>
    <n v="0.5"/>
    <n v="0"/>
    <n v="0"/>
    <n v="0"/>
    <n v="0"/>
    <n v="0"/>
    <n v="0"/>
    <n v="0"/>
    <n v="0"/>
    <n v="0"/>
    <n v="1"/>
    <n v="0"/>
    <m/>
  </r>
  <r>
    <x v="794"/>
    <x v="8"/>
    <x v="3"/>
    <x v="0"/>
    <s v="français"/>
    <x v="1"/>
    <n v="0.5"/>
    <n v="0"/>
    <n v="0"/>
    <n v="0"/>
    <n v="0"/>
    <n v="0"/>
    <n v="0"/>
    <n v="0"/>
    <n v="0"/>
    <n v="0"/>
    <n v="0"/>
    <n v="1"/>
    <m/>
  </r>
  <r>
    <x v="795"/>
    <x v="0"/>
    <x v="5"/>
    <x v="0"/>
    <s v="français"/>
    <x v="0"/>
    <n v="10.5"/>
    <n v="0"/>
    <n v="0"/>
    <n v="0"/>
    <n v="0"/>
    <n v="1"/>
    <n v="0"/>
    <n v="0"/>
    <n v="0"/>
    <n v="0"/>
    <n v="0"/>
    <n v="0"/>
    <m/>
  </r>
  <r>
    <x v="796"/>
    <x v="0"/>
    <x v="5"/>
    <x v="0"/>
    <s v="français"/>
    <x v="0"/>
    <n v="10.5"/>
    <n v="0"/>
    <n v="1"/>
    <n v="0"/>
    <n v="0"/>
    <n v="0"/>
    <n v="0"/>
    <n v="0"/>
    <n v="0"/>
    <n v="0"/>
    <n v="0"/>
    <n v="0"/>
    <m/>
  </r>
  <r>
    <x v="797"/>
    <x v="0"/>
    <x v="5"/>
    <x v="0"/>
    <s v="français"/>
    <x v="2"/>
    <n v="3"/>
    <n v="1"/>
    <n v="0"/>
    <n v="1"/>
    <n v="0"/>
    <n v="0"/>
    <n v="0"/>
    <n v="0"/>
    <n v="0"/>
    <n v="0"/>
    <n v="0"/>
    <n v="0"/>
    <m/>
  </r>
  <r>
    <x v="798"/>
    <x v="0"/>
    <x v="5"/>
    <x v="0"/>
    <s v="français"/>
    <x v="2"/>
    <n v="3"/>
    <n v="0"/>
    <n v="0"/>
    <n v="0"/>
    <n v="0"/>
    <n v="0"/>
    <n v="0"/>
    <n v="0"/>
    <n v="0"/>
    <n v="0"/>
    <n v="0"/>
    <n v="1"/>
    <s v="Recherche d'un exemplaire de la NZZ"/>
  </r>
  <r>
    <x v="799"/>
    <x v="7"/>
    <x v="5"/>
    <x v="0"/>
    <s v="français"/>
    <x v="2"/>
    <n v="3"/>
    <n v="0"/>
    <n v="0"/>
    <n v="0"/>
    <n v="0"/>
    <n v="0"/>
    <n v="0"/>
    <n v="0"/>
    <n v="1"/>
    <n v="0"/>
    <n v="0"/>
    <n v="0"/>
    <m/>
  </r>
  <r>
    <x v="800"/>
    <x v="3"/>
    <x v="5"/>
    <x v="0"/>
    <s v="français"/>
    <x v="2"/>
    <n v="3"/>
    <n v="0"/>
    <n v="0"/>
    <n v="0"/>
    <n v="0"/>
    <n v="1"/>
    <n v="0"/>
    <n v="0"/>
    <n v="0"/>
    <n v="0"/>
    <n v="0"/>
    <n v="0"/>
    <m/>
  </r>
  <r>
    <x v="801"/>
    <x v="1"/>
    <x v="5"/>
    <x v="0"/>
    <s v="français"/>
    <x v="2"/>
    <n v="3"/>
    <n v="0"/>
    <n v="0"/>
    <n v="0"/>
    <n v="0"/>
    <n v="0"/>
    <n v="0"/>
    <n v="1"/>
    <n v="0"/>
    <n v="0"/>
    <n v="0"/>
    <n v="0"/>
    <m/>
  </r>
  <r>
    <x v="802"/>
    <x v="1"/>
    <x v="5"/>
    <x v="0"/>
    <s v="français"/>
    <x v="2"/>
    <n v="3"/>
    <n v="1"/>
    <n v="0"/>
    <n v="0"/>
    <n v="0"/>
    <n v="0"/>
    <n v="0"/>
    <n v="0"/>
    <n v="0"/>
    <n v="0"/>
    <n v="0"/>
    <n v="0"/>
    <m/>
  </r>
  <r>
    <x v="803"/>
    <x v="1"/>
    <x v="5"/>
    <x v="0"/>
    <s v="français"/>
    <x v="3"/>
    <n v="20"/>
    <n v="0"/>
    <n v="0"/>
    <n v="0"/>
    <n v="0"/>
    <n v="0"/>
    <n v="0"/>
    <n v="0"/>
    <n v="1"/>
    <n v="0"/>
    <n v="0"/>
    <n v="0"/>
    <m/>
  </r>
  <r>
    <x v="804"/>
    <x v="1"/>
    <x v="5"/>
    <x v="0"/>
    <s v="français"/>
    <x v="2"/>
    <n v="3"/>
    <n v="0"/>
    <n v="0"/>
    <n v="0"/>
    <n v="0"/>
    <n v="0"/>
    <n v="0"/>
    <n v="0"/>
    <n v="0"/>
    <n v="1"/>
    <n v="1"/>
    <n v="0"/>
    <m/>
  </r>
  <r>
    <x v="805"/>
    <x v="2"/>
    <x v="5"/>
    <x v="0"/>
    <s v="anglais"/>
    <x v="2"/>
    <n v="3"/>
    <n v="0"/>
    <n v="0"/>
    <n v="0"/>
    <n v="0"/>
    <n v="0"/>
    <n v="0"/>
    <n v="1"/>
    <n v="0"/>
    <n v="0"/>
    <n v="0"/>
    <n v="0"/>
    <m/>
  </r>
  <r>
    <x v="806"/>
    <x v="2"/>
    <x v="5"/>
    <x v="0"/>
    <s v="français"/>
    <x v="2"/>
    <n v="3"/>
    <n v="1"/>
    <n v="0"/>
    <n v="0"/>
    <n v="0"/>
    <n v="0"/>
    <n v="0"/>
    <n v="0"/>
    <n v="0"/>
    <n v="0"/>
    <n v="0"/>
    <n v="0"/>
    <m/>
  </r>
  <r>
    <x v="807"/>
    <x v="2"/>
    <x v="5"/>
    <x v="0"/>
    <s v="français"/>
    <x v="1"/>
    <n v="0.5"/>
    <n v="0"/>
    <n v="0"/>
    <n v="0"/>
    <n v="0"/>
    <n v="0"/>
    <n v="0"/>
    <n v="0"/>
    <n v="0"/>
    <n v="1"/>
    <n v="0"/>
    <n v="0"/>
    <s v="Réservation salle de réunion"/>
  </r>
  <r>
    <x v="808"/>
    <x v="2"/>
    <x v="5"/>
    <x v="1"/>
    <s v="français"/>
    <x v="1"/>
    <n v="0.5"/>
    <n v="0"/>
    <n v="0"/>
    <n v="0"/>
    <n v="0"/>
    <n v="0"/>
    <n v="0"/>
    <n v="0"/>
    <n v="0"/>
    <n v="0"/>
    <n v="0"/>
    <n v="0"/>
    <s v="Annulation réservation salle de réunion"/>
  </r>
  <r>
    <x v="809"/>
    <x v="2"/>
    <x v="5"/>
    <x v="0"/>
    <s v="français"/>
    <x v="1"/>
    <n v="0.5"/>
    <n v="0"/>
    <n v="0"/>
    <n v="0"/>
    <n v="0"/>
    <n v="0"/>
    <n v="0"/>
    <n v="0"/>
    <n v="1"/>
    <n v="0"/>
    <n v="0"/>
    <n v="0"/>
    <m/>
  </r>
  <r>
    <x v="810"/>
    <x v="2"/>
    <x v="5"/>
    <x v="0"/>
    <s v="français"/>
    <x v="2"/>
    <n v="3"/>
    <n v="1"/>
    <n v="0"/>
    <n v="0"/>
    <n v="0"/>
    <n v="0"/>
    <n v="1"/>
    <n v="0"/>
    <n v="0"/>
    <n v="0"/>
    <n v="0"/>
    <n v="0"/>
    <m/>
  </r>
  <r>
    <x v="811"/>
    <x v="6"/>
    <x v="0"/>
    <x v="0"/>
    <s v="français"/>
    <x v="2"/>
    <n v="3"/>
    <n v="0"/>
    <n v="0"/>
    <n v="0"/>
    <n v="0"/>
    <n v="1"/>
    <n v="0"/>
    <n v="0"/>
    <n v="0"/>
    <n v="0"/>
    <n v="0"/>
    <n v="0"/>
    <m/>
  </r>
  <r>
    <x v="812"/>
    <x v="6"/>
    <x v="0"/>
    <x v="1"/>
    <s v="français"/>
    <x v="2"/>
    <n v="3"/>
    <n v="0"/>
    <n v="0"/>
    <n v="0"/>
    <n v="0"/>
    <n v="0"/>
    <n v="0"/>
    <n v="0"/>
    <n v="0"/>
    <n v="0"/>
    <n v="1"/>
    <n v="0"/>
    <m/>
  </r>
  <r>
    <x v="813"/>
    <x v="6"/>
    <x v="0"/>
    <x v="0"/>
    <s v="français"/>
    <x v="2"/>
    <n v="3"/>
    <n v="1"/>
    <n v="0"/>
    <n v="1"/>
    <n v="0"/>
    <n v="0"/>
    <n v="0"/>
    <n v="0"/>
    <n v="0"/>
    <n v="0"/>
    <n v="0"/>
    <n v="0"/>
    <m/>
  </r>
  <r>
    <x v="814"/>
    <x v="0"/>
    <x v="1"/>
    <x v="0"/>
    <s v="français"/>
    <x v="0"/>
    <n v="10.5"/>
    <n v="0"/>
    <n v="0"/>
    <n v="0"/>
    <n v="0"/>
    <n v="1"/>
    <n v="0"/>
    <n v="0"/>
    <n v="0"/>
    <n v="1"/>
    <n v="0"/>
    <n v="0"/>
    <m/>
  </r>
  <r>
    <x v="815"/>
    <x v="3"/>
    <x v="1"/>
    <x v="0"/>
    <s v="français"/>
    <x v="1"/>
    <n v="0.5"/>
    <n v="0"/>
    <n v="0"/>
    <n v="0"/>
    <n v="0"/>
    <n v="0"/>
    <n v="0"/>
    <n v="0"/>
    <n v="1"/>
    <n v="0"/>
    <n v="0"/>
    <n v="0"/>
    <m/>
  </r>
  <r>
    <x v="816"/>
    <x v="3"/>
    <x v="1"/>
    <x v="0"/>
    <s v="français"/>
    <x v="1"/>
    <n v="0.5"/>
    <n v="0"/>
    <n v="0"/>
    <n v="0"/>
    <n v="0"/>
    <n v="0"/>
    <n v="0"/>
    <n v="0"/>
    <n v="1"/>
    <n v="0"/>
    <n v="0"/>
    <n v="0"/>
    <m/>
  </r>
  <r>
    <x v="817"/>
    <x v="4"/>
    <x v="1"/>
    <x v="1"/>
    <s v="français"/>
    <x v="2"/>
    <n v="3"/>
    <n v="1"/>
    <n v="0"/>
    <n v="1"/>
    <n v="0"/>
    <n v="0"/>
    <n v="0"/>
    <n v="0"/>
    <n v="0"/>
    <n v="0"/>
    <n v="0"/>
    <n v="0"/>
    <m/>
  </r>
  <r>
    <x v="818"/>
    <x v="4"/>
    <x v="1"/>
    <x v="0"/>
    <s v="français"/>
    <x v="0"/>
    <n v="10.5"/>
    <n v="0"/>
    <n v="0"/>
    <n v="0"/>
    <n v="0"/>
    <n v="0"/>
    <n v="0"/>
    <n v="0"/>
    <n v="1"/>
    <n v="0"/>
    <n v="0"/>
    <n v="0"/>
    <m/>
  </r>
  <r>
    <x v="819"/>
    <x v="1"/>
    <x v="1"/>
    <x v="0"/>
    <s v="français"/>
    <x v="1"/>
    <n v="0.5"/>
    <n v="0"/>
    <n v="0"/>
    <n v="0"/>
    <n v="0"/>
    <n v="0"/>
    <n v="0"/>
    <n v="0"/>
    <n v="0"/>
    <n v="0"/>
    <n v="1"/>
    <n v="0"/>
    <m/>
  </r>
  <r>
    <x v="820"/>
    <x v="1"/>
    <x v="1"/>
    <x v="0"/>
    <s v="français"/>
    <x v="1"/>
    <n v="0.5"/>
    <n v="0"/>
    <n v="0"/>
    <n v="0"/>
    <n v="0"/>
    <n v="0"/>
    <n v="0"/>
    <n v="0"/>
    <n v="0"/>
    <n v="1"/>
    <n v="0"/>
    <n v="0"/>
    <m/>
  </r>
  <r>
    <x v="821"/>
    <x v="1"/>
    <x v="1"/>
    <x v="0"/>
    <s v="français"/>
    <x v="2"/>
    <n v="3"/>
    <n v="0"/>
    <n v="0"/>
    <n v="0"/>
    <n v="0"/>
    <n v="0"/>
    <n v="0"/>
    <n v="0"/>
    <n v="0"/>
    <n v="0"/>
    <n v="0"/>
    <n v="1"/>
    <s v="Demande d'impression gratuite... Des exceptions ayant été faites pour cette dame au minimum déjà deux fois, j'ai refusé sa demande et lui ai dit d'aller acheter une carte à la loge"/>
  </r>
  <r>
    <x v="822"/>
    <x v="5"/>
    <x v="3"/>
    <x v="0"/>
    <s v="français"/>
    <x v="0"/>
    <n v="10.5"/>
    <n v="1"/>
    <n v="0"/>
    <n v="1"/>
    <n v="0"/>
    <n v="0"/>
    <n v="0"/>
    <n v="0"/>
    <n v="0"/>
    <n v="0"/>
    <n v="0"/>
    <n v="0"/>
    <m/>
  </r>
  <r>
    <x v="823"/>
    <x v="5"/>
    <x v="3"/>
    <x v="0"/>
    <s v="français"/>
    <x v="1"/>
    <n v="0.5"/>
    <n v="0"/>
    <n v="0"/>
    <n v="0"/>
    <n v="0"/>
    <n v="0"/>
    <n v="0"/>
    <n v="0"/>
    <n v="0"/>
    <n v="0"/>
    <n v="1"/>
    <n v="0"/>
    <m/>
  </r>
  <r>
    <x v="824"/>
    <x v="5"/>
    <x v="3"/>
    <x v="1"/>
    <s v="français"/>
    <x v="1"/>
    <n v="0.5"/>
    <n v="0"/>
    <n v="0"/>
    <n v="0"/>
    <n v="0"/>
    <n v="0"/>
    <n v="0"/>
    <n v="0"/>
    <n v="0"/>
    <n v="1"/>
    <n v="0"/>
    <n v="0"/>
    <m/>
  </r>
  <r>
    <x v="825"/>
    <x v="0"/>
    <x v="3"/>
    <x v="0"/>
    <s v="français"/>
    <x v="2"/>
    <n v="3"/>
    <n v="1"/>
    <n v="0"/>
    <n v="1"/>
    <n v="0"/>
    <n v="0"/>
    <n v="0"/>
    <n v="0"/>
    <n v="0"/>
    <n v="0"/>
    <n v="0"/>
    <n v="0"/>
    <m/>
  </r>
  <r>
    <x v="826"/>
    <x v="0"/>
    <x v="3"/>
    <x v="0"/>
    <s v="français"/>
    <x v="2"/>
    <n v="3"/>
    <n v="0"/>
    <n v="0"/>
    <n v="0"/>
    <n v="0"/>
    <n v="1"/>
    <n v="0"/>
    <n v="0"/>
    <n v="0"/>
    <n v="0"/>
    <n v="0"/>
    <n v="0"/>
    <m/>
  </r>
  <r>
    <x v="827"/>
    <x v="7"/>
    <x v="3"/>
    <x v="0"/>
    <s v="français"/>
    <x v="0"/>
    <n v="10.5"/>
    <n v="1"/>
    <n v="0"/>
    <n v="1"/>
    <n v="0"/>
    <n v="0"/>
    <n v="0"/>
    <n v="0"/>
    <n v="0"/>
    <n v="0"/>
    <n v="0"/>
    <n v="0"/>
    <m/>
  </r>
  <r>
    <x v="828"/>
    <x v="7"/>
    <x v="3"/>
    <x v="0"/>
    <s v="français"/>
    <x v="1"/>
    <n v="0.5"/>
    <n v="1"/>
    <n v="0"/>
    <n v="1"/>
    <n v="0"/>
    <n v="0"/>
    <n v="0"/>
    <n v="0"/>
    <n v="0"/>
    <n v="0"/>
    <n v="0"/>
    <n v="0"/>
    <m/>
  </r>
  <r>
    <x v="829"/>
    <x v="7"/>
    <x v="3"/>
    <x v="0"/>
    <s v="français"/>
    <x v="1"/>
    <n v="0.5"/>
    <n v="0"/>
    <n v="0"/>
    <n v="0"/>
    <n v="0"/>
    <n v="0"/>
    <n v="0"/>
    <n v="0"/>
    <n v="0"/>
    <n v="0"/>
    <n v="1"/>
    <n v="0"/>
    <m/>
  </r>
  <r>
    <x v="830"/>
    <x v="7"/>
    <x v="3"/>
    <x v="1"/>
    <s v="français"/>
    <x v="1"/>
    <n v="0.5"/>
    <n v="0"/>
    <n v="0"/>
    <n v="0"/>
    <n v="0"/>
    <n v="0"/>
    <n v="0"/>
    <n v="0"/>
    <n v="0"/>
    <n v="0"/>
    <n v="0"/>
    <n v="1"/>
    <s v="question sur service civil"/>
  </r>
  <r>
    <x v="831"/>
    <x v="3"/>
    <x v="3"/>
    <x v="1"/>
    <s v="français"/>
    <x v="0"/>
    <n v="10.5"/>
    <n v="0"/>
    <n v="0"/>
    <n v="0"/>
    <n v="0"/>
    <n v="0"/>
    <n v="0"/>
    <n v="0"/>
    <n v="0"/>
    <n v="1"/>
    <n v="0"/>
    <n v="0"/>
    <m/>
  </r>
  <r>
    <x v="832"/>
    <x v="3"/>
    <x v="3"/>
    <x v="0"/>
    <s v="français"/>
    <x v="0"/>
    <n v="10.5"/>
    <n v="0"/>
    <n v="0"/>
    <n v="1"/>
    <n v="0"/>
    <n v="0"/>
    <n v="1"/>
    <n v="0"/>
    <n v="0"/>
    <n v="0"/>
    <n v="0"/>
    <n v="0"/>
    <m/>
  </r>
  <r>
    <x v="833"/>
    <x v="1"/>
    <x v="3"/>
    <x v="0"/>
    <s v="français"/>
    <x v="0"/>
    <n v="10.5"/>
    <n v="0"/>
    <n v="0"/>
    <n v="1"/>
    <n v="0"/>
    <n v="0"/>
    <n v="1"/>
    <n v="0"/>
    <n v="0"/>
    <n v="1"/>
    <n v="0"/>
    <n v="0"/>
    <m/>
  </r>
  <r>
    <x v="834"/>
    <x v="1"/>
    <x v="3"/>
    <x v="0"/>
    <s v="français"/>
    <x v="2"/>
    <n v="3"/>
    <n v="0"/>
    <n v="0"/>
    <n v="0"/>
    <n v="0"/>
    <n v="0"/>
    <n v="0"/>
    <n v="0"/>
    <n v="0"/>
    <n v="0"/>
    <n v="1"/>
    <n v="0"/>
    <m/>
  </r>
  <r>
    <x v="835"/>
    <x v="1"/>
    <x v="3"/>
    <x v="0"/>
    <s v="français"/>
    <x v="2"/>
    <n v="3"/>
    <n v="0"/>
    <n v="0"/>
    <n v="0"/>
    <n v="0"/>
    <n v="0"/>
    <n v="0"/>
    <n v="0"/>
    <n v="1"/>
    <n v="0"/>
    <n v="0"/>
    <n v="0"/>
    <m/>
  </r>
  <r>
    <x v="836"/>
    <x v="5"/>
    <x v="4"/>
    <x v="0"/>
    <s v="français"/>
    <x v="2"/>
    <n v="3"/>
    <n v="0"/>
    <n v="0"/>
    <n v="0"/>
    <n v="0"/>
    <n v="0"/>
    <n v="0"/>
    <n v="1"/>
    <n v="0"/>
    <n v="0"/>
    <n v="0"/>
    <n v="0"/>
    <m/>
  </r>
  <r>
    <x v="837"/>
    <x v="5"/>
    <x v="4"/>
    <x v="0"/>
    <s v="français"/>
    <x v="0"/>
    <n v="10.5"/>
    <n v="1"/>
    <n v="0"/>
    <n v="1"/>
    <n v="0"/>
    <n v="0"/>
    <n v="0"/>
    <n v="0"/>
    <n v="0"/>
    <n v="1"/>
    <n v="0"/>
    <n v="0"/>
    <m/>
  </r>
  <r>
    <x v="838"/>
    <x v="7"/>
    <x v="4"/>
    <x v="0"/>
    <s v="français"/>
    <x v="0"/>
    <n v="10.5"/>
    <n v="0"/>
    <n v="0"/>
    <n v="1"/>
    <n v="0"/>
    <n v="1"/>
    <n v="0"/>
    <n v="0"/>
    <n v="0"/>
    <n v="1"/>
    <n v="0"/>
    <n v="0"/>
    <m/>
  </r>
  <r>
    <x v="839"/>
    <x v="7"/>
    <x v="4"/>
    <x v="0"/>
    <s v="français"/>
    <x v="2"/>
    <n v="3"/>
    <n v="1"/>
    <n v="0"/>
    <n v="1"/>
    <n v="0"/>
    <n v="0"/>
    <n v="1"/>
    <n v="0"/>
    <n v="0"/>
    <n v="0"/>
    <n v="0"/>
    <n v="0"/>
    <m/>
  </r>
  <r>
    <x v="840"/>
    <x v="7"/>
    <x v="4"/>
    <x v="0"/>
    <s v="français"/>
    <x v="0"/>
    <n v="10.5"/>
    <n v="0"/>
    <n v="0"/>
    <n v="1"/>
    <n v="0"/>
    <n v="1"/>
    <n v="0"/>
    <n v="0"/>
    <n v="0"/>
    <n v="1"/>
    <n v="0"/>
    <n v="0"/>
    <m/>
  </r>
  <r>
    <x v="841"/>
    <x v="7"/>
    <x v="4"/>
    <x v="0"/>
    <s v="français"/>
    <x v="1"/>
    <n v="0.5"/>
    <n v="0"/>
    <n v="0"/>
    <n v="0"/>
    <n v="0"/>
    <n v="0"/>
    <n v="0"/>
    <n v="0"/>
    <n v="0"/>
    <n v="0"/>
    <n v="0"/>
    <n v="1"/>
    <s v="Plainte car un usager dors et ronfle "/>
  </r>
  <r>
    <x v="842"/>
    <x v="5"/>
    <x v="5"/>
    <x v="1"/>
    <s v="français"/>
    <x v="2"/>
    <n v="3"/>
    <n v="1"/>
    <n v="0"/>
    <n v="0"/>
    <n v="1"/>
    <n v="0"/>
    <n v="0"/>
    <n v="0"/>
    <n v="0"/>
    <n v="0"/>
    <n v="0"/>
    <n v="0"/>
    <s v="Recherche d'un ancien article de la TDG: explications quant à l'utillisation du lecteur de microformes en SL"/>
  </r>
  <r>
    <x v="843"/>
    <x v="5"/>
    <x v="5"/>
    <x v="0"/>
    <s v="français"/>
    <x v="0"/>
    <n v="10.5"/>
    <n v="0"/>
    <n v="0"/>
    <n v="0"/>
    <n v="0"/>
    <n v="0"/>
    <n v="0"/>
    <n v="0"/>
    <n v="1"/>
    <n v="0"/>
    <n v="0"/>
    <n v="0"/>
    <s v="Tentative d'accéder au WIFI Ville sur un smartphone privé"/>
  </r>
  <r>
    <x v="844"/>
    <x v="7"/>
    <x v="5"/>
    <x v="0"/>
    <s v="français"/>
    <x v="1"/>
    <n v="0.5"/>
    <n v="0"/>
    <n v="0"/>
    <n v="0"/>
    <n v="0"/>
    <n v="0"/>
    <n v="0"/>
    <n v="0"/>
    <n v="0"/>
    <n v="0"/>
    <n v="1"/>
    <n v="0"/>
    <m/>
  </r>
  <r>
    <x v="845"/>
    <x v="7"/>
    <x v="5"/>
    <x v="0"/>
    <s v="français"/>
    <x v="1"/>
    <n v="0.5"/>
    <n v="0"/>
    <n v="0"/>
    <n v="0"/>
    <n v="0"/>
    <n v="0"/>
    <n v="0"/>
    <n v="0"/>
    <n v="0"/>
    <n v="0"/>
    <n v="1"/>
    <n v="0"/>
    <m/>
  </r>
  <r>
    <x v="846"/>
    <x v="3"/>
    <x v="5"/>
    <x v="0"/>
    <s v="français"/>
    <x v="0"/>
    <n v="10.5"/>
    <n v="0"/>
    <n v="0"/>
    <n v="1"/>
    <n v="0"/>
    <n v="1"/>
    <n v="0"/>
    <n v="0"/>
    <n v="0"/>
    <n v="1"/>
    <n v="0"/>
    <n v="0"/>
    <m/>
  </r>
  <r>
    <x v="847"/>
    <x v="3"/>
    <x v="5"/>
    <x v="0"/>
    <s v="français"/>
    <x v="0"/>
    <n v="10.5"/>
    <n v="0"/>
    <n v="0"/>
    <n v="0"/>
    <n v="0"/>
    <n v="1"/>
    <n v="0"/>
    <n v="0"/>
    <n v="0"/>
    <n v="0"/>
    <n v="0"/>
    <n v="0"/>
    <m/>
  </r>
  <r>
    <x v="848"/>
    <x v="3"/>
    <x v="5"/>
    <x v="0"/>
    <s v="français"/>
    <x v="0"/>
    <n v="10.5"/>
    <n v="0"/>
    <n v="0"/>
    <n v="0"/>
    <n v="0"/>
    <n v="0"/>
    <n v="0"/>
    <n v="0"/>
    <n v="0"/>
    <n v="1"/>
    <n v="1"/>
    <n v="0"/>
    <m/>
  </r>
  <r>
    <x v="849"/>
    <x v="1"/>
    <x v="5"/>
    <x v="0"/>
    <s v="français"/>
    <x v="1"/>
    <n v="0.5"/>
    <n v="0"/>
    <n v="0"/>
    <n v="0"/>
    <n v="0"/>
    <n v="0"/>
    <n v="0"/>
    <n v="1"/>
    <n v="0"/>
    <n v="0"/>
    <n v="0"/>
    <n v="0"/>
    <m/>
  </r>
  <r>
    <x v="850"/>
    <x v="1"/>
    <x v="5"/>
    <x v="0"/>
    <s v="français"/>
    <x v="1"/>
    <n v="0.5"/>
    <n v="0"/>
    <n v="0"/>
    <n v="0"/>
    <n v="0"/>
    <n v="0"/>
    <n v="0"/>
    <n v="0"/>
    <n v="0"/>
    <n v="0"/>
    <n v="0"/>
    <n v="1"/>
    <s v="Emprunt casque"/>
  </r>
  <r>
    <x v="851"/>
    <x v="1"/>
    <x v="5"/>
    <x v="0"/>
    <s v="français"/>
    <x v="1"/>
    <n v="0.5"/>
    <n v="0"/>
    <n v="0"/>
    <n v="0"/>
    <n v="0"/>
    <n v="0"/>
    <n v="0"/>
    <n v="0"/>
    <n v="0"/>
    <n v="0"/>
    <n v="1"/>
    <n v="0"/>
    <m/>
  </r>
  <r>
    <x v="852"/>
    <x v="2"/>
    <x v="5"/>
    <x v="0"/>
    <s v="français"/>
    <x v="2"/>
    <n v="3"/>
    <n v="0"/>
    <n v="0"/>
    <n v="0"/>
    <n v="0"/>
    <n v="1"/>
    <n v="0"/>
    <n v="0"/>
    <n v="0"/>
    <n v="0"/>
    <n v="0"/>
    <n v="0"/>
    <m/>
  </r>
  <r>
    <x v="853"/>
    <x v="2"/>
    <x v="5"/>
    <x v="0"/>
    <s v="français"/>
    <x v="0"/>
    <n v="10.5"/>
    <n v="0"/>
    <n v="0"/>
    <n v="0"/>
    <n v="0"/>
    <n v="1"/>
    <n v="0"/>
    <n v="0"/>
    <n v="0"/>
    <n v="0"/>
    <n v="0"/>
    <n v="0"/>
    <m/>
  </r>
  <r>
    <x v="854"/>
    <x v="2"/>
    <x v="5"/>
    <x v="0"/>
    <s v="français"/>
    <x v="1"/>
    <n v="0.5"/>
    <n v="0"/>
    <n v="0"/>
    <n v="0"/>
    <n v="0"/>
    <n v="0"/>
    <n v="0"/>
    <n v="0"/>
    <n v="0"/>
    <n v="0"/>
    <n v="1"/>
    <n v="0"/>
    <m/>
  </r>
  <r>
    <x v="855"/>
    <x v="2"/>
    <x v="5"/>
    <x v="0"/>
    <s v="français"/>
    <x v="1"/>
    <n v="0.5"/>
    <n v="0"/>
    <n v="0"/>
    <n v="0"/>
    <n v="0"/>
    <n v="0"/>
    <n v="0"/>
    <n v="0"/>
    <n v="1"/>
    <n v="0"/>
    <n v="0"/>
    <n v="0"/>
    <m/>
  </r>
  <r>
    <x v="856"/>
    <x v="2"/>
    <x v="5"/>
    <x v="0"/>
    <s v="français"/>
    <x v="0"/>
    <n v="10.5"/>
    <n v="1"/>
    <n v="0"/>
    <n v="0"/>
    <n v="0"/>
    <n v="1"/>
    <n v="0"/>
    <n v="0"/>
    <n v="0"/>
    <n v="1"/>
    <n v="0"/>
    <n v="0"/>
    <m/>
  </r>
  <r>
    <x v="857"/>
    <x v="2"/>
    <x v="5"/>
    <x v="0"/>
    <s v="français"/>
    <x v="2"/>
    <n v="3"/>
    <n v="0"/>
    <n v="0"/>
    <n v="0"/>
    <n v="0"/>
    <n v="0"/>
    <n v="0"/>
    <n v="1"/>
    <n v="0"/>
    <n v="0"/>
    <n v="0"/>
    <n v="0"/>
    <m/>
  </r>
  <r>
    <x v="858"/>
    <x v="2"/>
    <x v="5"/>
    <x v="0"/>
    <s v="français"/>
    <x v="2"/>
    <n v="3"/>
    <n v="0"/>
    <n v="0"/>
    <n v="0"/>
    <n v="0"/>
    <n v="0"/>
    <n v="0"/>
    <n v="0"/>
    <n v="1"/>
    <n v="0"/>
    <n v="0"/>
    <n v="0"/>
    <m/>
  </r>
  <r>
    <x v="859"/>
    <x v="2"/>
    <x v="5"/>
    <x v="0"/>
    <s v="français"/>
    <x v="1"/>
    <n v="0.5"/>
    <n v="0"/>
    <n v="0"/>
    <n v="0"/>
    <n v="0"/>
    <n v="0"/>
    <n v="0"/>
    <n v="0"/>
    <n v="0"/>
    <n v="0"/>
    <n v="0"/>
    <n v="1"/>
    <s v="Guide numérique et photo des bustes"/>
  </r>
  <r>
    <x v="860"/>
    <x v="2"/>
    <x v="5"/>
    <x v="1"/>
    <s v="français"/>
    <x v="2"/>
    <n v="3"/>
    <n v="0"/>
    <n v="0"/>
    <n v="0"/>
    <n v="0"/>
    <n v="1"/>
    <n v="0"/>
    <n v="0"/>
    <n v="0"/>
    <n v="0"/>
    <n v="0"/>
    <n v="0"/>
    <m/>
  </r>
  <r>
    <x v="861"/>
    <x v="2"/>
    <x v="5"/>
    <x v="1"/>
    <s v="français"/>
    <x v="2"/>
    <n v="3"/>
    <n v="0"/>
    <n v="0"/>
    <n v="0"/>
    <n v="0"/>
    <n v="0"/>
    <n v="0"/>
    <n v="0"/>
    <n v="0"/>
    <n v="0"/>
    <n v="1"/>
    <n v="0"/>
    <m/>
  </r>
  <r>
    <x v="862"/>
    <x v="2"/>
    <x v="5"/>
    <x v="0"/>
    <s v="français"/>
    <x v="2"/>
    <n v="3"/>
    <n v="0"/>
    <n v="0"/>
    <n v="0"/>
    <n v="0"/>
    <n v="0"/>
    <n v="1"/>
    <n v="0"/>
    <n v="0"/>
    <n v="0"/>
    <n v="0"/>
    <n v="0"/>
    <m/>
  </r>
  <r>
    <x v="863"/>
    <x v="6"/>
    <x v="5"/>
    <x v="0"/>
    <s v="français"/>
    <x v="1"/>
    <n v="0.5"/>
    <n v="0"/>
    <n v="1"/>
    <n v="0"/>
    <n v="0"/>
    <n v="0"/>
    <n v="0"/>
    <n v="0"/>
    <n v="0"/>
    <n v="0"/>
    <n v="0"/>
    <n v="0"/>
    <s v="Journaux des semaines passées"/>
  </r>
  <r>
    <x v="864"/>
    <x v="8"/>
    <x v="5"/>
    <x v="0"/>
    <s v="français"/>
    <x v="3"/>
    <n v="20"/>
    <n v="0"/>
    <n v="0"/>
    <n v="0"/>
    <n v="0"/>
    <n v="1"/>
    <n v="0"/>
    <n v="0"/>
    <n v="0"/>
    <n v="0"/>
    <n v="0"/>
    <n v="0"/>
    <m/>
  </r>
  <r>
    <x v="865"/>
    <x v="8"/>
    <x v="5"/>
    <x v="0"/>
    <s v="français"/>
    <x v="0"/>
    <n v="10.5"/>
    <n v="0"/>
    <n v="0"/>
    <n v="0"/>
    <n v="0"/>
    <n v="1"/>
    <n v="0"/>
    <n v="0"/>
    <n v="0"/>
    <n v="0"/>
    <n v="0"/>
    <n v="0"/>
    <m/>
  </r>
  <r>
    <x v="866"/>
    <x v="8"/>
    <x v="5"/>
    <x v="1"/>
    <s v="français"/>
    <x v="2"/>
    <n v="3"/>
    <n v="0"/>
    <n v="0"/>
    <n v="0"/>
    <n v="0"/>
    <n v="1"/>
    <n v="0"/>
    <n v="0"/>
    <n v="0"/>
    <n v="0"/>
    <n v="0"/>
    <n v="0"/>
    <m/>
  </r>
  <r>
    <x v="867"/>
    <x v="8"/>
    <x v="5"/>
    <x v="0"/>
    <s v="français"/>
    <x v="2"/>
    <n v="3"/>
    <n v="0"/>
    <n v="1"/>
    <n v="1"/>
    <n v="0"/>
    <n v="0"/>
    <n v="0"/>
    <n v="0"/>
    <n v="0"/>
    <n v="0"/>
    <n v="0"/>
    <n v="0"/>
    <m/>
  </r>
  <r>
    <x v="868"/>
    <x v="8"/>
    <x v="5"/>
    <x v="0"/>
    <s v="français"/>
    <x v="2"/>
    <n v="3"/>
    <n v="0"/>
    <n v="0"/>
    <n v="0"/>
    <n v="0"/>
    <n v="0"/>
    <n v="0"/>
    <n v="0"/>
    <n v="0"/>
    <n v="1"/>
    <n v="0"/>
    <n v="0"/>
    <m/>
  </r>
  <r>
    <x v="869"/>
    <x v="8"/>
    <x v="5"/>
    <x v="0"/>
    <s v="français"/>
    <x v="0"/>
    <n v="10.5"/>
    <n v="0"/>
    <n v="1"/>
    <n v="0"/>
    <n v="0"/>
    <n v="0"/>
    <n v="0"/>
    <n v="0"/>
    <n v="0"/>
    <n v="0"/>
    <n v="0"/>
    <n v="0"/>
    <m/>
  </r>
  <r>
    <x v="870"/>
    <x v="5"/>
    <x v="0"/>
    <x v="0"/>
    <s v="anglais"/>
    <x v="1"/>
    <n v="0.5"/>
    <n v="0"/>
    <n v="0"/>
    <n v="0"/>
    <n v="0"/>
    <n v="0"/>
    <n v="0"/>
    <n v="0"/>
    <n v="0"/>
    <n v="0"/>
    <n v="1"/>
    <n v="0"/>
    <s v="Salle du catalogue et wifi"/>
  </r>
  <r>
    <x v="871"/>
    <x v="7"/>
    <x v="0"/>
    <x v="0"/>
    <s v="français"/>
    <x v="2"/>
    <n v="3"/>
    <n v="0"/>
    <n v="0"/>
    <n v="0"/>
    <n v="0"/>
    <n v="0"/>
    <n v="0"/>
    <n v="1"/>
    <n v="0"/>
    <n v="0"/>
    <n v="0"/>
    <n v="0"/>
    <m/>
  </r>
  <r>
    <x v="872"/>
    <x v="7"/>
    <x v="0"/>
    <x v="0"/>
    <s v="français"/>
    <x v="0"/>
    <n v="10.5"/>
    <n v="0"/>
    <n v="0"/>
    <n v="0"/>
    <n v="0"/>
    <n v="1"/>
    <n v="0"/>
    <n v="0"/>
    <n v="0"/>
    <n v="0"/>
    <n v="0"/>
    <n v="0"/>
    <s v="Inscription toujours en cours"/>
  </r>
  <r>
    <x v="873"/>
    <x v="4"/>
    <x v="0"/>
    <x v="0"/>
    <s v="français"/>
    <x v="0"/>
    <n v="10.5"/>
    <n v="0"/>
    <n v="0"/>
    <n v="0"/>
    <n v="0"/>
    <n v="0"/>
    <n v="0"/>
    <n v="0"/>
    <n v="1"/>
    <n v="0"/>
    <n v="0"/>
    <n v="0"/>
    <m/>
  </r>
  <r>
    <x v="874"/>
    <x v="4"/>
    <x v="0"/>
    <x v="0"/>
    <s v="français"/>
    <x v="1"/>
    <n v="0.5"/>
    <n v="0"/>
    <n v="0"/>
    <n v="0"/>
    <n v="0"/>
    <n v="0"/>
    <n v="0"/>
    <n v="0"/>
    <n v="0"/>
    <n v="0"/>
    <n v="1"/>
    <n v="0"/>
    <m/>
  </r>
  <r>
    <x v="875"/>
    <x v="4"/>
    <x v="0"/>
    <x v="0"/>
    <s v="français"/>
    <x v="1"/>
    <n v="0.5"/>
    <n v="0"/>
    <n v="0"/>
    <n v="0"/>
    <n v="0"/>
    <n v="1"/>
    <n v="0"/>
    <n v="0"/>
    <n v="0"/>
    <n v="0"/>
    <n v="0"/>
    <n v="0"/>
    <s v="Mineure =&gt; don formulaire"/>
  </r>
  <r>
    <x v="876"/>
    <x v="4"/>
    <x v="0"/>
    <x v="0"/>
    <s v="français"/>
    <x v="2"/>
    <n v="3"/>
    <n v="0"/>
    <n v="0"/>
    <n v="0"/>
    <n v="0"/>
    <n v="0"/>
    <n v="0"/>
    <n v="1"/>
    <n v="0"/>
    <n v="0"/>
    <n v="0"/>
    <n v="0"/>
    <m/>
  </r>
  <r>
    <x v="877"/>
    <x v="1"/>
    <x v="0"/>
    <x v="0"/>
    <s v="français"/>
    <x v="2"/>
    <n v="3"/>
    <n v="0"/>
    <n v="0"/>
    <n v="0"/>
    <n v="0"/>
    <n v="0"/>
    <n v="0"/>
    <n v="0"/>
    <n v="0"/>
    <n v="0"/>
    <n v="0"/>
    <n v="1"/>
    <s v="Plan de Genève pour touriste"/>
  </r>
  <r>
    <x v="878"/>
    <x v="1"/>
    <x v="0"/>
    <x v="0"/>
    <s v="français"/>
    <x v="2"/>
    <n v="3"/>
    <n v="0"/>
    <n v="0"/>
    <n v="0"/>
    <n v="0"/>
    <n v="0"/>
    <n v="0"/>
    <n v="1"/>
    <n v="0"/>
    <n v="0"/>
    <n v="0"/>
    <n v="0"/>
    <m/>
  </r>
  <r>
    <x v="879"/>
    <x v="1"/>
    <x v="0"/>
    <x v="0"/>
    <s v="français"/>
    <x v="1"/>
    <n v="0.5"/>
    <n v="0"/>
    <n v="0"/>
    <n v="0"/>
    <n v="0"/>
    <n v="0"/>
    <n v="0"/>
    <n v="0"/>
    <n v="0"/>
    <n v="0"/>
    <n v="1"/>
    <n v="0"/>
    <m/>
  </r>
  <r>
    <x v="880"/>
    <x v="1"/>
    <x v="0"/>
    <x v="0"/>
    <s v="français"/>
    <x v="1"/>
    <n v="0.5"/>
    <n v="0"/>
    <n v="0"/>
    <n v="0"/>
    <n v="0"/>
    <n v="0"/>
    <n v="0"/>
    <n v="0"/>
    <n v="0"/>
    <n v="0"/>
    <n v="1"/>
    <n v="0"/>
    <m/>
  </r>
  <r>
    <x v="881"/>
    <x v="1"/>
    <x v="0"/>
    <x v="0"/>
    <s v="français"/>
    <x v="1"/>
    <n v="0.5"/>
    <n v="0"/>
    <n v="0"/>
    <n v="0"/>
    <n v="0"/>
    <n v="0"/>
    <n v="0"/>
    <n v="0"/>
    <n v="0"/>
    <n v="0"/>
    <n v="0"/>
    <n v="1"/>
    <s v="Allumer les lumières"/>
  </r>
  <r>
    <x v="882"/>
    <x v="6"/>
    <x v="0"/>
    <x v="0"/>
    <s v="français"/>
    <x v="2"/>
    <n v="3"/>
    <n v="1"/>
    <n v="0"/>
    <n v="1"/>
    <n v="0"/>
    <n v="0"/>
    <n v="0"/>
    <n v="0"/>
    <n v="0"/>
    <n v="0"/>
    <n v="0"/>
    <n v="0"/>
    <m/>
  </r>
  <r>
    <x v="883"/>
    <x v="6"/>
    <x v="0"/>
    <x v="0"/>
    <s v="français"/>
    <x v="2"/>
    <n v="3"/>
    <n v="0"/>
    <n v="0"/>
    <n v="0"/>
    <n v="0"/>
    <n v="0"/>
    <n v="0"/>
    <n v="0"/>
    <n v="0"/>
    <n v="0"/>
    <n v="0"/>
    <n v="1"/>
    <s v="Prendre un monsieur en photo pour mettre à jour son profil Linkedin"/>
  </r>
  <r>
    <x v="884"/>
    <x v="5"/>
    <x v="1"/>
    <x v="0"/>
    <s v="français"/>
    <x v="0"/>
    <n v="10.5"/>
    <n v="1"/>
    <n v="0"/>
    <n v="1"/>
    <n v="0"/>
    <n v="0"/>
    <n v="0"/>
    <n v="0"/>
    <n v="0"/>
    <n v="0"/>
    <n v="0"/>
    <n v="0"/>
    <m/>
  </r>
  <r>
    <x v="885"/>
    <x v="5"/>
    <x v="1"/>
    <x v="0"/>
    <s v="français"/>
    <x v="2"/>
    <n v="3"/>
    <n v="0"/>
    <n v="0"/>
    <n v="0"/>
    <n v="0"/>
    <n v="0"/>
    <n v="1"/>
    <n v="0"/>
    <n v="0"/>
    <n v="0"/>
    <n v="0"/>
    <n v="0"/>
    <m/>
  </r>
  <r>
    <x v="886"/>
    <x v="3"/>
    <x v="1"/>
    <x v="0"/>
    <s v="français"/>
    <x v="0"/>
    <n v="10.5"/>
    <n v="1"/>
    <n v="0"/>
    <n v="1"/>
    <n v="0"/>
    <n v="0"/>
    <n v="0"/>
    <n v="0"/>
    <n v="0"/>
    <n v="0"/>
    <n v="0"/>
    <n v="0"/>
    <m/>
  </r>
  <r>
    <x v="887"/>
    <x v="3"/>
    <x v="1"/>
    <x v="0"/>
    <s v="français"/>
    <x v="0"/>
    <n v="10.5"/>
    <n v="0"/>
    <n v="0"/>
    <n v="0"/>
    <n v="0"/>
    <n v="0"/>
    <n v="0"/>
    <n v="0"/>
    <n v="0"/>
    <n v="0"/>
    <n v="0"/>
    <n v="1"/>
    <m/>
  </r>
  <r>
    <x v="888"/>
    <x v="3"/>
    <x v="1"/>
    <x v="0"/>
    <s v="français"/>
    <x v="1"/>
    <n v="0.5"/>
    <n v="0"/>
    <n v="0"/>
    <n v="0"/>
    <n v="0"/>
    <n v="0"/>
    <n v="0"/>
    <n v="0"/>
    <n v="0"/>
    <n v="0"/>
    <n v="1"/>
    <n v="0"/>
    <m/>
  </r>
  <r>
    <x v="889"/>
    <x v="4"/>
    <x v="1"/>
    <x v="0"/>
    <s v="français"/>
    <x v="0"/>
    <n v="10.5"/>
    <n v="0"/>
    <n v="0"/>
    <n v="0"/>
    <n v="0"/>
    <n v="1"/>
    <n v="0"/>
    <n v="0"/>
    <n v="0"/>
    <n v="0"/>
    <n v="0"/>
    <n v="0"/>
    <m/>
  </r>
  <r>
    <x v="890"/>
    <x v="1"/>
    <x v="1"/>
    <x v="0"/>
    <s v="français"/>
    <x v="2"/>
    <n v="3"/>
    <n v="0"/>
    <n v="0"/>
    <n v="0"/>
    <n v="0"/>
    <n v="0"/>
    <n v="0"/>
    <n v="0"/>
    <n v="0"/>
    <n v="0"/>
    <n v="1"/>
    <n v="0"/>
    <m/>
  </r>
  <r>
    <x v="891"/>
    <x v="1"/>
    <x v="1"/>
    <x v="0"/>
    <s v="français"/>
    <x v="1"/>
    <n v="0.5"/>
    <n v="0"/>
    <n v="0"/>
    <n v="0"/>
    <n v="0"/>
    <n v="0"/>
    <n v="0"/>
    <n v="0"/>
    <n v="1"/>
    <n v="1"/>
    <n v="0"/>
    <n v="0"/>
    <m/>
  </r>
  <r>
    <x v="892"/>
    <x v="8"/>
    <x v="1"/>
    <x v="0"/>
    <s v="français"/>
    <x v="2"/>
    <n v="3"/>
    <n v="0"/>
    <n v="0"/>
    <n v="0"/>
    <n v="0"/>
    <n v="1"/>
    <n v="0"/>
    <n v="0"/>
    <n v="0"/>
    <n v="0"/>
    <n v="0"/>
    <n v="0"/>
    <m/>
  </r>
  <r>
    <x v="893"/>
    <x v="8"/>
    <x v="1"/>
    <x v="0"/>
    <s v="français"/>
    <x v="2"/>
    <n v="3"/>
    <n v="0"/>
    <n v="0"/>
    <n v="0"/>
    <n v="0"/>
    <n v="1"/>
    <n v="0"/>
    <n v="0"/>
    <n v="0"/>
    <n v="0"/>
    <n v="0"/>
    <n v="0"/>
    <m/>
  </r>
  <r>
    <x v="894"/>
    <x v="8"/>
    <x v="1"/>
    <x v="0"/>
    <s v="français"/>
    <x v="2"/>
    <n v="3"/>
    <n v="0"/>
    <n v="0"/>
    <n v="0"/>
    <n v="0"/>
    <n v="0"/>
    <n v="0"/>
    <n v="1"/>
    <n v="0"/>
    <n v="0"/>
    <n v="0"/>
    <n v="0"/>
    <m/>
  </r>
  <r>
    <x v="895"/>
    <x v="8"/>
    <x v="1"/>
    <x v="0"/>
    <s v="français"/>
    <x v="2"/>
    <n v="3"/>
    <n v="1"/>
    <n v="0"/>
    <n v="1"/>
    <n v="0"/>
    <n v="0"/>
    <n v="0"/>
    <n v="0"/>
    <n v="0"/>
    <n v="0"/>
    <n v="0"/>
    <n v="0"/>
    <m/>
  </r>
  <r>
    <x v="896"/>
    <x v="0"/>
    <x v="2"/>
    <x v="1"/>
    <s v="français"/>
    <x v="0"/>
    <n v="10.5"/>
    <n v="0"/>
    <n v="0"/>
    <n v="0"/>
    <n v="0"/>
    <n v="0"/>
    <n v="0"/>
    <n v="0"/>
    <n v="0"/>
    <n v="1"/>
    <n v="1"/>
    <n v="0"/>
    <m/>
  </r>
  <r>
    <x v="897"/>
    <x v="0"/>
    <x v="2"/>
    <x v="0"/>
    <s v="anglais"/>
    <x v="0"/>
    <n v="10.5"/>
    <n v="0"/>
    <n v="0"/>
    <n v="0"/>
    <n v="0"/>
    <n v="0"/>
    <n v="0"/>
    <n v="0"/>
    <n v="0"/>
    <n v="0"/>
    <n v="1"/>
    <n v="1"/>
    <s v="Statue de Ferdinand De Saussure"/>
  </r>
  <r>
    <x v="898"/>
    <x v="7"/>
    <x v="2"/>
    <x v="0"/>
    <s v="français"/>
    <x v="2"/>
    <n v="3"/>
    <n v="0"/>
    <n v="0"/>
    <n v="1"/>
    <n v="0"/>
    <n v="0"/>
    <n v="0"/>
    <n v="0"/>
    <n v="0"/>
    <n v="0"/>
    <n v="0"/>
    <n v="0"/>
    <m/>
  </r>
  <r>
    <x v="899"/>
    <x v="1"/>
    <x v="2"/>
    <x v="0"/>
    <s v="français"/>
    <x v="0"/>
    <n v="10.5"/>
    <n v="0"/>
    <n v="0"/>
    <n v="0"/>
    <n v="0"/>
    <n v="0"/>
    <n v="0"/>
    <n v="0"/>
    <n v="1"/>
    <n v="0"/>
    <n v="0"/>
    <n v="0"/>
    <s v="Problème avec le wifi de la Ville. "/>
  </r>
  <r>
    <x v="900"/>
    <x v="1"/>
    <x v="2"/>
    <x v="0"/>
    <s v="français"/>
    <x v="0"/>
    <n v="10.5"/>
    <n v="0"/>
    <n v="0"/>
    <n v="0"/>
    <n v="0"/>
    <n v="1"/>
    <n v="0"/>
    <n v="0"/>
    <n v="0"/>
    <n v="0"/>
    <n v="0"/>
    <n v="0"/>
    <m/>
  </r>
  <r>
    <x v="901"/>
    <x v="1"/>
    <x v="2"/>
    <x v="0"/>
    <s v="français"/>
    <x v="2"/>
    <n v="3"/>
    <n v="0"/>
    <n v="0"/>
    <n v="0"/>
    <n v="0"/>
    <n v="0"/>
    <n v="0"/>
    <n v="0"/>
    <n v="0"/>
    <n v="0"/>
    <n v="0"/>
    <n v="1"/>
    <s v="une des vitrines avec les nouveautés est fermée à clé. Thierry a finalement trouvé la clé."/>
  </r>
  <r>
    <x v="902"/>
    <x v="8"/>
    <x v="2"/>
    <x v="0"/>
    <s v="français"/>
    <x v="1"/>
    <n v="0.5"/>
    <n v="0"/>
    <n v="0"/>
    <n v="0"/>
    <n v="0"/>
    <n v="0"/>
    <n v="0"/>
    <n v="0"/>
    <n v="0"/>
    <n v="0"/>
    <n v="0"/>
    <n v="1"/>
    <m/>
  </r>
  <r>
    <x v="903"/>
    <x v="8"/>
    <x v="2"/>
    <x v="0"/>
    <s v="français"/>
    <x v="1"/>
    <n v="0.5"/>
    <n v="0"/>
    <n v="0"/>
    <n v="0"/>
    <n v="0"/>
    <n v="0"/>
    <n v="0"/>
    <n v="0"/>
    <n v="0"/>
    <n v="0"/>
    <n v="1"/>
    <n v="0"/>
    <m/>
  </r>
  <r>
    <x v="904"/>
    <x v="5"/>
    <x v="3"/>
    <x v="0"/>
    <s v="français"/>
    <x v="1"/>
    <n v="0.5"/>
    <n v="0"/>
    <n v="0"/>
    <n v="0"/>
    <n v="0"/>
    <n v="0"/>
    <n v="0"/>
    <n v="0"/>
    <n v="0"/>
    <n v="0"/>
    <n v="1"/>
    <n v="0"/>
    <m/>
  </r>
  <r>
    <x v="905"/>
    <x v="5"/>
    <x v="3"/>
    <x v="0"/>
    <s v="français"/>
    <x v="0"/>
    <n v="10.5"/>
    <n v="0"/>
    <n v="0"/>
    <n v="0"/>
    <n v="0"/>
    <n v="1"/>
    <n v="0"/>
    <n v="0"/>
    <n v="0"/>
    <n v="0"/>
    <n v="0"/>
    <n v="0"/>
    <m/>
  </r>
  <r>
    <x v="906"/>
    <x v="0"/>
    <x v="3"/>
    <x v="1"/>
    <s v="français"/>
    <x v="0"/>
    <n v="10.5"/>
    <n v="1"/>
    <n v="0"/>
    <n v="1"/>
    <n v="0"/>
    <n v="0"/>
    <n v="0"/>
    <n v="0"/>
    <n v="0"/>
    <n v="0"/>
    <n v="0"/>
    <n v="0"/>
    <m/>
  </r>
  <r>
    <x v="907"/>
    <x v="7"/>
    <x v="3"/>
    <x v="0"/>
    <s v="français"/>
    <x v="3"/>
    <n v="20"/>
    <n v="0"/>
    <n v="0"/>
    <n v="0"/>
    <n v="0"/>
    <n v="0"/>
    <n v="0"/>
    <n v="0"/>
    <n v="0"/>
    <n v="0"/>
    <n v="1"/>
    <n v="0"/>
    <s v="L'usager est en train d'effectuer des recherches généalogiques sur un étudiant genevois théologien du 19e siècle. Il veut connaître les sources que nous avons chez nous et les autres institutions susceptibles d'en avoir. On lui a dit qu'en venant sur place, il aurait plus d'informations qu'à distance. Je lui ai parlé et montré les sources que je connaissais et lui ai conseillé de passer au département des archives et manuscrits pour des informations plus complètes et pertinentes."/>
  </r>
  <r>
    <x v="908"/>
    <x v="3"/>
    <x v="3"/>
    <x v="1"/>
    <s v="français"/>
    <x v="0"/>
    <n v="10.5"/>
    <n v="0"/>
    <n v="0"/>
    <n v="0"/>
    <n v="0"/>
    <n v="0"/>
    <n v="0"/>
    <n v="0"/>
    <n v="0"/>
    <n v="0"/>
    <n v="0"/>
    <n v="1"/>
    <s v="Proposition de don"/>
  </r>
  <r>
    <x v="909"/>
    <x v="1"/>
    <x v="3"/>
    <x v="0"/>
    <s v="français"/>
    <x v="1"/>
    <n v="0.5"/>
    <n v="0"/>
    <n v="0"/>
    <n v="0"/>
    <n v="0"/>
    <n v="0"/>
    <n v="0"/>
    <n v="0"/>
    <n v="0"/>
    <n v="0"/>
    <n v="0"/>
    <n v="1"/>
    <s v="feuilles de brouillon"/>
  </r>
  <r>
    <x v="910"/>
    <x v="2"/>
    <x v="3"/>
    <x v="0"/>
    <s v="français"/>
    <x v="0"/>
    <n v="10.5"/>
    <n v="0"/>
    <n v="0"/>
    <n v="0"/>
    <n v="0"/>
    <n v="0"/>
    <n v="0"/>
    <n v="0"/>
    <n v="0"/>
    <n v="1"/>
    <n v="0"/>
    <n v="0"/>
    <s v="probleme avec le wifi"/>
  </r>
  <r>
    <x v="911"/>
    <x v="2"/>
    <x v="3"/>
    <x v="0"/>
    <s v="français"/>
    <x v="0"/>
    <n v="10.5"/>
    <n v="0"/>
    <n v="0"/>
    <n v="0"/>
    <n v="0"/>
    <n v="0"/>
    <n v="0"/>
    <n v="0"/>
    <n v="0"/>
    <n v="1"/>
    <n v="0"/>
    <n v="0"/>
    <s v="jeune homme (16 ans) qui souhaitait s'inscrire et  chercherait des livres sur l'horogerie XVIII, mécanisme, etc. Je lui ai montré comment se créer un compte puis faire des recherches en épinglant les notices intéressantes. Puis il reviendra avec l'autorisation signée pour pouvoir recevoir sa carte et emprunter"/>
  </r>
  <r>
    <x v="912"/>
    <x v="8"/>
    <x v="3"/>
    <x v="0"/>
    <s v="français"/>
    <x v="0"/>
    <n v="10.5"/>
    <n v="0"/>
    <n v="0"/>
    <n v="0"/>
    <n v="0"/>
    <n v="1"/>
    <n v="0"/>
    <n v="0"/>
    <n v="0"/>
    <n v="0"/>
    <n v="0"/>
    <n v="0"/>
    <m/>
  </r>
  <r>
    <x v="913"/>
    <x v="8"/>
    <x v="3"/>
    <x v="0"/>
    <s v="français"/>
    <x v="1"/>
    <n v="0.5"/>
    <n v="0"/>
    <n v="0"/>
    <n v="0"/>
    <n v="0"/>
    <n v="0"/>
    <n v="0"/>
    <n v="0"/>
    <n v="0"/>
    <n v="0"/>
    <n v="0"/>
    <n v="1"/>
    <m/>
  </r>
  <r>
    <x v="914"/>
    <x v="8"/>
    <x v="3"/>
    <x v="0"/>
    <s v="français"/>
    <x v="1"/>
    <n v="0.5"/>
    <n v="0"/>
    <n v="0"/>
    <n v="0"/>
    <n v="0"/>
    <n v="0"/>
    <n v="0"/>
    <n v="0"/>
    <n v="0"/>
    <n v="0"/>
    <n v="1"/>
    <n v="0"/>
    <m/>
  </r>
  <r>
    <x v="915"/>
    <x v="0"/>
    <x v="4"/>
    <x v="0"/>
    <s v="français"/>
    <x v="1"/>
    <n v="0.5"/>
    <n v="0"/>
    <n v="0"/>
    <n v="0"/>
    <n v="0"/>
    <n v="0"/>
    <n v="0"/>
    <n v="0"/>
    <n v="0"/>
    <n v="1"/>
    <n v="0"/>
    <n v="0"/>
    <m/>
  </r>
  <r>
    <x v="916"/>
    <x v="7"/>
    <x v="5"/>
    <x v="0"/>
    <s v="français"/>
    <x v="2"/>
    <n v="3"/>
    <n v="0"/>
    <n v="0"/>
    <n v="0"/>
    <n v="0"/>
    <n v="0"/>
    <n v="0"/>
    <n v="0"/>
    <n v="0"/>
    <n v="1"/>
    <n v="0"/>
    <n v="0"/>
    <m/>
  </r>
  <r>
    <x v="917"/>
    <x v="7"/>
    <x v="5"/>
    <x v="0"/>
    <s v="français"/>
    <x v="2"/>
    <n v="3"/>
    <n v="0"/>
    <n v="0"/>
    <n v="0"/>
    <n v="0"/>
    <n v="0"/>
    <n v="0"/>
    <n v="0"/>
    <n v="0"/>
    <n v="0"/>
    <n v="1"/>
    <n v="0"/>
    <m/>
  </r>
  <r>
    <x v="918"/>
    <x v="7"/>
    <x v="5"/>
    <x v="0"/>
    <s v="français"/>
    <x v="2"/>
    <n v="3"/>
    <n v="0"/>
    <n v="0"/>
    <n v="0"/>
    <n v="0"/>
    <n v="0"/>
    <n v="0"/>
    <n v="0"/>
    <n v="1"/>
    <n v="0"/>
    <n v="0"/>
    <n v="0"/>
    <m/>
  </r>
  <r>
    <x v="919"/>
    <x v="7"/>
    <x v="5"/>
    <x v="0"/>
    <s v="français"/>
    <x v="2"/>
    <n v="3"/>
    <n v="0"/>
    <n v="0"/>
    <n v="0"/>
    <n v="0"/>
    <n v="0"/>
    <n v="0"/>
    <n v="0"/>
    <n v="1"/>
    <n v="0"/>
    <n v="0"/>
    <n v="0"/>
    <m/>
  </r>
  <r>
    <x v="920"/>
    <x v="7"/>
    <x v="5"/>
    <x v="0"/>
    <s v="français"/>
    <x v="0"/>
    <n v="10.5"/>
    <n v="1"/>
    <n v="0"/>
    <n v="1"/>
    <n v="0"/>
    <n v="0"/>
    <n v="0"/>
    <n v="0"/>
    <n v="0"/>
    <n v="0"/>
    <n v="0"/>
    <n v="0"/>
    <m/>
  </r>
  <r>
    <x v="921"/>
    <x v="4"/>
    <x v="5"/>
    <x v="0"/>
    <s v="français"/>
    <x v="1"/>
    <n v="0.5"/>
    <n v="0"/>
    <n v="0"/>
    <n v="0"/>
    <n v="0"/>
    <n v="0"/>
    <n v="0"/>
    <n v="0"/>
    <n v="0"/>
    <n v="0"/>
    <n v="1"/>
    <n v="0"/>
    <m/>
  </r>
  <r>
    <x v="922"/>
    <x v="4"/>
    <x v="5"/>
    <x v="0"/>
    <s v="français"/>
    <x v="0"/>
    <n v="10.5"/>
    <n v="0"/>
    <n v="0"/>
    <n v="0"/>
    <n v="0"/>
    <n v="1"/>
    <n v="0"/>
    <n v="0"/>
    <n v="0"/>
    <n v="0"/>
    <n v="0"/>
    <n v="0"/>
    <m/>
  </r>
  <r>
    <x v="923"/>
    <x v="1"/>
    <x v="5"/>
    <x v="0"/>
    <s v="français"/>
    <x v="1"/>
    <n v="0.5"/>
    <n v="0"/>
    <n v="0"/>
    <n v="0"/>
    <n v="0"/>
    <n v="0"/>
    <n v="0"/>
    <n v="0"/>
    <n v="0"/>
    <n v="1"/>
    <n v="0"/>
    <n v="0"/>
    <m/>
  </r>
  <r>
    <x v="924"/>
    <x v="1"/>
    <x v="5"/>
    <x v="0"/>
    <s v="français"/>
    <x v="0"/>
    <n v="10.5"/>
    <n v="0"/>
    <n v="1"/>
    <n v="1"/>
    <n v="0"/>
    <n v="0"/>
    <n v="0"/>
    <n v="0"/>
    <n v="0"/>
    <n v="0"/>
    <n v="0"/>
    <n v="0"/>
    <m/>
  </r>
  <r>
    <x v="925"/>
    <x v="1"/>
    <x v="5"/>
    <x v="1"/>
    <s v="français"/>
    <x v="2"/>
    <n v="3"/>
    <n v="0"/>
    <n v="1"/>
    <n v="0"/>
    <n v="0"/>
    <n v="0"/>
    <n v="0"/>
    <n v="0"/>
    <n v="0"/>
    <n v="0"/>
    <n v="0"/>
    <n v="0"/>
    <m/>
  </r>
  <r>
    <x v="926"/>
    <x v="2"/>
    <x v="5"/>
    <x v="0"/>
    <s v="français"/>
    <x v="2"/>
    <n v="3"/>
    <n v="0"/>
    <n v="0"/>
    <n v="0"/>
    <n v="0"/>
    <n v="0"/>
    <n v="0"/>
    <n v="0"/>
    <n v="0"/>
    <n v="0"/>
    <n v="0"/>
    <n v="1"/>
    <s v="Réservation salle de réunion"/>
  </r>
  <r>
    <x v="927"/>
    <x v="2"/>
    <x v="5"/>
    <x v="0"/>
    <s v="français"/>
    <x v="2"/>
    <n v="3"/>
    <n v="0"/>
    <n v="0"/>
    <n v="0"/>
    <n v="0"/>
    <n v="0"/>
    <n v="1"/>
    <n v="0"/>
    <n v="0"/>
    <n v="0"/>
    <n v="0"/>
    <n v="0"/>
    <m/>
  </r>
  <r>
    <x v="928"/>
    <x v="2"/>
    <x v="5"/>
    <x v="0"/>
    <s v="anglais"/>
    <x v="2"/>
    <n v="3"/>
    <n v="0"/>
    <n v="0"/>
    <n v="0"/>
    <n v="0"/>
    <n v="0"/>
    <n v="0"/>
    <n v="1"/>
    <n v="0"/>
    <n v="0"/>
    <n v="0"/>
    <n v="0"/>
    <m/>
  </r>
  <r>
    <x v="929"/>
    <x v="6"/>
    <x v="5"/>
    <x v="1"/>
    <s v="français"/>
    <x v="0"/>
    <n v="10.5"/>
    <n v="1"/>
    <n v="0"/>
    <n v="1"/>
    <n v="0"/>
    <n v="0"/>
    <n v="0"/>
    <n v="0"/>
    <n v="0"/>
    <n v="0"/>
    <n v="0"/>
    <n v="0"/>
    <s v="Demande de livres sur les tests psychotechniques d'entrée aux universités de Genève"/>
  </r>
  <r>
    <x v="930"/>
    <x v="8"/>
    <x v="5"/>
    <x v="0"/>
    <s v="français"/>
    <x v="0"/>
    <n v="10.5"/>
    <n v="0"/>
    <n v="0"/>
    <n v="1"/>
    <n v="0"/>
    <n v="0"/>
    <n v="0"/>
    <n v="0"/>
    <n v="0"/>
    <n v="0"/>
    <n v="0"/>
    <n v="0"/>
    <m/>
  </r>
  <r>
    <x v="931"/>
    <x v="7"/>
    <x v="0"/>
    <x v="0"/>
    <s v="français"/>
    <x v="2"/>
    <n v="3"/>
    <n v="0"/>
    <n v="0"/>
    <n v="0"/>
    <n v="0"/>
    <n v="1"/>
    <n v="0"/>
    <n v="0"/>
    <n v="0"/>
    <n v="0"/>
    <n v="0"/>
    <n v="0"/>
    <m/>
  </r>
  <r>
    <x v="932"/>
    <x v="7"/>
    <x v="0"/>
    <x v="0"/>
    <s v="français"/>
    <x v="2"/>
    <n v="3"/>
    <n v="0"/>
    <n v="0"/>
    <n v="0"/>
    <n v="0"/>
    <n v="1"/>
    <n v="0"/>
    <n v="0"/>
    <n v="0"/>
    <n v="1"/>
    <n v="0"/>
    <n v="0"/>
    <m/>
  </r>
  <r>
    <x v="933"/>
    <x v="7"/>
    <x v="0"/>
    <x v="0"/>
    <s v="français"/>
    <x v="2"/>
    <n v="3"/>
    <n v="0"/>
    <n v="0"/>
    <n v="0"/>
    <n v="0"/>
    <n v="0"/>
    <n v="0"/>
    <n v="0"/>
    <n v="1"/>
    <n v="0"/>
    <n v="0"/>
    <n v="0"/>
    <m/>
  </r>
  <r>
    <x v="934"/>
    <x v="7"/>
    <x v="0"/>
    <x v="0"/>
    <s v="français"/>
    <x v="2"/>
    <n v="3"/>
    <n v="1"/>
    <n v="0"/>
    <n v="1"/>
    <n v="0"/>
    <n v="0"/>
    <n v="0"/>
    <n v="0"/>
    <n v="0"/>
    <n v="0"/>
    <n v="0"/>
    <n v="0"/>
    <s v="Oeuvres complètes de Cingria à l'Age d'Homme"/>
  </r>
  <r>
    <x v="935"/>
    <x v="4"/>
    <x v="0"/>
    <x v="0"/>
    <s v="français"/>
    <x v="2"/>
    <n v="3"/>
    <n v="0"/>
    <n v="1"/>
    <n v="0"/>
    <n v="0"/>
    <n v="0"/>
    <n v="0"/>
    <n v="0"/>
    <n v="0"/>
    <n v="0"/>
    <n v="0"/>
    <n v="0"/>
    <s v="Théâtre anglais et théâtre de Dürrenmatt"/>
  </r>
  <r>
    <x v="936"/>
    <x v="1"/>
    <x v="0"/>
    <x v="0"/>
    <s v="français"/>
    <x v="0"/>
    <n v="10.5"/>
    <n v="0"/>
    <n v="1"/>
    <n v="0"/>
    <n v="0"/>
    <n v="0"/>
    <n v="0"/>
    <n v="0"/>
    <n v="0"/>
    <n v="0"/>
    <n v="0"/>
    <n v="0"/>
    <s v="De nouveau  le théâtre anglais"/>
  </r>
  <r>
    <x v="937"/>
    <x v="1"/>
    <x v="0"/>
    <x v="0"/>
    <s v="français"/>
    <x v="0"/>
    <n v="10.5"/>
    <n v="1"/>
    <n v="0"/>
    <n v="1"/>
    <n v="0"/>
    <n v="1"/>
    <n v="0"/>
    <n v="0"/>
    <n v="0"/>
    <n v="0"/>
    <n v="0"/>
    <n v="0"/>
    <m/>
  </r>
  <r>
    <x v="938"/>
    <x v="2"/>
    <x v="0"/>
    <x v="0"/>
    <s v="français"/>
    <x v="2"/>
    <n v="3"/>
    <n v="0"/>
    <n v="0"/>
    <n v="0"/>
    <n v="0"/>
    <n v="0"/>
    <n v="0"/>
    <n v="1"/>
    <n v="0"/>
    <n v="0"/>
    <n v="0"/>
    <n v="0"/>
    <m/>
  </r>
  <r>
    <x v="939"/>
    <x v="8"/>
    <x v="0"/>
    <x v="0"/>
    <s v="français"/>
    <x v="2"/>
    <n v="3"/>
    <n v="0"/>
    <n v="0"/>
    <n v="0"/>
    <n v="0"/>
    <n v="1"/>
    <n v="0"/>
    <n v="0"/>
    <n v="0"/>
    <n v="0"/>
    <n v="0"/>
    <n v="0"/>
    <m/>
  </r>
  <r>
    <x v="940"/>
    <x v="8"/>
    <x v="0"/>
    <x v="0"/>
    <s v="français"/>
    <x v="2"/>
    <n v="3"/>
    <n v="0"/>
    <n v="0"/>
    <n v="0"/>
    <n v="0"/>
    <n v="1"/>
    <n v="0"/>
    <n v="0"/>
    <n v="0"/>
    <n v="0"/>
    <n v="0"/>
    <n v="0"/>
    <m/>
  </r>
  <r>
    <x v="941"/>
    <x v="8"/>
    <x v="0"/>
    <x v="0"/>
    <s v="français"/>
    <x v="2"/>
    <n v="3"/>
    <n v="1"/>
    <n v="0"/>
    <n v="1"/>
    <n v="0"/>
    <n v="0"/>
    <n v="0"/>
    <n v="0"/>
    <n v="0"/>
    <n v="0"/>
    <n v="0"/>
    <n v="0"/>
    <m/>
  </r>
  <r>
    <x v="942"/>
    <x v="8"/>
    <x v="0"/>
    <x v="0"/>
    <s v="français"/>
    <x v="1"/>
    <n v="0.5"/>
    <n v="0"/>
    <n v="0"/>
    <n v="0"/>
    <n v="0"/>
    <n v="0"/>
    <n v="0"/>
    <n v="0"/>
    <n v="0"/>
    <n v="0"/>
    <n v="1"/>
    <n v="0"/>
    <m/>
  </r>
  <r>
    <x v="943"/>
    <x v="0"/>
    <x v="1"/>
    <x v="1"/>
    <s v="français"/>
    <x v="2"/>
    <n v="3"/>
    <n v="1"/>
    <n v="0"/>
    <n v="1"/>
    <n v="0"/>
    <n v="0"/>
    <n v="0"/>
    <n v="0"/>
    <n v="0"/>
    <n v="0"/>
    <n v="0"/>
    <n v="0"/>
    <m/>
  </r>
  <r>
    <x v="944"/>
    <x v="0"/>
    <x v="1"/>
    <x v="1"/>
    <s v="français"/>
    <x v="2"/>
    <n v="3"/>
    <n v="0"/>
    <n v="0"/>
    <n v="0"/>
    <n v="0"/>
    <n v="0"/>
    <n v="0"/>
    <n v="0"/>
    <n v="0"/>
    <n v="1"/>
    <n v="0"/>
    <n v="0"/>
    <m/>
  </r>
  <r>
    <x v="945"/>
    <x v="7"/>
    <x v="1"/>
    <x v="1"/>
    <s v="français"/>
    <x v="0"/>
    <n v="10.5"/>
    <n v="1"/>
    <n v="0"/>
    <n v="1"/>
    <n v="0"/>
    <n v="0"/>
    <n v="0"/>
    <n v="0"/>
    <n v="0"/>
    <n v="0"/>
    <n v="0"/>
    <n v="1"/>
    <s v="Le lecteur avait besoin d'un article dans le Nouvelliste auquel nous n'avons pas accès via Europresse. J'ai demandé à ma maman de faire la photo et je lui ai envoyé l'article. Anne-Sophie"/>
  </r>
  <r>
    <x v="946"/>
    <x v="7"/>
    <x v="1"/>
    <x v="1"/>
    <s v="français"/>
    <x v="2"/>
    <n v="3"/>
    <n v="0"/>
    <n v="0"/>
    <n v="0"/>
    <n v="1"/>
    <n v="0"/>
    <n v="0"/>
    <n v="0"/>
    <n v="0"/>
    <n v="0"/>
    <n v="0"/>
    <n v="0"/>
    <s v="Un monsieur avec un accent anglais, nouveau locataire à Meyrin, avait fait venir un plombier chez lui qui lui a dit qu'il devait faire enlever son bidet. Il voulait trouver des textes de loi pour savoir si c'était vrai que les bidets sont interdits à Genève ou si c'est juste le plombier qui voulait lui soutirer de l'argent, asn"/>
  </r>
  <r>
    <x v="947"/>
    <x v="3"/>
    <x v="1"/>
    <x v="0"/>
    <s v="français"/>
    <x v="2"/>
    <n v="3"/>
    <n v="0"/>
    <n v="0"/>
    <n v="0"/>
    <n v="0"/>
    <n v="0"/>
    <n v="0"/>
    <n v="1"/>
    <n v="0"/>
    <n v="0"/>
    <n v="0"/>
    <n v="0"/>
    <m/>
  </r>
  <r>
    <x v="948"/>
    <x v="3"/>
    <x v="1"/>
    <x v="0"/>
    <s v="français"/>
    <x v="2"/>
    <n v="3"/>
    <n v="0"/>
    <n v="0"/>
    <n v="0"/>
    <n v="0"/>
    <n v="0"/>
    <n v="0"/>
    <n v="0"/>
    <n v="1"/>
    <n v="0"/>
    <n v="0"/>
    <n v="0"/>
    <s v="Restitution du lecteur DVD/VHS"/>
  </r>
  <r>
    <x v="949"/>
    <x v="3"/>
    <x v="1"/>
    <x v="0"/>
    <s v="français"/>
    <x v="2"/>
    <n v="3"/>
    <n v="1"/>
    <n v="0"/>
    <n v="0"/>
    <n v="0"/>
    <n v="0"/>
    <n v="0"/>
    <n v="0"/>
    <n v="0"/>
    <n v="0"/>
    <n v="0"/>
    <n v="0"/>
    <s v="Recherche d'un livre consacré à Charles le Téméraire"/>
  </r>
  <r>
    <x v="950"/>
    <x v="1"/>
    <x v="1"/>
    <x v="0"/>
    <s v="français"/>
    <x v="0"/>
    <n v="10.5"/>
    <n v="0"/>
    <n v="0"/>
    <n v="0"/>
    <n v="0"/>
    <n v="1"/>
    <n v="0"/>
    <n v="0"/>
    <n v="0"/>
    <n v="1"/>
    <n v="0"/>
    <n v="0"/>
    <m/>
  </r>
  <r>
    <x v="951"/>
    <x v="1"/>
    <x v="1"/>
    <x v="0"/>
    <s v="français"/>
    <x v="0"/>
    <n v="10.5"/>
    <n v="0"/>
    <n v="1"/>
    <n v="1"/>
    <n v="0"/>
    <n v="0"/>
    <n v="0"/>
    <n v="0"/>
    <n v="0"/>
    <n v="0"/>
    <n v="0"/>
    <n v="0"/>
    <m/>
  </r>
  <r>
    <x v="952"/>
    <x v="1"/>
    <x v="1"/>
    <x v="0"/>
    <s v="français"/>
    <x v="1"/>
    <n v="0.5"/>
    <n v="0"/>
    <n v="0"/>
    <n v="0"/>
    <n v="0"/>
    <n v="0"/>
    <n v="0"/>
    <n v="0"/>
    <n v="0"/>
    <n v="0"/>
    <n v="1"/>
    <n v="0"/>
    <m/>
  </r>
  <r>
    <x v="953"/>
    <x v="2"/>
    <x v="1"/>
    <x v="0"/>
    <s v="français"/>
    <x v="2"/>
    <n v="3"/>
    <n v="0"/>
    <n v="1"/>
    <n v="1"/>
    <n v="0"/>
    <n v="0"/>
    <n v="0"/>
    <n v="0"/>
    <n v="0"/>
    <n v="0"/>
    <n v="0"/>
    <n v="0"/>
    <m/>
  </r>
  <r>
    <x v="954"/>
    <x v="6"/>
    <x v="1"/>
    <x v="0"/>
    <s v="français"/>
    <x v="2"/>
    <n v="3"/>
    <n v="0"/>
    <n v="0"/>
    <n v="0"/>
    <n v="0"/>
    <n v="0"/>
    <n v="0"/>
    <n v="0"/>
    <n v="0"/>
    <n v="1"/>
    <n v="0"/>
    <n v="0"/>
    <s v="problème pour imprimer"/>
  </r>
  <r>
    <x v="955"/>
    <x v="6"/>
    <x v="1"/>
    <x v="0"/>
    <s v="français"/>
    <x v="1"/>
    <n v="0.5"/>
    <n v="0"/>
    <n v="0"/>
    <n v="0"/>
    <n v="0"/>
    <n v="0"/>
    <n v="0"/>
    <n v="0"/>
    <n v="1"/>
    <n v="0"/>
    <n v="0"/>
    <n v="0"/>
    <s v="comment supprimer un doc. qu'on ne souhaite pas imprimer ?"/>
  </r>
  <r>
    <x v="956"/>
    <x v="8"/>
    <x v="1"/>
    <x v="0"/>
    <s v="français"/>
    <x v="2"/>
    <n v="3"/>
    <n v="0"/>
    <n v="0"/>
    <n v="0"/>
    <n v="0"/>
    <n v="1"/>
    <n v="0"/>
    <n v="0"/>
    <n v="0"/>
    <n v="0"/>
    <n v="0"/>
    <n v="0"/>
    <s v="Pré-inscription d'une jeune de 15 ans qui reviendra dans quelques jours prendre sa carte dès qu'elle aura 16 ans et fait signer la feuille à ses parents ;-)"/>
  </r>
  <r>
    <x v="957"/>
    <x v="5"/>
    <x v="2"/>
    <x v="1"/>
    <s v="français"/>
    <x v="2"/>
    <n v="3"/>
    <n v="0"/>
    <n v="0"/>
    <n v="0"/>
    <n v="0"/>
    <n v="0"/>
    <n v="0"/>
    <n v="0"/>
    <n v="0"/>
    <n v="0"/>
    <n v="0"/>
    <n v="1"/>
    <s v="Proposition de don de livre en arabe -&gt; pas Genevensia donc renvoyé à l'unige"/>
  </r>
  <r>
    <x v="958"/>
    <x v="0"/>
    <x v="2"/>
    <x v="0"/>
    <s v="français"/>
    <x v="2"/>
    <n v="3"/>
    <n v="0"/>
    <n v="0"/>
    <n v="0"/>
    <n v="0"/>
    <n v="0"/>
    <n v="0"/>
    <n v="0"/>
    <n v="0"/>
    <n v="1"/>
    <n v="0"/>
    <n v="0"/>
    <m/>
  </r>
  <r>
    <x v="959"/>
    <x v="0"/>
    <x v="2"/>
    <x v="0"/>
    <s v="français"/>
    <x v="2"/>
    <n v="3"/>
    <n v="0"/>
    <n v="0"/>
    <n v="0"/>
    <n v="0"/>
    <n v="0"/>
    <n v="0"/>
    <n v="0"/>
    <n v="0"/>
    <n v="1"/>
    <n v="0"/>
    <n v="0"/>
    <m/>
  </r>
  <r>
    <x v="960"/>
    <x v="7"/>
    <x v="2"/>
    <x v="0"/>
    <s v="français"/>
    <x v="1"/>
    <n v="0.5"/>
    <n v="0"/>
    <n v="0"/>
    <n v="0"/>
    <n v="0"/>
    <n v="0"/>
    <n v="0"/>
    <n v="0"/>
    <n v="0"/>
    <n v="0"/>
    <n v="1"/>
    <n v="0"/>
    <m/>
  </r>
  <r>
    <x v="961"/>
    <x v="7"/>
    <x v="2"/>
    <x v="1"/>
    <s v="anglais"/>
    <x v="2"/>
    <n v="3"/>
    <n v="0"/>
    <n v="0"/>
    <n v="0"/>
    <n v="0"/>
    <n v="0"/>
    <n v="0"/>
    <n v="0"/>
    <n v="0"/>
    <n v="0"/>
    <n v="0"/>
    <n v="1"/>
    <s v="Quelqu'un en fauteuil roulant devant porte côté Bastions"/>
  </r>
  <r>
    <x v="962"/>
    <x v="3"/>
    <x v="2"/>
    <x v="0"/>
    <s v="anglais"/>
    <x v="0"/>
    <n v="10.5"/>
    <n v="0"/>
    <n v="0"/>
    <n v="1"/>
    <n v="0"/>
    <n v="1"/>
    <n v="0"/>
    <n v="0"/>
    <n v="0"/>
    <n v="0"/>
    <n v="0"/>
    <n v="0"/>
    <m/>
  </r>
  <r>
    <x v="963"/>
    <x v="4"/>
    <x v="2"/>
    <x v="0"/>
    <s v="français"/>
    <x v="2"/>
    <n v="3"/>
    <n v="0"/>
    <n v="0"/>
    <n v="0"/>
    <n v="0"/>
    <n v="0"/>
    <n v="0"/>
    <n v="1"/>
    <n v="0"/>
    <n v="0"/>
    <n v="0"/>
    <n v="0"/>
    <m/>
  </r>
  <r>
    <x v="964"/>
    <x v="1"/>
    <x v="2"/>
    <x v="0"/>
    <s v="français"/>
    <x v="2"/>
    <n v="3"/>
    <n v="1"/>
    <n v="0"/>
    <n v="1"/>
    <n v="0"/>
    <n v="0"/>
    <n v="0"/>
    <n v="0"/>
    <n v="0"/>
    <n v="0"/>
    <n v="0"/>
    <n v="0"/>
    <m/>
  </r>
  <r>
    <x v="965"/>
    <x v="1"/>
    <x v="2"/>
    <x v="0"/>
    <s v="français"/>
    <x v="2"/>
    <n v="3"/>
    <n v="0"/>
    <n v="0"/>
    <n v="0"/>
    <n v="0"/>
    <n v="0"/>
    <n v="0"/>
    <n v="0"/>
    <n v="1"/>
    <n v="0"/>
    <n v="0"/>
    <n v="0"/>
    <s v="Impression"/>
  </r>
  <r>
    <x v="966"/>
    <x v="8"/>
    <x v="2"/>
    <x v="0"/>
    <s v="français"/>
    <x v="1"/>
    <n v="0.5"/>
    <n v="0"/>
    <n v="0"/>
    <n v="0"/>
    <n v="0"/>
    <n v="0"/>
    <n v="0"/>
    <n v="0"/>
    <n v="0"/>
    <n v="0"/>
    <n v="0"/>
    <n v="1"/>
    <m/>
  </r>
  <r>
    <x v="967"/>
    <x v="8"/>
    <x v="2"/>
    <x v="0"/>
    <s v="français"/>
    <x v="1"/>
    <n v="0.5"/>
    <n v="0"/>
    <n v="0"/>
    <n v="0"/>
    <n v="0"/>
    <n v="0"/>
    <n v="0"/>
    <n v="0"/>
    <n v="0"/>
    <n v="0"/>
    <n v="1"/>
    <n v="0"/>
    <m/>
  </r>
  <r>
    <x v="968"/>
    <x v="8"/>
    <x v="2"/>
    <x v="0"/>
    <s v="français"/>
    <x v="1"/>
    <n v="0.5"/>
    <n v="0"/>
    <n v="0"/>
    <n v="0"/>
    <n v="0"/>
    <n v="0"/>
    <n v="0"/>
    <n v="0"/>
    <n v="0"/>
    <n v="0"/>
    <n v="1"/>
    <n v="0"/>
    <m/>
  </r>
  <r>
    <x v="969"/>
    <x v="8"/>
    <x v="2"/>
    <x v="0"/>
    <s v="français"/>
    <x v="1"/>
    <n v="0.5"/>
    <n v="0"/>
    <n v="0"/>
    <n v="0"/>
    <n v="0"/>
    <n v="0"/>
    <n v="0"/>
    <n v="0"/>
    <n v="0"/>
    <n v="0"/>
    <n v="1"/>
    <n v="0"/>
    <m/>
  </r>
  <r>
    <x v="970"/>
    <x v="8"/>
    <x v="2"/>
    <x v="0"/>
    <s v="français"/>
    <x v="2"/>
    <n v="3"/>
    <n v="0"/>
    <n v="0"/>
    <n v="0"/>
    <n v="0"/>
    <n v="0"/>
    <n v="0"/>
    <n v="1"/>
    <n v="0"/>
    <n v="0"/>
    <n v="0"/>
    <n v="0"/>
    <m/>
  </r>
  <r>
    <x v="971"/>
    <x v="8"/>
    <x v="2"/>
    <x v="1"/>
    <s v="français"/>
    <x v="2"/>
    <n v="3"/>
    <n v="1"/>
    <n v="0"/>
    <n v="1"/>
    <n v="0"/>
    <n v="0"/>
    <n v="0"/>
    <n v="0"/>
    <n v="0"/>
    <n v="0"/>
    <n v="0"/>
    <n v="0"/>
    <m/>
  </r>
  <r>
    <x v="972"/>
    <x v="7"/>
    <x v="3"/>
    <x v="0"/>
    <s v="français"/>
    <x v="1"/>
    <n v="0.5"/>
    <n v="0"/>
    <n v="0"/>
    <n v="0"/>
    <n v="0"/>
    <n v="0"/>
    <n v="0"/>
    <n v="0"/>
    <n v="0"/>
    <n v="0"/>
    <n v="1"/>
    <n v="0"/>
    <m/>
  </r>
  <r>
    <x v="973"/>
    <x v="7"/>
    <x v="3"/>
    <x v="0"/>
    <s v="français"/>
    <x v="1"/>
    <n v="0.5"/>
    <n v="0"/>
    <n v="0"/>
    <n v="0"/>
    <n v="0"/>
    <n v="0"/>
    <n v="0"/>
    <n v="0"/>
    <n v="0"/>
    <n v="1"/>
    <n v="1"/>
    <n v="0"/>
    <m/>
  </r>
  <r>
    <x v="974"/>
    <x v="3"/>
    <x v="3"/>
    <x v="0"/>
    <s v="français"/>
    <x v="2"/>
    <n v="3"/>
    <n v="0"/>
    <n v="0"/>
    <n v="0"/>
    <n v="0"/>
    <n v="0"/>
    <n v="0"/>
    <n v="0"/>
    <n v="0"/>
    <n v="1"/>
    <n v="0"/>
    <n v="0"/>
    <m/>
  </r>
  <r>
    <x v="975"/>
    <x v="1"/>
    <x v="3"/>
    <x v="0"/>
    <s v="français"/>
    <x v="3"/>
    <n v="20"/>
    <n v="0"/>
    <n v="0"/>
    <n v="0"/>
    <n v="0"/>
    <n v="1"/>
    <n v="0"/>
    <n v="0"/>
    <n v="0"/>
    <n v="0"/>
    <n v="0"/>
    <n v="0"/>
    <m/>
  </r>
  <r>
    <x v="976"/>
    <x v="1"/>
    <x v="3"/>
    <x v="0"/>
    <s v="français"/>
    <x v="3"/>
    <n v="20"/>
    <n v="0"/>
    <n v="0"/>
    <n v="0"/>
    <n v="0"/>
    <n v="1"/>
    <n v="0"/>
    <n v="0"/>
    <n v="0"/>
    <n v="0"/>
    <n v="0"/>
    <n v="0"/>
    <m/>
  </r>
  <r>
    <x v="977"/>
    <x v="1"/>
    <x v="3"/>
    <x v="0"/>
    <s v="français"/>
    <x v="2"/>
    <n v="3"/>
    <n v="0"/>
    <n v="0"/>
    <n v="0"/>
    <n v="0"/>
    <n v="0"/>
    <n v="0"/>
    <n v="0"/>
    <n v="0"/>
    <n v="1"/>
    <n v="0"/>
    <n v="0"/>
    <s v="Réservation salle de travail"/>
  </r>
  <r>
    <x v="978"/>
    <x v="1"/>
    <x v="3"/>
    <x v="0"/>
    <s v="français"/>
    <x v="2"/>
    <n v="3"/>
    <n v="0"/>
    <n v="0"/>
    <n v="0"/>
    <n v="0"/>
    <n v="0"/>
    <n v="0"/>
    <n v="0"/>
    <n v="0"/>
    <n v="0"/>
    <n v="0"/>
    <n v="1"/>
    <s v="Problème entre 2 lecteurs"/>
  </r>
  <r>
    <x v="979"/>
    <x v="2"/>
    <x v="3"/>
    <x v="0"/>
    <s v="français"/>
    <x v="2"/>
    <n v="3"/>
    <n v="1"/>
    <n v="0"/>
    <n v="0"/>
    <n v="0"/>
    <n v="0"/>
    <n v="0"/>
    <n v="0"/>
    <n v="0"/>
    <n v="0"/>
    <n v="0"/>
    <n v="0"/>
    <m/>
  </r>
  <r>
    <x v="980"/>
    <x v="2"/>
    <x v="3"/>
    <x v="0"/>
    <s v="français"/>
    <x v="2"/>
    <n v="3"/>
    <n v="1"/>
    <n v="0"/>
    <n v="0"/>
    <n v="0"/>
    <n v="0"/>
    <n v="0"/>
    <n v="0"/>
    <n v="0"/>
    <n v="0"/>
    <n v="0"/>
    <n v="0"/>
    <m/>
  </r>
  <r>
    <x v="981"/>
    <x v="2"/>
    <x v="3"/>
    <x v="0"/>
    <s v="français"/>
    <x v="0"/>
    <n v="10.5"/>
    <n v="0"/>
    <n v="0"/>
    <n v="0"/>
    <n v="0"/>
    <n v="0"/>
    <n v="0"/>
    <n v="0"/>
    <n v="1"/>
    <n v="0"/>
    <n v="0"/>
    <n v="0"/>
    <m/>
  </r>
  <r>
    <x v="982"/>
    <x v="2"/>
    <x v="3"/>
    <x v="0"/>
    <s v="français"/>
    <x v="2"/>
    <n v="3"/>
    <n v="1"/>
    <n v="0"/>
    <n v="1"/>
    <n v="0"/>
    <n v="0"/>
    <n v="0"/>
    <n v="0"/>
    <n v="0"/>
    <n v="0"/>
    <n v="0"/>
    <n v="0"/>
    <m/>
  </r>
  <r>
    <x v="983"/>
    <x v="8"/>
    <x v="3"/>
    <x v="0"/>
    <s v="français"/>
    <x v="2"/>
    <n v="3"/>
    <n v="0"/>
    <n v="0"/>
    <n v="0"/>
    <n v="0"/>
    <n v="0"/>
    <n v="0"/>
    <n v="0"/>
    <n v="0"/>
    <n v="1"/>
    <n v="0"/>
    <n v="0"/>
    <m/>
  </r>
  <r>
    <x v="984"/>
    <x v="8"/>
    <x v="3"/>
    <x v="1"/>
    <s v="français"/>
    <x v="2"/>
    <n v="3"/>
    <n v="0"/>
    <n v="0"/>
    <n v="0"/>
    <n v="0"/>
    <n v="0"/>
    <n v="0"/>
    <n v="0"/>
    <n v="0"/>
    <n v="0"/>
    <n v="1"/>
    <n v="0"/>
    <m/>
  </r>
  <r>
    <x v="985"/>
    <x v="0"/>
    <x v="4"/>
    <x v="0"/>
    <s v="français"/>
    <x v="0"/>
    <n v="10.5"/>
    <n v="0"/>
    <n v="0"/>
    <n v="0"/>
    <n v="0"/>
    <n v="1"/>
    <n v="0"/>
    <n v="0"/>
    <n v="0"/>
    <n v="0"/>
    <n v="0"/>
    <n v="0"/>
    <m/>
  </r>
  <r>
    <x v="986"/>
    <x v="0"/>
    <x v="4"/>
    <x v="0"/>
    <s v="français"/>
    <x v="0"/>
    <n v="10.5"/>
    <n v="0"/>
    <n v="1"/>
    <n v="0"/>
    <n v="0"/>
    <n v="0"/>
    <n v="0"/>
    <n v="0"/>
    <n v="0"/>
    <n v="0"/>
    <n v="0"/>
    <n v="0"/>
    <s v="&quot;Agent orange&quot; (le pesticide, pas Donald Trump)"/>
  </r>
  <r>
    <x v="987"/>
    <x v="7"/>
    <x v="4"/>
    <x v="0"/>
    <s v="français"/>
    <x v="0"/>
    <n v="10.5"/>
    <n v="0"/>
    <n v="0"/>
    <n v="0"/>
    <n v="0"/>
    <n v="0"/>
    <n v="0"/>
    <n v="0"/>
    <n v="1"/>
    <n v="0"/>
    <n v="0"/>
    <n v="0"/>
    <s v="Envoi d'un document word vers l'imprimante... impression en nb... puis en couleurs (rouge et noir)... puis en couleurs (auto). Ouf, réussi."/>
  </r>
  <r>
    <x v="988"/>
    <x v="7"/>
    <x v="5"/>
    <x v="0"/>
    <s v="français"/>
    <x v="0"/>
    <n v="10.5"/>
    <n v="0"/>
    <n v="0"/>
    <n v="0"/>
    <n v="0"/>
    <n v="0"/>
    <n v="1"/>
    <n v="0"/>
    <n v="0"/>
    <n v="0"/>
    <n v="0"/>
    <n v="0"/>
    <m/>
  </r>
  <r>
    <x v="989"/>
    <x v="4"/>
    <x v="5"/>
    <x v="0"/>
    <s v="français"/>
    <x v="0"/>
    <n v="10.5"/>
    <n v="0"/>
    <n v="0"/>
    <n v="0"/>
    <n v="0"/>
    <n v="1"/>
    <n v="0"/>
    <n v="0"/>
    <n v="0"/>
    <n v="0"/>
    <n v="0"/>
    <n v="0"/>
    <m/>
  </r>
  <r>
    <x v="990"/>
    <x v="4"/>
    <x v="5"/>
    <x v="0"/>
    <s v="français"/>
    <x v="0"/>
    <n v="10.5"/>
    <n v="0"/>
    <n v="0"/>
    <n v="0"/>
    <n v="0"/>
    <n v="1"/>
    <n v="0"/>
    <n v="0"/>
    <n v="0"/>
    <n v="0"/>
    <n v="0"/>
    <n v="0"/>
    <m/>
  </r>
  <r>
    <x v="991"/>
    <x v="4"/>
    <x v="5"/>
    <x v="0"/>
    <s v="français"/>
    <x v="1"/>
    <n v="0.5"/>
    <n v="0"/>
    <n v="0"/>
    <n v="0"/>
    <n v="0"/>
    <n v="0"/>
    <n v="0"/>
    <n v="0"/>
    <n v="0"/>
    <n v="0"/>
    <n v="0"/>
    <n v="1"/>
    <s v="Demande de mettre un petit panneau pour dire de nettoyer derrière soit dans l'espace café (certain ne respecte pas la propreté des tables ou des lieux)"/>
  </r>
  <r>
    <x v="992"/>
    <x v="1"/>
    <x v="5"/>
    <x v="0"/>
    <s v="français"/>
    <x v="1"/>
    <n v="0.5"/>
    <n v="0"/>
    <n v="0"/>
    <n v="0"/>
    <n v="0"/>
    <n v="0"/>
    <n v="0"/>
    <n v="0"/>
    <n v="0"/>
    <n v="0"/>
    <n v="0"/>
    <n v="1"/>
    <s v="Occupation salle de réunion"/>
  </r>
  <r>
    <x v="993"/>
    <x v="1"/>
    <x v="5"/>
    <x v="0"/>
    <s v="français"/>
    <x v="1"/>
    <n v="0.5"/>
    <n v="0"/>
    <n v="0"/>
    <n v="0"/>
    <n v="0"/>
    <n v="0"/>
    <n v="0"/>
    <n v="0"/>
    <n v="0"/>
    <n v="0"/>
    <n v="0"/>
    <n v="1"/>
    <s v="Chargeur téléphone pour wifi (natel déchargé)"/>
  </r>
  <r>
    <x v="994"/>
    <x v="1"/>
    <x v="5"/>
    <x v="0"/>
    <s v="français"/>
    <x v="1"/>
    <n v="0.5"/>
    <n v="1"/>
    <n v="0"/>
    <n v="0"/>
    <n v="1"/>
    <n v="0"/>
    <n v="0"/>
    <n v="0"/>
    <n v="0"/>
    <n v="0"/>
    <n v="0"/>
    <n v="1"/>
    <s v="Consultation livres SAR"/>
  </r>
  <r>
    <x v="995"/>
    <x v="1"/>
    <x v="5"/>
    <x v="0"/>
    <s v="français"/>
    <x v="2"/>
    <n v="3"/>
    <n v="1"/>
    <n v="0"/>
    <n v="1"/>
    <n v="0"/>
    <n v="0"/>
    <n v="0"/>
    <n v="0"/>
    <n v="0"/>
    <n v="0"/>
    <n v="0"/>
    <n v="0"/>
    <m/>
  </r>
  <r>
    <x v="996"/>
    <x v="2"/>
    <x v="5"/>
    <x v="0"/>
    <s v="français"/>
    <x v="0"/>
    <n v="10.5"/>
    <n v="1"/>
    <n v="0"/>
    <n v="0"/>
    <n v="0"/>
    <n v="0"/>
    <n v="0"/>
    <n v="0"/>
    <n v="1"/>
    <n v="0"/>
    <n v="0"/>
    <n v="0"/>
    <m/>
  </r>
  <r>
    <x v="997"/>
    <x v="2"/>
    <x v="5"/>
    <x v="0"/>
    <s v="français"/>
    <x v="2"/>
    <n v="3"/>
    <n v="0"/>
    <n v="0"/>
    <n v="0"/>
    <n v="0"/>
    <n v="0"/>
    <n v="0"/>
    <n v="0"/>
    <n v="0"/>
    <n v="0"/>
    <n v="0"/>
    <n v="1"/>
    <s v="Réservation Salle de Réunion"/>
  </r>
  <r>
    <x v="998"/>
    <x v="2"/>
    <x v="5"/>
    <x v="0"/>
    <s v="français"/>
    <x v="2"/>
    <n v="3"/>
    <n v="0"/>
    <n v="0"/>
    <n v="0"/>
    <n v="0"/>
    <n v="0"/>
    <n v="0"/>
    <n v="0"/>
    <n v="0"/>
    <n v="0"/>
    <n v="0"/>
    <n v="1"/>
    <s v="Consultation de la Suisse (1970)"/>
  </r>
  <r>
    <x v="999"/>
    <x v="0"/>
    <x v="0"/>
    <x v="0"/>
    <s v="français"/>
    <x v="1"/>
    <n v="0.5"/>
    <n v="0"/>
    <n v="0"/>
    <n v="0"/>
    <n v="0"/>
    <n v="0"/>
    <n v="0"/>
    <n v="0"/>
    <n v="0"/>
    <n v="1"/>
    <n v="0"/>
    <n v="0"/>
    <m/>
  </r>
  <r>
    <x v="1000"/>
    <x v="0"/>
    <x v="0"/>
    <x v="1"/>
    <s v="français"/>
    <x v="0"/>
    <n v="10.5"/>
    <n v="0"/>
    <n v="0"/>
    <n v="0"/>
    <n v="0"/>
    <n v="0"/>
    <n v="0"/>
    <n v="0"/>
    <n v="0"/>
    <n v="0"/>
    <n v="0"/>
    <n v="1"/>
    <s v="Proposition de dons suite à un décès. J'ai dit non"/>
  </r>
  <r>
    <x v="1001"/>
    <x v="3"/>
    <x v="0"/>
    <x v="0"/>
    <s v="français"/>
    <x v="2"/>
    <n v="3"/>
    <n v="1"/>
    <n v="0"/>
    <n v="1"/>
    <n v="0"/>
    <n v="0"/>
    <n v="0"/>
    <n v="0"/>
    <n v="0"/>
    <n v="0"/>
    <n v="0"/>
    <n v="0"/>
    <m/>
  </r>
  <r>
    <x v="1002"/>
    <x v="3"/>
    <x v="0"/>
    <x v="0"/>
    <s v="français"/>
    <x v="1"/>
    <n v="0.5"/>
    <n v="0"/>
    <n v="0"/>
    <n v="0"/>
    <n v="0"/>
    <n v="0"/>
    <n v="0"/>
    <n v="0"/>
    <n v="0"/>
    <n v="0"/>
    <n v="1"/>
    <n v="0"/>
    <m/>
  </r>
  <r>
    <x v="1003"/>
    <x v="3"/>
    <x v="0"/>
    <x v="0"/>
    <s v="français"/>
    <x v="0"/>
    <n v="10.5"/>
    <n v="1"/>
    <n v="0"/>
    <n v="1"/>
    <n v="1"/>
    <n v="0"/>
    <n v="0"/>
    <n v="0"/>
    <n v="0"/>
    <n v="0"/>
    <n v="0"/>
    <n v="1"/>
    <s v="Avons nous la collection Arsène Lupin de Lebanc"/>
  </r>
  <r>
    <x v="1004"/>
    <x v="6"/>
    <x v="0"/>
    <x v="0"/>
    <s v="français"/>
    <x v="0"/>
    <n v="10.5"/>
    <n v="0"/>
    <n v="0"/>
    <n v="0"/>
    <n v="0"/>
    <n v="1"/>
    <n v="1"/>
    <n v="0"/>
    <n v="0"/>
    <n v="0"/>
    <n v="0"/>
    <n v="0"/>
    <m/>
  </r>
  <r>
    <x v="1005"/>
    <x v="6"/>
    <x v="0"/>
    <x v="1"/>
    <s v="français"/>
    <x v="2"/>
    <n v="3"/>
    <n v="1"/>
    <n v="0"/>
    <n v="1"/>
    <n v="0"/>
    <n v="0"/>
    <n v="0"/>
    <n v="0"/>
    <n v="0"/>
    <n v="0"/>
    <n v="0"/>
    <n v="0"/>
    <m/>
  </r>
  <r>
    <x v="1006"/>
    <x v="6"/>
    <x v="0"/>
    <x v="0"/>
    <s v="français"/>
    <x v="1"/>
    <n v="0.5"/>
    <n v="0"/>
    <n v="0"/>
    <n v="0"/>
    <n v="0"/>
    <n v="0"/>
    <n v="0"/>
    <n v="0"/>
    <n v="0"/>
    <n v="0"/>
    <n v="1"/>
    <n v="0"/>
    <m/>
  </r>
  <r>
    <x v="1007"/>
    <x v="6"/>
    <x v="0"/>
    <x v="0"/>
    <s v="français"/>
    <x v="1"/>
    <n v="0.5"/>
    <n v="0"/>
    <n v="0"/>
    <n v="0"/>
    <n v="0"/>
    <n v="0"/>
    <n v="0"/>
    <n v="0"/>
    <n v="0"/>
    <n v="0"/>
    <n v="1"/>
    <n v="0"/>
    <m/>
  </r>
  <r>
    <x v="1008"/>
    <x v="3"/>
    <x v="1"/>
    <x v="0"/>
    <s v="français"/>
    <x v="3"/>
    <n v="20"/>
    <n v="1"/>
    <n v="0"/>
    <n v="1"/>
    <n v="0"/>
    <n v="1"/>
    <n v="1"/>
    <n v="0"/>
    <n v="0"/>
    <n v="0"/>
    <n v="0"/>
    <n v="0"/>
    <m/>
  </r>
  <r>
    <x v="1009"/>
    <x v="1"/>
    <x v="1"/>
    <x v="0"/>
    <s v="français"/>
    <x v="0"/>
    <n v="10.5"/>
    <n v="1"/>
    <n v="0"/>
    <n v="1"/>
    <n v="0"/>
    <n v="0"/>
    <n v="0"/>
    <n v="0"/>
    <n v="0"/>
    <n v="0"/>
    <n v="0"/>
    <n v="0"/>
    <m/>
  </r>
  <r>
    <x v="1010"/>
    <x v="2"/>
    <x v="1"/>
    <x v="0"/>
    <s v="français"/>
    <x v="1"/>
    <n v="0.5"/>
    <n v="0"/>
    <n v="0"/>
    <n v="0"/>
    <n v="0"/>
    <n v="0"/>
    <n v="0"/>
    <n v="0"/>
    <n v="1"/>
    <n v="0"/>
    <n v="0"/>
    <n v="0"/>
    <m/>
  </r>
  <r>
    <x v="1011"/>
    <x v="8"/>
    <x v="1"/>
    <x v="0"/>
    <s v="français"/>
    <x v="1"/>
    <n v="0.5"/>
    <n v="0"/>
    <n v="0"/>
    <n v="0"/>
    <n v="0"/>
    <n v="0"/>
    <n v="0"/>
    <n v="0"/>
    <n v="0"/>
    <n v="0"/>
    <n v="0"/>
    <n v="1"/>
    <m/>
  </r>
  <r>
    <x v="1012"/>
    <x v="8"/>
    <x v="1"/>
    <x v="0"/>
    <s v="français"/>
    <x v="1"/>
    <n v="0.5"/>
    <n v="0"/>
    <n v="0"/>
    <n v="0"/>
    <n v="0"/>
    <n v="0"/>
    <n v="0"/>
    <n v="0"/>
    <n v="0"/>
    <n v="0"/>
    <n v="0"/>
    <n v="1"/>
    <m/>
  </r>
  <r>
    <x v="1013"/>
    <x v="8"/>
    <x v="1"/>
    <x v="0"/>
    <s v="français"/>
    <x v="2"/>
    <n v="3"/>
    <n v="0"/>
    <n v="0"/>
    <n v="0"/>
    <n v="0"/>
    <n v="0"/>
    <n v="0"/>
    <n v="1"/>
    <n v="0"/>
    <n v="0"/>
    <n v="0"/>
    <n v="0"/>
    <m/>
  </r>
  <r>
    <x v="1014"/>
    <x v="8"/>
    <x v="1"/>
    <x v="0"/>
    <s v="français"/>
    <x v="2"/>
    <n v="3"/>
    <n v="0"/>
    <n v="0"/>
    <n v="0"/>
    <n v="0"/>
    <n v="0"/>
    <n v="0"/>
    <n v="0"/>
    <n v="1"/>
    <n v="0"/>
    <n v="0"/>
    <n v="0"/>
    <m/>
  </r>
  <r>
    <x v="1015"/>
    <x v="8"/>
    <x v="1"/>
    <x v="0"/>
    <s v="français"/>
    <x v="1"/>
    <n v="0.5"/>
    <n v="0"/>
    <n v="0"/>
    <n v="0"/>
    <n v="0"/>
    <n v="0"/>
    <n v="0"/>
    <n v="0"/>
    <n v="0"/>
    <n v="1"/>
    <n v="0"/>
    <n v="0"/>
    <m/>
  </r>
  <r>
    <x v="1016"/>
    <x v="5"/>
    <x v="2"/>
    <x v="0"/>
    <s v="français"/>
    <x v="2"/>
    <n v="3"/>
    <n v="0"/>
    <n v="0"/>
    <n v="0"/>
    <n v="0"/>
    <n v="0"/>
    <n v="0"/>
    <n v="0"/>
    <n v="0"/>
    <n v="1"/>
    <n v="0"/>
    <n v="0"/>
    <s v="Une usagère est venue se plaindre car la Salle Senebier était fermée"/>
  </r>
  <r>
    <x v="1017"/>
    <x v="5"/>
    <x v="2"/>
    <x v="0"/>
    <s v="français"/>
    <x v="2"/>
    <n v="3"/>
    <n v="0"/>
    <n v="0"/>
    <n v="0"/>
    <n v="0"/>
    <n v="0"/>
    <n v="0"/>
    <n v="0"/>
    <n v="1"/>
    <n v="0"/>
    <n v="0"/>
    <n v="0"/>
    <m/>
  </r>
  <r>
    <x v="1018"/>
    <x v="5"/>
    <x v="2"/>
    <x v="0"/>
    <s v="français"/>
    <x v="1"/>
    <n v="0.5"/>
    <n v="0"/>
    <n v="0"/>
    <n v="0"/>
    <n v="0"/>
    <n v="0"/>
    <n v="0"/>
    <n v="0"/>
    <n v="0"/>
    <n v="0"/>
    <n v="1"/>
    <n v="0"/>
    <m/>
  </r>
  <r>
    <x v="1019"/>
    <x v="5"/>
    <x v="2"/>
    <x v="0"/>
    <s v="français"/>
    <x v="2"/>
    <n v="3"/>
    <n v="0"/>
    <n v="0"/>
    <n v="1"/>
    <n v="0"/>
    <n v="0"/>
    <n v="1"/>
    <n v="0"/>
    <n v="0"/>
    <n v="0"/>
    <n v="0"/>
    <n v="0"/>
    <m/>
  </r>
  <r>
    <x v="1020"/>
    <x v="5"/>
    <x v="2"/>
    <x v="0"/>
    <s v="français"/>
    <x v="0"/>
    <n v="10.5"/>
    <n v="0"/>
    <n v="0"/>
    <n v="0"/>
    <n v="0"/>
    <n v="0"/>
    <n v="0"/>
    <n v="0"/>
    <n v="0"/>
    <n v="1"/>
    <n v="0"/>
    <n v="0"/>
    <m/>
  </r>
  <r>
    <x v="1021"/>
    <x v="0"/>
    <x v="2"/>
    <x v="0"/>
    <s v="français"/>
    <x v="2"/>
    <n v="3"/>
    <n v="0"/>
    <n v="0"/>
    <n v="0"/>
    <n v="0"/>
    <n v="0"/>
    <n v="0"/>
    <n v="0"/>
    <n v="0"/>
    <n v="0"/>
    <n v="0"/>
    <n v="1"/>
    <s v="livre au DBU Uni pas possible de la commander via Swisscovery"/>
  </r>
  <r>
    <x v="1022"/>
    <x v="0"/>
    <x v="2"/>
    <x v="0"/>
    <s v="français"/>
    <x v="0"/>
    <n v="10.5"/>
    <n v="0"/>
    <n v="0"/>
    <n v="0"/>
    <n v="0"/>
    <n v="0"/>
    <n v="1"/>
    <n v="0"/>
    <n v="0"/>
    <n v="0"/>
    <n v="0"/>
    <n v="0"/>
    <m/>
  </r>
  <r>
    <x v="1023"/>
    <x v="0"/>
    <x v="2"/>
    <x v="0"/>
    <s v="français"/>
    <x v="0"/>
    <n v="10.5"/>
    <n v="0"/>
    <n v="0"/>
    <n v="0"/>
    <n v="0"/>
    <n v="0"/>
    <n v="1"/>
    <n v="0"/>
    <n v="0"/>
    <n v="0"/>
    <n v="0"/>
    <n v="0"/>
    <m/>
  </r>
  <r>
    <x v="1024"/>
    <x v="1"/>
    <x v="2"/>
    <x v="0"/>
    <s v="français"/>
    <x v="1"/>
    <n v="0.5"/>
    <n v="0"/>
    <n v="0"/>
    <n v="0"/>
    <n v="0"/>
    <n v="0"/>
    <n v="0"/>
    <n v="0"/>
    <n v="0"/>
    <n v="0"/>
    <n v="1"/>
    <n v="0"/>
    <m/>
  </r>
  <r>
    <x v="1025"/>
    <x v="1"/>
    <x v="2"/>
    <x v="0"/>
    <s v="français"/>
    <x v="2"/>
    <n v="3"/>
    <n v="1"/>
    <n v="0"/>
    <n v="1"/>
    <n v="0"/>
    <n v="0"/>
    <n v="0"/>
    <n v="0"/>
    <n v="0"/>
    <n v="0"/>
    <n v="0"/>
    <n v="0"/>
    <m/>
  </r>
  <r>
    <x v="1026"/>
    <x v="1"/>
    <x v="2"/>
    <x v="0"/>
    <s v="français"/>
    <x v="2"/>
    <n v="3"/>
    <n v="1"/>
    <n v="0"/>
    <n v="0"/>
    <n v="0"/>
    <n v="0"/>
    <n v="1"/>
    <n v="0"/>
    <n v="0"/>
    <n v="0"/>
    <n v="0"/>
    <n v="0"/>
    <m/>
  </r>
  <r>
    <x v="1027"/>
    <x v="1"/>
    <x v="2"/>
    <x v="0"/>
    <s v="français"/>
    <x v="2"/>
    <n v="3"/>
    <n v="1"/>
    <n v="0"/>
    <n v="1"/>
    <n v="0"/>
    <n v="0"/>
    <n v="1"/>
    <n v="0"/>
    <n v="0"/>
    <n v="0"/>
    <n v="0"/>
    <n v="0"/>
    <m/>
  </r>
  <r>
    <x v="1028"/>
    <x v="1"/>
    <x v="2"/>
    <x v="0"/>
    <s v="français"/>
    <x v="1"/>
    <n v="0.5"/>
    <n v="0"/>
    <n v="0"/>
    <n v="0"/>
    <n v="0"/>
    <n v="0"/>
    <n v="0"/>
    <n v="0"/>
    <n v="0"/>
    <n v="0"/>
    <n v="0"/>
    <n v="1"/>
    <s v="Où est l'expo de photo ?"/>
  </r>
  <r>
    <x v="1029"/>
    <x v="8"/>
    <x v="2"/>
    <x v="1"/>
    <s v="français"/>
    <x v="0"/>
    <n v="10.5"/>
    <n v="1"/>
    <n v="0"/>
    <n v="1"/>
    <n v="0"/>
    <n v="0"/>
    <n v="0"/>
    <n v="0"/>
    <n v="0"/>
    <n v="0"/>
    <n v="1"/>
    <n v="0"/>
    <m/>
  </r>
  <r>
    <x v="1030"/>
    <x v="8"/>
    <x v="2"/>
    <x v="0"/>
    <s v="français"/>
    <x v="2"/>
    <n v="3"/>
    <n v="1"/>
    <n v="0"/>
    <n v="1"/>
    <n v="0"/>
    <n v="0"/>
    <n v="0"/>
    <n v="0"/>
    <n v="0"/>
    <n v="0"/>
    <n v="0"/>
    <n v="0"/>
    <m/>
  </r>
  <r>
    <x v="1031"/>
    <x v="8"/>
    <x v="2"/>
    <x v="0"/>
    <s v="français"/>
    <x v="1"/>
    <n v="0.5"/>
    <n v="0"/>
    <n v="0"/>
    <n v="0"/>
    <n v="0"/>
    <n v="0"/>
    <n v="0"/>
    <n v="0"/>
    <n v="0"/>
    <n v="0"/>
    <n v="1"/>
    <n v="0"/>
    <m/>
  </r>
  <r>
    <x v="1032"/>
    <x v="8"/>
    <x v="2"/>
    <x v="0"/>
    <s v="français"/>
    <x v="1"/>
    <n v="0.5"/>
    <n v="0"/>
    <n v="0"/>
    <n v="0"/>
    <n v="0"/>
    <n v="0"/>
    <n v="0"/>
    <n v="0"/>
    <n v="0"/>
    <n v="0"/>
    <n v="0"/>
    <n v="1"/>
    <m/>
  </r>
  <r>
    <x v="1033"/>
    <x v="8"/>
    <x v="2"/>
    <x v="0"/>
    <s v="français"/>
    <x v="1"/>
    <n v="0.5"/>
    <n v="0"/>
    <n v="0"/>
    <n v="0"/>
    <n v="0"/>
    <n v="0"/>
    <n v="0"/>
    <n v="0"/>
    <n v="1"/>
    <n v="0"/>
    <n v="0"/>
    <n v="0"/>
    <m/>
  </r>
  <r>
    <x v="1034"/>
    <x v="5"/>
    <x v="3"/>
    <x v="0"/>
    <s v="français"/>
    <x v="1"/>
    <n v="0.5"/>
    <n v="0"/>
    <n v="0"/>
    <n v="0"/>
    <n v="0"/>
    <n v="0"/>
    <n v="0"/>
    <n v="0"/>
    <n v="0"/>
    <n v="0"/>
    <n v="1"/>
    <n v="0"/>
    <m/>
  </r>
  <r>
    <x v="1035"/>
    <x v="3"/>
    <x v="3"/>
    <x v="0"/>
    <s v="français"/>
    <x v="2"/>
    <n v="3"/>
    <n v="0"/>
    <n v="0"/>
    <n v="0"/>
    <n v="0"/>
    <n v="0"/>
    <n v="0"/>
    <n v="0"/>
    <n v="0"/>
    <n v="1"/>
    <n v="0"/>
    <n v="0"/>
    <m/>
  </r>
  <r>
    <x v="1036"/>
    <x v="3"/>
    <x v="3"/>
    <x v="0"/>
    <s v="français"/>
    <x v="1"/>
    <n v="0.5"/>
    <n v="0"/>
    <n v="0"/>
    <n v="0"/>
    <n v="0"/>
    <n v="0"/>
    <n v="0"/>
    <n v="0"/>
    <n v="0"/>
    <n v="1"/>
    <n v="0"/>
    <n v="0"/>
    <m/>
  </r>
  <r>
    <x v="1037"/>
    <x v="4"/>
    <x v="3"/>
    <x v="0"/>
    <s v="français"/>
    <x v="0"/>
    <n v="10.5"/>
    <n v="0"/>
    <n v="0"/>
    <n v="0"/>
    <n v="0"/>
    <n v="1"/>
    <n v="0"/>
    <n v="0"/>
    <n v="0"/>
    <n v="0"/>
    <n v="0"/>
    <n v="0"/>
    <m/>
  </r>
  <r>
    <x v="1038"/>
    <x v="1"/>
    <x v="3"/>
    <x v="0"/>
    <s v="français"/>
    <x v="0"/>
    <n v="10.5"/>
    <n v="1"/>
    <n v="0"/>
    <n v="1"/>
    <n v="0"/>
    <n v="0"/>
    <n v="0"/>
    <n v="0"/>
    <n v="0"/>
    <n v="0"/>
    <n v="0"/>
    <n v="0"/>
    <m/>
  </r>
  <r>
    <x v="1039"/>
    <x v="1"/>
    <x v="3"/>
    <x v="0"/>
    <s v="français"/>
    <x v="1"/>
    <n v="0.5"/>
    <n v="0"/>
    <n v="0"/>
    <n v="0"/>
    <n v="0"/>
    <n v="0"/>
    <n v="0"/>
    <n v="0"/>
    <n v="0"/>
    <n v="0"/>
    <n v="1"/>
    <n v="0"/>
    <s v="pret"/>
  </r>
  <r>
    <x v="1040"/>
    <x v="2"/>
    <x v="3"/>
    <x v="0"/>
    <s v="français"/>
    <x v="0"/>
    <n v="10.5"/>
    <n v="0"/>
    <n v="0"/>
    <n v="0"/>
    <n v="0"/>
    <n v="1"/>
    <n v="0"/>
    <n v="0"/>
    <n v="0"/>
    <n v="0"/>
    <n v="0"/>
    <n v="0"/>
    <m/>
  </r>
  <r>
    <x v="1041"/>
    <x v="2"/>
    <x v="3"/>
    <x v="0"/>
    <s v="français"/>
    <x v="2"/>
    <n v="3"/>
    <n v="0"/>
    <n v="0"/>
    <n v="0"/>
    <n v="0"/>
    <n v="0"/>
    <n v="0"/>
    <n v="1"/>
    <n v="0"/>
    <n v="0"/>
    <n v="0"/>
    <n v="0"/>
    <m/>
  </r>
  <r>
    <x v="1042"/>
    <x v="2"/>
    <x v="3"/>
    <x v="0"/>
    <s v="français"/>
    <x v="2"/>
    <n v="3"/>
    <n v="1"/>
    <n v="0"/>
    <n v="1"/>
    <n v="0"/>
    <n v="0"/>
    <n v="0"/>
    <n v="0"/>
    <n v="0"/>
    <n v="0"/>
    <n v="0"/>
    <n v="0"/>
    <m/>
  </r>
  <r>
    <x v="1043"/>
    <x v="5"/>
    <x v="5"/>
    <x v="0"/>
    <s v="français"/>
    <x v="2"/>
    <n v="3"/>
    <n v="0"/>
    <n v="0"/>
    <n v="0"/>
    <n v="0"/>
    <n v="0"/>
    <n v="0"/>
    <n v="1"/>
    <n v="0"/>
    <n v="0"/>
    <n v="0"/>
    <n v="0"/>
    <m/>
  </r>
  <r>
    <x v="1044"/>
    <x v="5"/>
    <x v="5"/>
    <x v="0"/>
    <s v="français"/>
    <x v="2"/>
    <n v="3"/>
    <n v="0"/>
    <n v="0"/>
    <n v="0"/>
    <n v="0"/>
    <n v="0"/>
    <n v="0"/>
    <n v="1"/>
    <n v="0"/>
    <n v="0"/>
    <n v="0"/>
    <n v="0"/>
    <m/>
  </r>
  <r>
    <x v="1045"/>
    <x v="5"/>
    <x v="5"/>
    <x v="0"/>
    <s v="français"/>
    <x v="2"/>
    <n v="3"/>
    <n v="0"/>
    <n v="0"/>
    <n v="0"/>
    <n v="0"/>
    <n v="0"/>
    <n v="0"/>
    <n v="0"/>
    <n v="0"/>
    <n v="1"/>
    <n v="0"/>
    <n v="0"/>
    <m/>
  </r>
  <r>
    <x v="1046"/>
    <x v="0"/>
    <x v="5"/>
    <x v="0"/>
    <s v="français"/>
    <x v="2"/>
    <n v="3"/>
    <n v="1"/>
    <n v="0"/>
    <n v="1"/>
    <n v="0"/>
    <n v="0"/>
    <n v="0"/>
    <n v="0"/>
    <n v="0"/>
    <n v="0"/>
    <n v="0"/>
    <n v="0"/>
    <s v="Bible de Jérusalem"/>
  </r>
  <r>
    <x v="1047"/>
    <x v="0"/>
    <x v="5"/>
    <x v="0"/>
    <s v="français"/>
    <x v="2"/>
    <n v="3"/>
    <n v="0"/>
    <n v="0"/>
    <n v="0"/>
    <n v="0"/>
    <n v="0"/>
    <n v="0"/>
    <n v="0"/>
    <n v="0"/>
    <n v="0"/>
    <n v="0"/>
    <n v="1"/>
    <s v="Demande autorisation pour prendre des photos"/>
  </r>
  <r>
    <x v="1048"/>
    <x v="4"/>
    <x v="5"/>
    <x v="0"/>
    <s v="français"/>
    <x v="0"/>
    <n v="10.5"/>
    <n v="1"/>
    <n v="0"/>
    <n v="0"/>
    <n v="0"/>
    <n v="0"/>
    <n v="0"/>
    <n v="0"/>
    <n v="0"/>
    <n v="0"/>
    <n v="0"/>
    <n v="0"/>
    <m/>
  </r>
  <r>
    <x v="1049"/>
    <x v="4"/>
    <x v="5"/>
    <x v="0"/>
    <s v="français"/>
    <x v="0"/>
    <n v="10.5"/>
    <n v="0"/>
    <n v="0"/>
    <n v="0"/>
    <n v="0"/>
    <n v="1"/>
    <n v="0"/>
    <n v="0"/>
    <n v="0"/>
    <n v="0"/>
    <n v="0"/>
    <n v="0"/>
    <m/>
  </r>
  <r>
    <x v="1050"/>
    <x v="4"/>
    <x v="5"/>
    <x v="0"/>
    <s v="français"/>
    <x v="0"/>
    <n v="10.5"/>
    <n v="0"/>
    <n v="0"/>
    <n v="0"/>
    <n v="0"/>
    <n v="1"/>
    <n v="0"/>
    <n v="0"/>
    <n v="0"/>
    <n v="0"/>
    <n v="0"/>
    <n v="0"/>
    <m/>
  </r>
  <r>
    <x v="1051"/>
    <x v="1"/>
    <x v="5"/>
    <x v="1"/>
    <s v="français"/>
    <x v="3"/>
    <n v="20"/>
    <n v="0"/>
    <n v="0"/>
    <n v="0"/>
    <n v="0"/>
    <n v="0"/>
    <n v="0"/>
    <n v="0"/>
    <n v="0"/>
    <n v="0"/>
    <n v="0"/>
    <n v="1"/>
    <s v="Formation Zotero -&gt; Empruntez un bibliothécaire -&gt; formation Zotero"/>
  </r>
  <r>
    <x v="1052"/>
    <x v="1"/>
    <x v="5"/>
    <x v="0"/>
    <s v="français"/>
    <x v="2"/>
    <n v="3"/>
    <n v="0"/>
    <n v="0"/>
    <n v="0"/>
    <n v="0"/>
    <n v="0"/>
    <n v="0"/>
    <n v="0"/>
    <n v="0"/>
    <n v="0"/>
    <n v="0"/>
    <n v="1"/>
    <s v="Anciens numéros peridiques dans Salle du Catalogue  "/>
  </r>
  <r>
    <x v="1053"/>
    <x v="1"/>
    <x v="5"/>
    <x v="0"/>
    <s v="français"/>
    <x v="2"/>
    <n v="3"/>
    <n v="1"/>
    <n v="0"/>
    <n v="0"/>
    <n v="0"/>
    <n v="0"/>
    <n v="0"/>
    <n v="0"/>
    <n v="0"/>
    <n v="0"/>
    <n v="0"/>
    <n v="0"/>
    <m/>
  </r>
  <r>
    <x v="1054"/>
    <x v="1"/>
    <x v="5"/>
    <x v="0"/>
    <s v="français"/>
    <x v="0"/>
    <n v="10.5"/>
    <n v="0"/>
    <n v="1"/>
    <n v="1"/>
    <n v="1"/>
    <n v="0"/>
    <n v="0"/>
    <n v="0"/>
    <n v="0"/>
    <n v="0"/>
    <n v="0"/>
    <n v="0"/>
    <m/>
  </r>
  <r>
    <x v="1055"/>
    <x v="2"/>
    <x v="5"/>
    <x v="0"/>
    <s v="français"/>
    <x v="1"/>
    <n v="0.5"/>
    <n v="0"/>
    <n v="0"/>
    <n v="0"/>
    <n v="0"/>
    <n v="0"/>
    <n v="0"/>
    <n v="0"/>
    <n v="0"/>
    <n v="0"/>
    <n v="0"/>
    <n v="1"/>
    <s v="Réservation salle de réunion"/>
  </r>
  <r>
    <x v="1056"/>
    <x v="7"/>
    <x v="1"/>
    <x v="0"/>
    <s v="français"/>
    <x v="2"/>
    <n v="3"/>
    <n v="0"/>
    <n v="0"/>
    <n v="1"/>
    <n v="0"/>
    <n v="0"/>
    <n v="0"/>
    <n v="0"/>
    <n v="0"/>
    <n v="1"/>
    <n v="0"/>
    <n v="0"/>
    <m/>
  </r>
  <r>
    <x v="1057"/>
    <x v="1"/>
    <x v="1"/>
    <x v="0"/>
    <s v="français"/>
    <x v="3"/>
    <n v="20"/>
    <n v="1"/>
    <n v="0"/>
    <n v="1"/>
    <n v="0"/>
    <n v="1"/>
    <n v="1"/>
    <n v="0"/>
    <n v="0"/>
    <n v="0"/>
    <n v="0"/>
    <n v="0"/>
    <m/>
  </r>
  <r>
    <x v="1058"/>
    <x v="1"/>
    <x v="1"/>
    <x v="0"/>
    <s v="français"/>
    <x v="2"/>
    <n v="3"/>
    <n v="0"/>
    <n v="0"/>
    <n v="0"/>
    <n v="0"/>
    <n v="0"/>
    <n v="0"/>
    <n v="0"/>
    <n v="0"/>
    <n v="0"/>
    <n v="0"/>
    <n v="1"/>
    <s v="Labor et Fides DL"/>
  </r>
  <r>
    <x v="1059"/>
    <x v="1"/>
    <x v="1"/>
    <x v="0"/>
    <s v="français"/>
    <x v="2"/>
    <n v="3"/>
    <n v="1"/>
    <n v="0"/>
    <n v="1"/>
    <n v="0"/>
    <n v="0"/>
    <n v="1"/>
    <n v="0"/>
    <n v="0"/>
    <n v="0"/>
    <n v="0"/>
    <n v="0"/>
    <m/>
  </r>
  <r>
    <x v="1060"/>
    <x v="1"/>
    <x v="1"/>
    <x v="0"/>
    <s v="français"/>
    <x v="2"/>
    <n v="3"/>
    <n v="1"/>
    <n v="0"/>
    <n v="1"/>
    <n v="0"/>
    <n v="0"/>
    <n v="0"/>
    <n v="0"/>
    <n v="0"/>
    <n v="0"/>
    <n v="0"/>
    <n v="0"/>
    <m/>
  </r>
  <r>
    <x v="1061"/>
    <x v="1"/>
    <x v="1"/>
    <x v="0"/>
    <s v="français"/>
    <x v="2"/>
    <n v="3"/>
    <n v="0"/>
    <n v="1"/>
    <n v="0"/>
    <n v="1"/>
    <n v="0"/>
    <n v="0"/>
    <n v="0"/>
    <n v="0"/>
    <n v="0"/>
    <n v="0"/>
    <n v="0"/>
    <s v="Bibliographies de Genève"/>
  </r>
  <r>
    <x v="1062"/>
    <x v="0"/>
    <x v="2"/>
    <x v="0"/>
    <s v="français"/>
    <x v="0"/>
    <n v="10.5"/>
    <n v="0"/>
    <n v="0"/>
    <n v="0"/>
    <n v="0"/>
    <n v="0"/>
    <n v="0"/>
    <n v="0"/>
    <n v="0"/>
    <n v="1"/>
    <n v="0"/>
    <n v="0"/>
    <m/>
  </r>
  <r>
    <x v="1063"/>
    <x v="0"/>
    <x v="2"/>
    <x v="0"/>
    <s v="français"/>
    <x v="2"/>
    <n v="3"/>
    <n v="0"/>
    <n v="0"/>
    <n v="0"/>
    <n v="0"/>
    <n v="0"/>
    <n v="0"/>
    <n v="0"/>
    <n v="0"/>
    <n v="1"/>
    <n v="0"/>
    <n v="0"/>
    <m/>
  </r>
  <r>
    <x v="1064"/>
    <x v="3"/>
    <x v="2"/>
    <x v="0"/>
    <s v="français"/>
    <x v="2"/>
    <n v="3"/>
    <n v="0"/>
    <n v="0"/>
    <n v="0"/>
    <n v="0"/>
    <n v="0"/>
    <n v="0"/>
    <n v="1"/>
    <n v="0"/>
    <n v="0"/>
    <n v="0"/>
    <n v="0"/>
    <m/>
  </r>
  <r>
    <x v="1065"/>
    <x v="4"/>
    <x v="2"/>
    <x v="0"/>
    <s v="français"/>
    <x v="3"/>
    <n v="20"/>
    <n v="1"/>
    <n v="0"/>
    <n v="0"/>
    <n v="0"/>
    <n v="0"/>
    <n v="0"/>
    <n v="0"/>
    <n v="0"/>
    <n v="0"/>
    <n v="0"/>
    <n v="0"/>
    <m/>
  </r>
  <r>
    <x v="1066"/>
    <x v="1"/>
    <x v="2"/>
    <x v="0"/>
    <s v="français"/>
    <x v="2"/>
    <n v="3"/>
    <n v="1"/>
    <n v="0"/>
    <n v="1"/>
    <n v="0"/>
    <n v="0"/>
    <n v="0"/>
    <n v="0"/>
    <n v="0"/>
    <n v="0"/>
    <n v="0"/>
    <n v="0"/>
    <m/>
  </r>
  <r>
    <x v="1067"/>
    <x v="1"/>
    <x v="2"/>
    <x v="0"/>
    <s v="français"/>
    <x v="1"/>
    <n v="0.5"/>
    <n v="0"/>
    <n v="0"/>
    <n v="0"/>
    <n v="0"/>
    <n v="0"/>
    <n v="0"/>
    <n v="0"/>
    <n v="0"/>
    <n v="0"/>
    <n v="1"/>
    <n v="0"/>
    <m/>
  </r>
  <r>
    <x v="1068"/>
    <x v="1"/>
    <x v="2"/>
    <x v="0"/>
    <s v="anglais"/>
    <x v="2"/>
    <n v="3"/>
    <n v="0"/>
    <n v="0"/>
    <n v="0"/>
    <n v="0"/>
    <n v="0"/>
    <n v="0"/>
    <n v="0"/>
    <n v="1"/>
    <n v="0"/>
    <n v="0"/>
    <n v="0"/>
    <m/>
  </r>
  <r>
    <x v="1069"/>
    <x v="1"/>
    <x v="2"/>
    <x v="0"/>
    <s v="français"/>
    <x v="0"/>
    <n v="10.5"/>
    <n v="0"/>
    <n v="0"/>
    <n v="1"/>
    <n v="0"/>
    <n v="1"/>
    <n v="0"/>
    <n v="0"/>
    <n v="0"/>
    <n v="1"/>
    <n v="0"/>
    <n v="0"/>
    <m/>
  </r>
  <r>
    <x v="1070"/>
    <x v="1"/>
    <x v="2"/>
    <x v="0"/>
    <s v="français"/>
    <x v="2"/>
    <n v="3"/>
    <n v="1"/>
    <n v="0"/>
    <n v="1"/>
    <n v="0"/>
    <n v="0"/>
    <n v="0"/>
    <n v="0"/>
    <n v="0"/>
    <n v="0"/>
    <n v="0"/>
    <n v="0"/>
    <m/>
  </r>
  <r>
    <x v="1071"/>
    <x v="5"/>
    <x v="3"/>
    <x v="0"/>
    <s v="français"/>
    <x v="2"/>
    <n v="3"/>
    <n v="0"/>
    <n v="0"/>
    <n v="0"/>
    <n v="0"/>
    <n v="0"/>
    <n v="0"/>
    <n v="0"/>
    <n v="1"/>
    <n v="0"/>
    <n v="0"/>
    <n v="0"/>
    <m/>
  </r>
  <r>
    <x v="1072"/>
    <x v="5"/>
    <x v="3"/>
    <x v="0"/>
    <s v="français"/>
    <x v="1"/>
    <n v="0.5"/>
    <n v="0"/>
    <n v="0"/>
    <n v="0"/>
    <n v="0"/>
    <n v="0"/>
    <n v="0"/>
    <n v="0"/>
    <n v="0"/>
    <n v="0"/>
    <n v="0"/>
    <n v="1"/>
    <m/>
  </r>
  <r>
    <x v="1073"/>
    <x v="5"/>
    <x v="3"/>
    <x v="0"/>
    <s v="français"/>
    <x v="2"/>
    <n v="3"/>
    <n v="0"/>
    <n v="0"/>
    <n v="0"/>
    <n v="0"/>
    <n v="1"/>
    <n v="1"/>
    <n v="0"/>
    <n v="0"/>
    <n v="0"/>
    <n v="0"/>
    <n v="0"/>
    <m/>
  </r>
  <r>
    <x v="1074"/>
    <x v="7"/>
    <x v="3"/>
    <x v="0"/>
    <s v="français"/>
    <x v="0"/>
    <n v="10.5"/>
    <n v="0"/>
    <n v="0"/>
    <n v="0"/>
    <n v="0"/>
    <n v="0"/>
    <n v="0"/>
    <n v="0"/>
    <n v="0"/>
    <n v="0"/>
    <n v="0"/>
    <n v="1"/>
    <s v="Propositions de dons"/>
  </r>
  <r>
    <x v="1075"/>
    <x v="7"/>
    <x v="3"/>
    <x v="0"/>
    <s v="français"/>
    <x v="2"/>
    <n v="3"/>
    <n v="1"/>
    <n v="0"/>
    <n v="1"/>
    <n v="0"/>
    <n v="0"/>
    <n v="0"/>
    <n v="0"/>
    <n v="0"/>
    <n v="0"/>
    <n v="0"/>
    <n v="0"/>
    <m/>
  </r>
  <r>
    <x v="1076"/>
    <x v="7"/>
    <x v="3"/>
    <x v="0"/>
    <s v="français"/>
    <x v="1"/>
    <n v="0.5"/>
    <n v="0"/>
    <n v="0"/>
    <n v="0"/>
    <n v="0"/>
    <n v="0"/>
    <n v="0"/>
    <n v="0"/>
    <n v="0"/>
    <n v="0"/>
    <n v="1"/>
    <n v="0"/>
    <m/>
  </r>
  <r>
    <x v="1077"/>
    <x v="3"/>
    <x v="3"/>
    <x v="0"/>
    <s v="français"/>
    <x v="2"/>
    <n v="3"/>
    <n v="1"/>
    <n v="0"/>
    <n v="0"/>
    <n v="0"/>
    <n v="0"/>
    <n v="0"/>
    <n v="0"/>
    <n v="0"/>
    <n v="0"/>
    <n v="0"/>
    <n v="0"/>
    <m/>
  </r>
  <r>
    <x v="1078"/>
    <x v="2"/>
    <x v="3"/>
    <x v="0"/>
    <s v="français"/>
    <x v="3"/>
    <n v="20"/>
    <n v="0"/>
    <n v="0"/>
    <n v="1"/>
    <n v="0"/>
    <n v="1"/>
    <n v="0"/>
    <n v="0"/>
    <n v="0"/>
    <n v="1"/>
    <n v="0"/>
    <n v="0"/>
    <m/>
  </r>
  <r>
    <x v="1079"/>
    <x v="2"/>
    <x v="3"/>
    <x v="0"/>
    <s v="français"/>
    <x v="0"/>
    <n v="10.5"/>
    <n v="0"/>
    <n v="0"/>
    <n v="0"/>
    <n v="0"/>
    <n v="0"/>
    <n v="1"/>
    <n v="0"/>
    <n v="0"/>
    <n v="0"/>
    <n v="0"/>
    <n v="0"/>
    <m/>
  </r>
  <r>
    <x v="1080"/>
    <x v="2"/>
    <x v="3"/>
    <x v="0"/>
    <s v="français"/>
    <x v="2"/>
    <n v="3"/>
    <n v="0"/>
    <n v="0"/>
    <n v="0"/>
    <n v="0"/>
    <n v="1"/>
    <n v="0"/>
    <n v="0"/>
    <n v="0"/>
    <n v="0"/>
    <n v="0"/>
    <n v="0"/>
    <m/>
  </r>
  <r>
    <x v="1081"/>
    <x v="2"/>
    <x v="3"/>
    <x v="0"/>
    <s v="français"/>
    <x v="2"/>
    <n v="3"/>
    <n v="0"/>
    <n v="0"/>
    <n v="0"/>
    <n v="0"/>
    <n v="0"/>
    <n v="0"/>
    <n v="0"/>
    <n v="1"/>
    <n v="0"/>
    <n v="0"/>
    <n v="0"/>
    <m/>
  </r>
  <r>
    <x v="1082"/>
    <x v="0"/>
    <x v="5"/>
    <x v="0"/>
    <s v="français"/>
    <x v="0"/>
    <n v="10.5"/>
    <n v="0"/>
    <n v="0"/>
    <n v="0"/>
    <n v="0"/>
    <n v="0"/>
    <n v="0"/>
    <n v="0"/>
    <n v="1"/>
    <n v="0"/>
    <n v="0"/>
    <n v="0"/>
    <s v="Tentative d'imprimer directement depuis 1 clé USB"/>
  </r>
  <r>
    <x v="1083"/>
    <x v="7"/>
    <x v="5"/>
    <x v="0"/>
    <s v="français"/>
    <x v="1"/>
    <n v="0.5"/>
    <n v="0"/>
    <n v="0"/>
    <n v="0"/>
    <n v="0"/>
    <n v="0"/>
    <n v="0"/>
    <n v="0"/>
    <n v="0"/>
    <n v="1"/>
    <n v="0"/>
    <n v="0"/>
    <m/>
  </r>
  <r>
    <x v="1084"/>
    <x v="7"/>
    <x v="5"/>
    <x v="0"/>
    <s v="français"/>
    <x v="2"/>
    <n v="3"/>
    <n v="1"/>
    <n v="0"/>
    <n v="1"/>
    <n v="0"/>
    <n v="0"/>
    <n v="0"/>
    <n v="0"/>
    <n v="0"/>
    <n v="0"/>
    <n v="0"/>
    <n v="0"/>
    <m/>
  </r>
  <r>
    <x v="1085"/>
    <x v="7"/>
    <x v="5"/>
    <x v="0"/>
    <s v="français"/>
    <x v="1"/>
    <n v="0.5"/>
    <n v="0"/>
    <n v="0"/>
    <n v="0"/>
    <n v="0"/>
    <n v="0"/>
    <n v="0"/>
    <n v="0"/>
    <n v="1"/>
    <n v="0"/>
    <n v="0"/>
    <n v="0"/>
    <m/>
  </r>
  <r>
    <x v="1086"/>
    <x v="4"/>
    <x v="5"/>
    <x v="0"/>
    <s v="français"/>
    <x v="0"/>
    <n v="10.5"/>
    <n v="1"/>
    <n v="0"/>
    <n v="0"/>
    <n v="0"/>
    <n v="0"/>
    <n v="0"/>
    <n v="0"/>
    <n v="0"/>
    <n v="0"/>
    <n v="0"/>
    <n v="0"/>
    <s v="Recherche pour le Prêt d'un no de périodique non trouvé en rayons"/>
  </r>
  <r>
    <x v="1087"/>
    <x v="4"/>
    <x v="5"/>
    <x v="0"/>
    <s v="français"/>
    <x v="0"/>
    <n v="10.5"/>
    <n v="1"/>
    <n v="0"/>
    <n v="1"/>
    <n v="0"/>
    <n v="0"/>
    <n v="0"/>
    <n v="0"/>
    <n v="0"/>
    <n v="0"/>
    <n v="0"/>
    <n v="0"/>
    <s v="Recherche d'une série d'ouvrages ayant été refoulés de Bonivard"/>
  </r>
  <r>
    <x v="1088"/>
    <x v="1"/>
    <x v="5"/>
    <x v="0"/>
    <s v="français"/>
    <x v="0"/>
    <n v="10.5"/>
    <n v="0"/>
    <n v="0"/>
    <n v="1"/>
    <n v="0"/>
    <n v="0"/>
    <n v="0"/>
    <n v="0"/>
    <n v="0"/>
    <n v="1"/>
    <n v="0"/>
    <n v="0"/>
    <m/>
  </r>
  <r>
    <x v="1089"/>
    <x v="1"/>
    <x v="5"/>
    <x v="0"/>
    <s v="français"/>
    <x v="3"/>
    <n v="20"/>
    <n v="0"/>
    <n v="0"/>
    <n v="0"/>
    <n v="0"/>
    <n v="1"/>
    <n v="0"/>
    <n v="0"/>
    <n v="0"/>
    <n v="0"/>
    <n v="0"/>
    <n v="0"/>
    <m/>
  </r>
  <r>
    <x v="1090"/>
    <x v="2"/>
    <x v="5"/>
    <x v="0"/>
    <s v="français"/>
    <x v="1"/>
    <n v="0.5"/>
    <n v="0"/>
    <n v="0"/>
    <n v="0"/>
    <n v="0"/>
    <n v="0"/>
    <n v="0"/>
    <n v="0"/>
    <n v="0"/>
    <n v="0"/>
    <n v="1"/>
    <n v="0"/>
    <m/>
  </r>
  <r>
    <x v="1091"/>
    <x v="2"/>
    <x v="5"/>
    <x v="0"/>
    <s v="français"/>
    <x v="0"/>
    <n v="10.5"/>
    <n v="1"/>
    <n v="0"/>
    <n v="1"/>
    <n v="0"/>
    <n v="0"/>
    <n v="0"/>
    <n v="0"/>
    <n v="0"/>
    <n v="0"/>
    <n v="0"/>
    <n v="0"/>
    <m/>
  </r>
  <r>
    <x v="1092"/>
    <x v="2"/>
    <x v="5"/>
    <x v="1"/>
    <s v="français"/>
    <x v="2"/>
    <n v="3"/>
    <n v="0"/>
    <n v="0"/>
    <n v="0"/>
    <n v="0"/>
    <n v="0"/>
    <n v="0"/>
    <n v="0"/>
    <n v="0"/>
    <n v="0"/>
    <n v="0"/>
    <n v="1"/>
    <s v="S'inscrire à emprunter nos bibliothécaires"/>
  </r>
  <r>
    <x v="1093"/>
    <x v="2"/>
    <x v="5"/>
    <x v="0"/>
    <s v="français"/>
    <x v="1"/>
    <n v="0.5"/>
    <n v="0"/>
    <n v="0"/>
    <n v="0"/>
    <n v="0"/>
    <n v="0"/>
    <n v="0"/>
    <n v="0"/>
    <n v="0"/>
    <n v="0"/>
    <n v="1"/>
    <n v="0"/>
    <m/>
  </r>
  <r>
    <x v="1094"/>
    <x v="2"/>
    <x v="5"/>
    <x v="0"/>
    <s v="français"/>
    <x v="1"/>
    <n v="0.5"/>
    <n v="0"/>
    <n v="0"/>
    <n v="0"/>
    <n v="0"/>
    <n v="0"/>
    <n v="0"/>
    <n v="0"/>
    <n v="0"/>
    <n v="0"/>
    <n v="0"/>
    <n v="1"/>
    <s v="Feuilles de brouillon"/>
  </r>
  <r>
    <x v="1095"/>
    <x v="3"/>
    <x v="0"/>
    <x v="0"/>
    <s v="français"/>
    <x v="0"/>
    <n v="10.5"/>
    <n v="0"/>
    <n v="0"/>
    <n v="0"/>
    <n v="0"/>
    <n v="1"/>
    <n v="0"/>
    <n v="0"/>
    <n v="0"/>
    <n v="0"/>
    <n v="0"/>
    <n v="0"/>
    <m/>
  </r>
  <r>
    <x v="1096"/>
    <x v="4"/>
    <x v="0"/>
    <x v="0"/>
    <s v="français"/>
    <x v="3"/>
    <n v="20"/>
    <n v="0"/>
    <n v="0"/>
    <n v="0"/>
    <n v="0"/>
    <n v="1"/>
    <n v="0"/>
    <n v="0"/>
    <n v="0"/>
    <n v="0"/>
    <n v="0"/>
    <n v="0"/>
    <s v="Pré-inscription... &quot;numéro de téléphone déjà utilisé dans  un autre compte&quot;... tentative de récupérer le mot de passe de l'autre compte... attente (dans les spam)... tentative de fusionner les deux comptes... attente... etc etc... PAS SIMPLE !"/>
  </r>
  <r>
    <x v="1097"/>
    <x v="1"/>
    <x v="0"/>
    <x v="0"/>
    <s v="français"/>
    <x v="2"/>
    <n v="3"/>
    <n v="0"/>
    <n v="0"/>
    <n v="0"/>
    <n v="0"/>
    <n v="0"/>
    <n v="0"/>
    <n v="0"/>
    <n v="0"/>
    <n v="1"/>
    <n v="0"/>
    <n v="0"/>
    <m/>
  </r>
  <r>
    <x v="1098"/>
    <x v="1"/>
    <x v="0"/>
    <x v="0"/>
    <s v="français"/>
    <x v="2"/>
    <n v="3"/>
    <n v="0"/>
    <n v="0"/>
    <n v="0"/>
    <n v="0"/>
    <n v="0"/>
    <n v="0"/>
    <n v="0"/>
    <n v="0"/>
    <n v="0"/>
    <n v="0"/>
    <n v="1"/>
    <s v="Aurait reçu un courriel de Switch edu-id lui disant que son compte serait supprimé =&gt; ait demandé qu'elle le transmette à info.bge"/>
  </r>
  <r>
    <x v="1099"/>
    <x v="1"/>
    <x v="0"/>
    <x v="0"/>
    <s v="français"/>
    <x v="2"/>
    <n v="3"/>
    <n v="1"/>
    <n v="0"/>
    <n v="1"/>
    <n v="0"/>
    <n v="0"/>
    <n v="0"/>
    <n v="0"/>
    <n v="0"/>
    <n v="0"/>
    <n v="0"/>
    <n v="0"/>
    <s v="Article dans le Figaro du 9 novembre, qui a disparu =&gt; Pressreader"/>
  </r>
  <r>
    <x v="1100"/>
    <x v="1"/>
    <x v="0"/>
    <x v="0"/>
    <s v="français"/>
    <x v="2"/>
    <n v="3"/>
    <n v="1"/>
    <n v="0"/>
    <n v="0"/>
    <n v="0"/>
    <n v="0"/>
    <n v="0"/>
    <n v="0"/>
    <n v="0"/>
    <n v="0"/>
    <n v="0"/>
    <n v="0"/>
    <s v="Document à l'université"/>
  </r>
  <r>
    <x v="1101"/>
    <x v="1"/>
    <x v="0"/>
    <x v="0"/>
    <s v="français"/>
    <x v="1"/>
    <n v="0.5"/>
    <n v="1"/>
    <n v="0"/>
    <n v="0"/>
    <n v="0"/>
    <n v="0"/>
    <n v="0"/>
    <n v="0"/>
    <n v="0"/>
    <n v="0"/>
    <n v="0"/>
    <n v="0"/>
    <s v="Le Temps =&gt; 15h"/>
  </r>
  <r>
    <x v="1102"/>
    <x v="1"/>
    <x v="0"/>
    <x v="0"/>
    <s v="français"/>
    <x v="0"/>
    <n v="10.5"/>
    <n v="1"/>
    <n v="0"/>
    <n v="0"/>
    <n v="0"/>
    <n v="0"/>
    <n v="0"/>
    <n v="0"/>
    <n v="0"/>
    <n v="0"/>
    <n v="0"/>
    <n v="0"/>
    <m/>
  </r>
  <r>
    <x v="1103"/>
    <x v="8"/>
    <x v="0"/>
    <x v="0"/>
    <s v="français"/>
    <x v="2"/>
    <n v="3"/>
    <n v="0"/>
    <n v="0"/>
    <n v="0"/>
    <n v="0"/>
    <n v="1"/>
    <n v="0"/>
    <n v="0"/>
    <n v="0"/>
    <n v="0"/>
    <n v="0"/>
    <n v="0"/>
    <m/>
  </r>
  <r>
    <x v="1104"/>
    <x v="8"/>
    <x v="0"/>
    <x v="0"/>
    <s v="français"/>
    <x v="1"/>
    <n v="0.5"/>
    <n v="0"/>
    <n v="0"/>
    <n v="0"/>
    <n v="0"/>
    <n v="0"/>
    <n v="0"/>
    <n v="0"/>
    <n v="0"/>
    <n v="0"/>
    <n v="1"/>
    <n v="0"/>
    <m/>
  </r>
  <r>
    <x v="1105"/>
    <x v="8"/>
    <x v="0"/>
    <x v="0"/>
    <s v="français"/>
    <x v="0"/>
    <n v="10.5"/>
    <n v="1"/>
    <n v="0"/>
    <n v="1"/>
    <n v="0"/>
    <n v="0"/>
    <n v="0"/>
    <n v="0"/>
    <n v="0"/>
    <n v="0"/>
    <n v="0"/>
    <n v="0"/>
    <m/>
  </r>
  <r>
    <x v="1106"/>
    <x v="8"/>
    <x v="0"/>
    <x v="0"/>
    <s v="français"/>
    <x v="2"/>
    <n v="3"/>
    <n v="0"/>
    <n v="0"/>
    <n v="0"/>
    <n v="0"/>
    <n v="0"/>
    <n v="0"/>
    <n v="0"/>
    <n v="1"/>
    <n v="0"/>
    <n v="0"/>
    <n v="0"/>
    <m/>
  </r>
  <r>
    <x v="1107"/>
    <x v="7"/>
    <x v="1"/>
    <x v="0"/>
    <s v="français"/>
    <x v="0"/>
    <n v="10.5"/>
    <n v="0"/>
    <n v="0"/>
    <n v="0"/>
    <n v="0"/>
    <n v="1"/>
    <n v="0"/>
    <n v="0"/>
    <n v="0"/>
    <n v="0"/>
    <n v="0"/>
    <n v="0"/>
    <m/>
  </r>
  <r>
    <x v="1108"/>
    <x v="3"/>
    <x v="1"/>
    <x v="0"/>
    <s v="français"/>
    <x v="2"/>
    <n v="3"/>
    <n v="0"/>
    <n v="0"/>
    <n v="0"/>
    <n v="0"/>
    <n v="0"/>
    <n v="0"/>
    <n v="0"/>
    <n v="0"/>
    <n v="1"/>
    <n v="0"/>
    <n v="0"/>
    <m/>
  </r>
  <r>
    <x v="1109"/>
    <x v="3"/>
    <x v="1"/>
    <x v="0"/>
    <s v="français"/>
    <x v="2"/>
    <n v="3"/>
    <n v="0"/>
    <n v="0"/>
    <n v="0"/>
    <n v="0"/>
    <n v="0"/>
    <n v="0"/>
    <n v="0"/>
    <n v="0"/>
    <n v="1"/>
    <n v="0"/>
    <n v="0"/>
    <m/>
  </r>
  <r>
    <x v="1110"/>
    <x v="3"/>
    <x v="1"/>
    <x v="0"/>
    <s v="français"/>
    <x v="2"/>
    <n v="3"/>
    <n v="0"/>
    <n v="0"/>
    <n v="0"/>
    <n v="0"/>
    <n v="0"/>
    <n v="0"/>
    <n v="0"/>
    <n v="0"/>
    <n v="1"/>
    <n v="0"/>
    <n v="0"/>
    <m/>
  </r>
  <r>
    <x v="1111"/>
    <x v="1"/>
    <x v="1"/>
    <x v="0"/>
    <s v="français"/>
    <x v="3"/>
    <n v="20"/>
    <n v="0"/>
    <n v="0"/>
    <n v="0"/>
    <n v="0"/>
    <n v="1"/>
    <n v="0"/>
    <n v="0"/>
    <n v="0"/>
    <n v="0"/>
    <n v="0"/>
    <n v="0"/>
    <s v="Réinscription d'un lecteur qui avait un compte &quot;usager92&quot; et qui souhaitait ajouter un mail pour passer à un compte normal"/>
  </r>
  <r>
    <x v="1112"/>
    <x v="8"/>
    <x v="1"/>
    <x v="0"/>
    <s v="français"/>
    <x v="2"/>
    <n v="3"/>
    <n v="0"/>
    <n v="0"/>
    <n v="0"/>
    <n v="0"/>
    <n v="1"/>
    <n v="0"/>
    <n v="0"/>
    <n v="0"/>
    <n v="0"/>
    <n v="0"/>
    <n v="0"/>
    <m/>
  </r>
  <r>
    <x v="1113"/>
    <x v="8"/>
    <x v="1"/>
    <x v="0"/>
    <s v="français"/>
    <x v="1"/>
    <n v="0.5"/>
    <n v="0"/>
    <n v="0"/>
    <n v="0"/>
    <n v="0"/>
    <n v="0"/>
    <n v="0"/>
    <n v="0"/>
    <n v="0"/>
    <n v="1"/>
    <n v="0"/>
    <n v="0"/>
    <m/>
  </r>
  <r>
    <x v="1114"/>
    <x v="8"/>
    <x v="1"/>
    <x v="0"/>
    <s v="français"/>
    <x v="2"/>
    <n v="3"/>
    <n v="0"/>
    <n v="0"/>
    <n v="0"/>
    <n v="0"/>
    <n v="0"/>
    <n v="0"/>
    <n v="0"/>
    <n v="0"/>
    <n v="1"/>
    <n v="0"/>
    <n v="0"/>
    <m/>
  </r>
  <r>
    <x v="1115"/>
    <x v="8"/>
    <x v="1"/>
    <x v="0"/>
    <s v="français"/>
    <x v="1"/>
    <n v="0.5"/>
    <n v="0"/>
    <n v="0"/>
    <n v="0"/>
    <n v="0"/>
    <n v="0"/>
    <n v="0"/>
    <n v="0"/>
    <n v="0"/>
    <n v="0"/>
    <n v="1"/>
    <n v="0"/>
    <m/>
  </r>
  <r>
    <x v="1116"/>
    <x v="5"/>
    <x v="2"/>
    <x v="1"/>
    <s v="français"/>
    <x v="2"/>
    <n v="3"/>
    <n v="0"/>
    <n v="0"/>
    <n v="0"/>
    <n v="0"/>
    <n v="0"/>
    <n v="0"/>
    <n v="0"/>
    <n v="0"/>
    <n v="1"/>
    <n v="0"/>
    <n v="0"/>
    <m/>
  </r>
  <r>
    <x v="1117"/>
    <x v="0"/>
    <x v="2"/>
    <x v="0"/>
    <s v="français"/>
    <x v="2"/>
    <n v="3"/>
    <n v="0"/>
    <n v="0"/>
    <n v="0"/>
    <n v="0"/>
    <n v="0"/>
    <n v="0"/>
    <n v="0"/>
    <n v="0"/>
    <n v="1"/>
    <n v="0"/>
    <n v="0"/>
    <m/>
  </r>
  <r>
    <x v="1118"/>
    <x v="1"/>
    <x v="2"/>
    <x v="0"/>
    <s v="français"/>
    <x v="1"/>
    <n v="0.5"/>
    <n v="0"/>
    <n v="0"/>
    <n v="0"/>
    <n v="0"/>
    <n v="0"/>
    <n v="0"/>
    <n v="0"/>
    <n v="0"/>
    <n v="0"/>
    <n v="0"/>
    <n v="1"/>
    <s v="écouteurs"/>
  </r>
  <r>
    <x v="1119"/>
    <x v="7"/>
    <x v="3"/>
    <x v="0"/>
    <s v="français"/>
    <x v="1"/>
    <n v="0.5"/>
    <n v="0"/>
    <n v="0"/>
    <n v="0"/>
    <n v="0"/>
    <n v="0"/>
    <n v="0"/>
    <n v="0"/>
    <n v="0"/>
    <n v="1"/>
    <n v="0"/>
    <n v="0"/>
    <m/>
  </r>
  <r>
    <x v="1120"/>
    <x v="7"/>
    <x v="3"/>
    <x v="0"/>
    <s v="français"/>
    <x v="1"/>
    <n v="0.5"/>
    <n v="0"/>
    <n v="0"/>
    <n v="0"/>
    <n v="0"/>
    <n v="0"/>
    <n v="0"/>
    <n v="0"/>
    <n v="0"/>
    <n v="1"/>
    <n v="0"/>
    <n v="0"/>
    <m/>
  </r>
  <r>
    <x v="1121"/>
    <x v="7"/>
    <x v="3"/>
    <x v="0"/>
    <s v="français"/>
    <x v="2"/>
    <n v="3"/>
    <n v="0"/>
    <n v="0"/>
    <n v="0"/>
    <n v="0"/>
    <n v="0"/>
    <n v="0"/>
    <n v="1"/>
    <n v="0"/>
    <n v="0"/>
    <n v="0"/>
    <n v="0"/>
    <m/>
  </r>
  <r>
    <x v="1122"/>
    <x v="7"/>
    <x v="3"/>
    <x v="0"/>
    <s v="français"/>
    <x v="1"/>
    <n v="0.5"/>
    <n v="0"/>
    <n v="0"/>
    <n v="0"/>
    <n v="0"/>
    <n v="0"/>
    <n v="0"/>
    <n v="0"/>
    <n v="0"/>
    <n v="1"/>
    <n v="0"/>
    <n v="0"/>
    <m/>
  </r>
  <r>
    <x v="1123"/>
    <x v="3"/>
    <x v="3"/>
    <x v="0"/>
    <s v="français"/>
    <x v="1"/>
    <n v="0.5"/>
    <n v="0"/>
    <n v="0"/>
    <n v="0"/>
    <n v="0"/>
    <n v="0"/>
    <n v="0"/>
    <n v="0"/>
    <n v="0"/>
    <n v="1"/>
    <n v="0"/>
    <n v="0"/>
    <m/>
  </r>
  <r>
    <x v="1124"/>
    <x v="3"/>
    <x v="3"/>
    <x v="0"/>
    <s v="français"/>
    <x v="1"/>
    <n v="0.5"/>
    <n v="0"/>
    <n v="0"/>
    <n v="0"/>
    <n v="0"/>
    <n v="0"/>
    <n v="0"/>
    <n v="0"/>
    <n v="0"/>
    <n v="0"/>
    <n v="0"/>
    <n v="1"/>
    <s v="Panettone coincé dans le distributeur de l'espace café."/>
  </r>
  <r>
    <x v="1125"/>
    <x v="3"/>
    <x v="3"/>
    <x v="0"/>
    <s v="français"/>
    <x v="1"/>
    <n v="0.5"/>
    <n v="0"/>
    <n v="0"/>
    <n v="0"/>
    <n v="0"/>
    <n v="0"/>
    <n v="0"/>
    <n v="0"/>
    <n v="0"/>
    <n v="1"/>
    <n v="0"/>
    <n v="0"/>
    <m/>
  </r>
  <r>
    <x v="1126"/>
    <x v="4"/>
    <x v="3"/>
    <x v="0"/>
    <s v="français"/>
    <x v="1"/>
    <n v="0.5"/>
    <n v="0"/>
    <n v="0"/>
    <n v="0"/>
    <n v="0"/>
    <n v="0"/>
    <n v="0"/>
    <n v="0"/>
    <n v="0"/>
    <n v="0"/>
    <n v="1"/>
    <n v="0"/>
    <m/>
  </r>
  <r>
    <x v="1127"/>
    <x v="2"/>
    <x v="3"/>
    <x v="0"/>
    <s v="français"/>
    <x v="2"/>
    <n v="3"/>
    <n v="0"/>
    <n v="0"/>
    <n v="0"/>
    <n v="0"/>
    <n v="0"/>
    <n v="0"/>
    <n v="1"/>
    <n v="0"/>
    <n v="0"/>
    <n v="0"/>
    <n v="0"/>
    <m/>
  </r>
  <r>
    <x v="1128"/>
    <x v="2"/>
    <x v="3"/>
    <x v="0"/>
    <s v="français"/>
    <x v="2"/>
    <n v="3"/>
    <n v="0"/>
    <n v="0"/>
    <n v="0"/>
    <n v="0"/>
    <n v="0"/>
    <n v="0"/>
    <n v="0"/>
    <n v="0"/>
    <n v="0"/>
    <n v="0"/>
    <n v="1"/>
    <s v="Accompagner dame ascenceur"/>
  </r>
  <r>
    <x v="1129"/>
    <x v="2"/>
    <x v="3"/>
    <x v="0"/>
    <s v="français"/>
    <x v="1"/>
    <n v="0.5"/>
    <n v="0"/>
    <n v="0"/>
    <n v="0"/>
    <n v="0"/>
    <n v="0"/>
    <n v="0"/>
    <n v="0"/>
    <n v="0"/>
    <n v="0"/>
    <n v="0"/>
    <n v="0"/>
    <s v="écouteurs"/>
  </r>
  <r>
    <x v="1130"/>
    <x v="7"/>
    <x v="4"/>
    <x v="0"/>
    <s v="français"/>
    <x v="3"/>
    <n v="20"/>
    <n v="0"/>
    <n v="0"/>
    <n v="0"/>
    <n v="0"/>
    <n v="0"/>
    <n v="0"/>
    <n v="0"/>
    <n v="1"/>
    <n v="0"/>
    <n v="0"/>
    <n v="0"/>
    <s v="Aide ponctuelle sur l'imprimante pour un monsieur sur la matinée"/>
  </r>
  <r>
    <x v="1131"/>
    <x v="7"/>
    <x v="4"/>
    <x v="0"/>
    <s v="français"/>
    <x v="2"/>
    <n v="3"/>
    <n v="0"/>
    <n v="0"/>
    <n v="0"/>
    <n v="0"/>
    <n v="0"/>
    <n v="0"/>
    <n v="1"/>
    <n v="0"/>
    <n v="0"/>
    <n v="0"/>
    <n v="0"/>
    <m/>
  </r>
  <r>
    <x v="1132"/>
    <x v="5"/>
    <x v="5"/>
    <x v="1"/>
    <s v="français"/>
    <x v="2"/>
    <n v="3"/>
    <n v="1"/>
    <n v="0"/>
    <n v="1"/>
    <n v="1"/>
    <n v="0"/>
    <n v="0"/>
    <n v="0"/>
    <n v="0"/>
    <n v="0"/>
    <n v="0"/>
    <n v="0"/>
    <s v="Série &quot;Sur écoute&quot; ; cherché aux BM et à la bibliothèque de Meyrin"/>
  </r>
  <r>
    <x v="1133"/>
    <x v="5"/>
    <x v="5"/>
    <x v="1"/>
    <s v="français"/>
    <x v="2"/>
    <n v="3"/>
    <n v="0"/>
    <n v="0"/>
    <n v="0"/>
    <n v="0"/>
    <n v="0"/>
    <n v="0"/>
    <n v="0"/>
    <n v="0"/>
    <n v="0"/>
    <n v="0"/>
    <n v="1"/>
    <s v="Visite de l'exposition"/>
  </r>
  <r>
    <x v="1134"/>
    <x v="0"/>
    <x v="5"/>
    <x v="1"/>
    <s v="français"/>
    <x v="2"/>
    <n v="3"/>
    <n v="0"/>
    <n v="0"/>
    <n v="0"/>
    <n v="0"/>
    <n v="0"/>
    <n v="0"/>
    <n v="0"/>
    <n v="0"/>
    <n v="0"/>
    <n v="1"/>
    <n v="0"/>
    <m/>
  </r>
  <r>
    <x v="1135"/>
    <x v="0"/>
    <x v="5"/>
    <x v="1"/>
    <s v="français"/>
    <x v="0"/>
    <n v="10.5"/>
    <n v="0"/>
    <n v="0"/>
    <n v="0"/>
    <n v="0"/>
    <n v="0"/>
    <n v="0"/>
    <n v="0"/>
    <n v="0"/>
    <n v="0"/>
    <n v="0"/>
    <n v="1"/>
    <m/>
  </r>
  <r>
    <x v="1136"/>
    <x v="7"/>
    <x v="5"/>
    <x v="0"/>
    <s v="français"/>
    <x v="2"/>
    <n v="3"/>
    <n v="0"/>
    <n v="0"/>
    <n v="0"/>
    <n v="0"/>
    <n v="0"/>
    <n v="0"/>
    <n v="1"/>
    <n v="0"/>
    <n v="0"/>
    <n v="0"/>
    <n v="0"/>
    <m/>
  </r>
  <r>
    <x v="1137"/>
    <x v="7"/>
    <x v="5"/>
    <x v="0"/>
    <s v="français"/>
    <x v="2"/>
    <n v="3"/>
    <n v="0"/>
    <n v="0"/>
    <n v="0"/>
    <n v="0"/>
    <n v="0"/>
    <n v="0"/>
    <n v="0"/>
    <n v="1"/>
    <n v="0"/>
    <n v="0"/>
    <n v="0"/>
    <m/>
  </r>
  <r>
    <x v="1138"/>
    <x v="7"/>
    <x v="5"/>
    <x v="0"/>
    <s v="français"/>
    <x v="1"/>
    <n v="0.5"/>
    <n v="0"/>
    <n v="0"/>
    <n v="0"/>
    <n v="0"/>
    <n v="0"/>
    <n v="0"/>
    <n v="0"/>
    <n v="0"/>
    <n v="0"/>
    <n v="1"/>
    <n v="0"/>
    <m/>
  </r>
  <r>
    <x v="1139"/>
    <x v="7"/>
    <x v="5"/>
    <x v="0"/>
    <s v="français"/>
    <x v="2"/>
    <n v="3"/>
    <n v="0"/>
    <n v="0"/>
    <n v="0"/>
    <n v="0"/>
    <n v="0"/>
    <n v="0"/>
    <n v="0"/>
    <n v="1"/>
    <n v="1"/>
    <n v="0"/>
    <n v="0"/>
    <m/>
  </r>
  <r>
    <x v="1140"/>
    <x v="7"/>
    <x v="5"/>
    <x v="0"/>
    <s v="français"/>
    <x v="2"/>
    <n v="3"/>
    <n v="0"/>
    <n v="0"/>
    <n v="0"/>
    <n v="0"/>
    <n v="0"/>
    <n v="0"/>
    <n v="0"/>
    <n v="1"/>
    <n v="0"/>
    <n v="0"/>
    <n v="0"/>
    <m/>
  </r>
  <r>
    <x v="1141"/>
    <x v="3"/>
    <x v="5"/>
    <x v="0"/>
    <s v="français"/>
    <x v="0"/>
    <n v="10.5"/>
    <n v="0"/>
    <n v="0"/>
    <n v="0"/>
    <n v="0"/>
    <n v="0"/>
    <n v="0"/>
    <n v="1"/>
    <n v="0"/>
    <n v="0"/>
    <n v="0"/>
    <n v="0"/>
    <m/>
  </r>
  <r>
    <x v="1142"/>
    <x v="3"/>
    <x v="5"/>
    <x v="0"/>
    <s v="français"/>
    <x v="2"/>
    <n v="3"/>
    <n v="0"/>
    <n v="0"/>
    <n v="0"/>
    <n v="0"/>
    <n v="0"/>
    <n v="0"/>
    <n v="0"/>
    <n v="0"/>
    <n v="0"/>
    <n v="1"/>
    <n v="0"/>
    <m/>
  </r>
  <r>
    <x v="1143"/>
    <x v="4"/>
    <x v="5"/>
    <x v="0"/>
    <s v="français"/>
    <x v="1"/>
    <n v="0.5"/>
    <n v="0"/>
    <n v="0"/>
    <n v="0"/>
    <n v="0"/>
    <n v="0"/>
    <n v="0"/>
    <n v="0"/>
    <n v="0"/>
    <n v="0"/>
    <n v="0"/>
    <n v="1"/>
    <s v="Prêt d'un casque"/>
  </r>
  <r>
    <x v="1144"/>
    <x v="4"/>
    <x v="5"/>
    <x v="0"/>
    <s v="français"/>
    <x v="2"/>
    <n v="3"/>
    <n v="0"/>
    <n v="0"/>
    <n v="0"/>
    <n v="0"/>
    <n v="0"/>
    <n v="0"/>
    <n v="0"/>
    <n v="0"/>
    <n v="0"/>
    <n v="0"/>
    <n v="1"/>
    <s v="Problème avec MondoPC (connexion impossible pour les nouveaux usagers souhaitant se connecter)"/>
  </r>
  <r>
    <x v="1145"/>
    <x v="1"/>
    <x v="5"/>
    <x v="0"/>
    <s v="français"/>
    <x v="1"/>
    <n v="0.5"/>
    <n v="0"/>
    <n v="0"/>
    <n v="0"/>
    <n v="0"/>
    <n v="0"/>
    <n v="0"/>
    <n v="0"/>
    <n v="0"/>
    <n v="0"/>
    <n v="0"/>
    <n v="1"/>
    <s v="Réservation Salle de Réunion"/>
  </r>
  <r>
    <x v="1146"/>
    <x v="2"/>
    <x v="5"/>
    <x v="0"/>
    <s v="français"/>
    <x v="2"/>
    <n v="3"/>
    <n v="1"/>
    <n v="0"/>
    <n v="1"/>
    <n v="0"/>
    <n v="0"/>
    <n v="0"/>
    <n v="0"/>
    <n v="0"/>
    <n v="0"/>
    <n v="0"/>
    <n v="0"/>
    <m/>
  </r>
  <r>
    <x v="1147"/>
    <x v="6"/>
    <x v="5"/>
    <x v="0"/>
    <s v="français"/>
    <x v="0"/>
    <n v="10.5"/>
    <n v="1"/>
    <n v="0"/>
    <n v="1"/>
    <n v="0"/>
    <n v="1"/>
    <n v="0"/>
    <n v="0"/>
    <n v="0"/>
    <n v="0"/>
    <n v="0"/>
    <n v="0"/>
    <m/>
  </r>
  <r>
    <x v="1148"/>
    <x v="6"/>
    <x v="5"/>
    <x v="0"/>
    <s v="français"/>
    <x v="2"/>
    <n v="3"/>
    <n v="0"/>
    <n v="0"/>
    <n v="0"/>
    <n v="0"/>
    <n v="0"/>
    <n v="0"/>
    <n v="0"/>
    <n v="0"/>
    <n v="1"/>
    <n v="0"/>
    <n v="0"/>
    <s v="Salle de réunion"/>
  </r>
  <r>
    <x v="1149"/>
    <x v="6"/>
    <x v="5"/>
    <x v="0"/>
    <s v="français"/>
    <x v="2"/>
    <n v="3"/>
    <n v="0"/>
    <n v="0"/>
    <n v="1"/>
    <n v="0"/>
    <n v="0"/>
    <n v="0"/>
    <n v="0"/>
    <n v="0"/>
    <n v="0"/>
    <n v="0"/>
    <n v="0"/>
    <m/>
  </r>
  <r>
    <x v="1150"/>
    <x v="6"/>
    <x v="5"/>
    <x v="0"/>
    <s v="français"/>
    <x v="0"/>
    <n v="10.5"/>
    <n v="0"/>
    <n v="0"/>
    <n v="0"/>
    <n v="1"/>
    <n v="0"/>
    <n v="0"/>
    <n v="0"/>
    <n v="0"/>
    <n v="0"/>
    <n v="0"/>
    <n v="0"/>
    <s v="PEB"/>
  </r>
  <r>
    <x v="1151"/>
    <x v="6"/>
    <x v="5"/>
    <x v="1"/>
    <s v="français"/>
    <x v="2"/>
    <n v="3"/>
    <n v="0"/>
    <n v="0"/>
    <n v="0"/>
    <n v="0"/>
    <n v="0"/>
    <n v="0"/>
    <n v="0"/>
    <n v="0"/>
    <n v="0"/>
    <n v="0"/>
    <n v="1"/>
    <s v="Question sur la gratuité du PEB"/>
  </r>
  <r>
    <x v="1152"/>
    <x v="4"/>
    <x v="0"/>
    <x v="0"/>
    <s v="français"/>
    <x v="1"/>
    <n v="0.5"/>
    <n v="0"/>
    <n v="0"/>
    <n v="0"/>
    <n v="0"/>
    <n v="0"/>
    <n v="0"/>
    <n v="0"/>
    <n v="0"/>
    <n v="0"/>
    <n v="0"/>
    <n v="1"/>
    <s v="Salle de réunion"/>
  </r>
  <r>
    <x v="1153"/>
    <x v="1"/>
    <x v="0"/>
    <x v="0"/>
    <s v="français"/>
    <x v="2"/>
    <n v="3"/>
    <n v="0"/>
    <n v="0"/>
    <n v="0"/>
    <n v="0"/>
    <n v="1"/>
    <n v="0"/>
    <n v="0"/>
    <n v="0"/>
    <n v="0"/>
    <n v="0"/>
    <n v="0"/>
    <m/>
  </r>
  <r>
    <x v="1154"/>
    <x v="1"/>
    <x v="0"/>
    <x v="1"/>
    <s v="français"/>
    <x v="2"/>
    <n v="3"/>
    <n v="0"/>
    <n v="0"/>
    <n v="0"/>
    <n v="0"/>
    <n v="0"/>
    <n v="0"/>
    <n v="0"/>
    <n v="0"/>
    <n v="0"/>
    <n v="0"/>
    <n v="1"/>
    <s v="Renseignements pour un don"/>
  </r>
  <r>
    <x v="1155"/>
    <x v="2"/>
    <x v="0"/>
    <x v="1"/>
    <s v="français"/>
    <x v="0"/>
    <n v="10.5"/>
    <n v="0"/>
    <n v="0"/>
    <n v="0"/>
    <n v="0"/>
    <n v="1"/>
    <n v="0"/>
    <n v="0"/>
    <n v="0"/>
    <n v="0"/>
    <n v="0"/>
    <n v="0"/>
    <m/>
  </r>
  <r>
    <x v="1156"/>
    <x v="8"/>
    <x v="0"/>
    <x v="0"/>
    <s v="français"/>
    <x v="1"/>
    <n v="0.5"/>
    <n v="0"/>
    <n v="0"/>
    <n v="0"/>
    <n v="0"/>
    <n v="0"/>
    <n v="0"/>
    <n v="0"/>
    <n v="0"/>
    <n v="0"/>
    <n v="0"/>
    <n v="1"/>
    <s v="don d'auteur"/>
  </r>
  <r>
    <x v="1157"/>
    <x v="8"/>
    <x v="0"/>
    <x v="0"/>
    <s v="français"/>
    <x v="2"/>
    <n v="3"/>
    <n v="1"/>
    <n v="0"/>
    <n v="1"/>
    <n v="0"/>
    <n v="0"/>
    <n v="0"/>
    <n v="0"/>
    <n v="0"/>
    <n v="0"/>
    <n v="0"/>
    <n v="0"/>
    <m/>
  </r>
  <r>
    <x v="1158"/>
    <x v="8"/>
    <x v="0"/>
    <x v="0"/>
    <s v="anglais"/>
    <x v="2"/>
    <n v="3"/>
    <n v="1"/>
    <n v="0"/>
    <n v="1"/>
    <n v="0"/>
    <n v="0"/>
    <n v="0"/>
    <n v="0"/>
    <n v="0"/>
    <n v="0"/>
    <n v="0"/>
    <n v="0"/>
    <m/>
  </r>
  <r>
    <x v="1159"/>
    <x v="8"/>
    <x v="0"/>
    <x v="0"/>
    <s v="français"/>
    <x v="2"/>
    <n v="3"/>
    <n v="0"/>
    <n v="0"/>
    <n v="0"/>
    <n v="0"/>
    <n v="0"/>
    <n v="0"/>
    <n v="0"/>
    <n v="0"/>
    <n v="1"/>
    <n v="0"/>
    <n v="0"/>
    <m/>
  </r>
  <r>
    <x v="1160"/>
    <x v="8"/>
    <x v="0"/>
    <x v="0"/>
    <s v="anglais"/>
    <x v="2"/>
    <n v="3"/>
    <n v="0"/>
    <n v="0"/>
    <n v="0"/>
    <n v="0"/>
    <n v="0"/>
    <n v="1"/>
    <n v="0"/>
    <n v="0"/>
    <n v="1"/>
    <n v="0"/>
    <n v="0"/>
    <m/>
  </r>
  <r>
    <x v="1161"/>
    <x v="5"/>
    <x v="1"/>
    <x v="1"/>
    <s v="français"/>
    <x v="1"/>
    <n v="0.5"/>
    <n v="0"/>
    <n v="0"/>
    <n v="0"/>
    <n v="0"/>
    <n v="0"/>
    <n v="0"/>
    <n v="0"/>
    <n v="0"/>
    <n v="1"/>
    <n v="0"/>
    <n v="0"/>
    <m/>
  </r>
  <r>
    <x v="1162"/>
    <x v="1"/>
    <x v="1"/>
    <x v="0"/>
    <s v="français"/>
    <x v="0"/>
    <n v="10.5"/>
    <n v="0"/>
    <n v="0"/>
    <n v="0"/>
    <n v="0"/>
    <n v="0"/>
    <n v="0"/>
    <n v="0"/>
    <n v="0"/>
    <n v="1"/>
    <n v="0"/>
    <n v="0"/>
    <m/>
  </r>
  <r>
    <x v="1163"/>
    <x v="1"/>
    <x v="1"/>
    <x v="0"/>
    <s v="français"/>
    <x v="0"/>
    <n v="10.5"/>
    <n v="1"/>
    <n v="0"/>
    <n v="1"/>
    <n v="0"/>
    <n v="0"/>
    <n v="1"/>
    <n v="0"/>
    <n v="0"/>
    <n v="0"/>
    <n v="0"/>
    <n v="0"/>
    <m/>
  </r>
  <r>
    <x v="1164"/>
    <x v="1"/>
    <x v="1"/>
    <x v="0"/>
    <s v="français"/>
    <x v="0"/>
    <n v="10.5"/>
    <n v="0"/>
    <n v="1"/>
    <n v="0"/>
    <n v="0"/>
    <n v="1"/>
    <n v="1"/>
    <n v="0"/>
    <n v="0"/>
    <n v="0"/>
    <n v="0"/>
    <n v="0"/>
    <m/>
  </r>
  <r>
    <x v="1165"/>
    <x v="8"/>
    <x v="1"/>
    <x v="0"/>
    <s v="français"/>
    <x v="3"/>
    <n v="20"/>
    <n v="0"/>
    <n v="0"/>
    <n v="1"/>
    <n v="0"/>
    <n v="1"/>
    <n v="0"/>
    <n v="0"/>
    <n v="0"/>
    <n v="1"/>
    <n v="0"/>
    <n v="0"/>
    <m/>
  </r>
  <r>
    <x v="1166"/>
    <x v="8"/>
    <x v="1"/>
    <x v="0"/>
    <s v="français"/>
    <x v="0"/>
    <n v="10.5"/>
    <n v="0"/>
    <n v="0"/>
    <n v="0"/>
    <n v="0"/>
    <n v="0"/>
    <n v="1"/>
    <n v="0"/>
    <n v="0"/>
    <n v="0"/>
    <n v="0"/>
    <n v="0"/>
    <s v="pb avec carte lecteur"/>
  </r>
  <r>
    <x v="1167"/>
    <x v="8"/>
    <x v="1"/>
    <x v="0"/>
    <s v="français"/>
    <x v="2"/>
    <n v="3"/>
    <n v="0"/>
    <n v="1"/>
    <n v="0"/>
    <n v="1"/>
    <n v="0"/>
    <n v="0"/>
    <n v="0"/>
    <n v="0"/>
    <n v="0"/>
    <n v="0"/>
    <n v="0"/>
    <m/>
  </r>
  <r>
    <x v="1168"/>
    <x v="8"/>
    <x v="1"/>
    <x v="0"/>
    <s v="anglais"/>
    <x v="1"/>
    <n v="0.5"/>
    <n v="0"/>
    <n v="0"/>
    <n v="0"/>
    <n v="0"/>
    <n v="0"/>
    <n v="0"/>
    <n v="0"/>
    <n v="0"/>
    <n v="1"/>
    <n v="0"/>
    <n v="0"/>
    <m/>
  </r>
  <r>
    <x v="1169"/>
    <x v="8"/>
    <x v="1"/>
    <x v="0"/>
    <s v="français"/>
    <x v="1"/>
    <n v="0.5"/>
    <n v="0"/>
    <n v="0"/>
    <n v="0"/>
    <n v="0"/>
    <n v="0"/>
    <n v="0"/>
    <n v="0"/>
    <n v="0"/>
    <n v="0"/>
    <n v="1"/>
    <n v="0"/>
    <m/>
  </r>
  <r>
    <x v="1170"/>
    <x v="0"/>
    <x v="2"/>
    <x v="0"/>
    <s v="français"/>
    <x v="2"/>
    <n v="3"/>
    <n v="1"/>
    <n v="0"/>
    <n v="1"/>
    <n v="0"/>
    <n v="0"/>
    <n v="0"/>
    <n v="0"/>
    <n v="0"/>
    <n v="0"/>
    <n v="0"/>
    <n v="0"/>
    <m/>
  </r>
  <r>
    <x v="1171"/>
    <x v="0"/>
    <x v="2"/>
    <x v="0"/>
    <s v="français"/>
    <x v="1"/>
    <n v="0.5"/>
    <n v="0"/>
    <n v="0"/>
    <n v="0"/>
    <n v="0"/>
    <n v="0"/>
    <n v="0"/>
    <n v="0"/>
    <n v="0"/>
    <n v="1"/>
    <n v="0"/>
    <n v="0"/>
    <m/>
  </r>
  <r>
    <x v="1172"/>
    <x v="3"/>
    <x v="2"/>
    <x v="0"/>
    <s v="français"/>
    <x v="0"/>
    <n v="10.5"/>
    <n v="0"/>
    <n v="1"/>
    <n v="1"/>
    <n v="1"/>
    <n v="0"/>
    <n v="0"/>
    <n v="0"/>
    <n v="0"/>
    <n v="0"/>
    <n v="0"/>
    <n v="0"/>
    <m/>
  </r>
  <r>
    <x v="1173"/>
    <x v="3"/>
    <x v="2"/>
    <x v="0"/>
    <s v="français"/>
    <x v="3"/>
    <n v="20"/>
    <n v="0"/>
    <n v="0"/>
    <n v="0"/>
    <n v="0"/>
    <n v="1"/>
    <n v="0"/>
    <n v="0"/>
    <n v="0"/>
    <n v="1"/>
    <n v="0"/>
    <n v="0"/>
    <s v="Si j'ai bien compris, un monsieur qui prétend être victime d'une usurpation d'identité pour son compte switch-edu ID et qui s'est inscrit chez nous souhaite adresser une réclamation à la Bibliothèque de Genève mais pas via email.    "/>
  </r>
  <r>
    <x v="1174"/>
    <x v="3"/>
    <x v="2"/>
    <x v="0"/>
    <s v="français"/>
    <x v="2"/>
    <n v="3"/>
    <n v="1"/>
    <n v="0"/>
    <n v="1"/>
    <n v="0"/>
    <n v="0"/>
    <n v="0"/>
    <n v="0"/>
    <n v="0"/>
    <n v="0"/>
    <n v="0"/>
    <n v="0"/>
    <m/>
  </r>
  <r>
    <x v="1175"/>
    <x v="4"/>
    <x v="2"/>
    <x v="0"/>
    <s v="français"/>
    <x v="1"/>
    <n v="0.5"/>
    <n v="0"/>
    <n v="0"/>
    <n v="0"/>
    <n v="0"/>
    <n v="0"/>
    <n v="0"/>
    <n v="0"/>
    <n v="1"/>
    <n v="0"/>
    <n v="0"/>
    <n v="0"/>
    <m/>
  </r>
  <r>
    <x v="1176"/>
    <x v="4"/>
    <x v="2"/>
    <x v="0"/>
    <s v="anglais"/>
    <x v="1"/>
    <n v="0.5"/>
    <n v="0"/>
    <n v="0"/>
    <n v="0"/>
    <n v="0"/>
    <n v="0"/>
    <n v="0"/>
    <n v="0"/>
    <n v="1"/>
    <n v="0"/>
    <n v="0"/>
    <n v="0"/>
    <m/>
  </r>
  <r>
    <x v="1177"/>
    <x v="4"/>
    <x v="2"/>
    <x v="0"/>
    <s v="français"/>
    <x v="1"/>
    <n v="0.5"/>
    <n v="0"/>
    <n v="0"/>
    <n v="0"/>
    <n v="0"/>
    <n v="0"/>
    <n v="0"/>
    <n v="0"/>
    <n v="0"/>
    <n v="0"/>
    <n v="1"/>
    <n v="0"/>
    <m/>
  </r>
  <r>
    <x v="1178"/>
    <x v="1"/>
    <x v="2"/>
    <x v="0"/>
    <s v="anglais"/>
    <x v="2"/>
    <n v="3"/>
    <n v="1"/>
    <n v="0"/>
    <n v="1"/>
    <n v="0"/>
    <n v="0"/>
    <n v="0"/>
    <n v="0"/>
    <n v="0"/>
    <n v="0"/>
    <n v="0"/>
    <n v="0"/>
    <m/>
  </r>
  <r>
    <x v="1179"/>
    <x v="2"/>
    <x v="2"/>
    <x v="0"/>
    <s v="français"/>
    <x v="0"/>
    <n v="10.5"/>
    <n v="1"/>
    <n v="0"/>
    <n v="1"/>
    <n v="0"/>
    <n v="0"/>
    <n v="0"/>
    <n v="0"/>
    <n v="0"/>
    <n v="0"/>
    <n v="0"/>
    <n v="0"/>
    <s v="Accès ressources électroniques"/>
  </r>
  <r>
    <x v="1180"/>
    <x v="2"/>
    <x v="2"/>
    <x v="1"/>
    <s v="français"/>
    <x v="2"/>
    <n v="3"/>
    <n v="0"/>
    <n v="0"/>
    <n v="0"/>
    <n v="0"/>
    <n v="1"/>
    <n v="0"/>
    <n v="0"/>
    <n v="0"/>
    <n v="0"/>
    <n v="0"/>
    <n v="0"/>
    <s v="Problème de compte Switch edu-ID"/>
  </r>
  <r>
    <x v="1181"/>
    <x v="2"/>
    <x v="2"/>
    <x v="0"/>
    <s v="français"/>
    <x v="2"/>
    <n v="3"/>
    <n v="0"/>
    <n v="0"/>
    <n v="0"/>
    <n v="0"/>
    <n v="0"/>
    <n v="0"/>
    <n v="0"/>
    <n v="0"/>
    <n v="0"/>
    <n v="0"/>
    <n v="1"/>
    <s v="Réservation salle de réunion"/>
  </r>
  <r>
    <x v="1182"/>
    <x v="2"/>
    <x v="2"/>
    <x v="0"/>
    <s v="français"/>
    <x v="2"/>
    <n v="3"/>
    <n v="0"/>
    <n v="0"/>
    <n v="0"/>
    <n v="0"/>
    <n v="0"/>
    <n v="0"/>
    <n v="0"/>
    <n v="0"/>
    <n v="0"/>
    <n v="0"/>
    <n v="1"/>
    <s v="Expo"/>
  </r>
  <r>
    <x v="1183"/>
    <x v="2"/>
    <x v="2"/>
    <x v="0"/>
    <s v="français"/>
    <x v="2"/>
    <n v="3"/>
    <n v="0"/>
    <n v="0"/>
    <n v="0"/>
    <n v="0"/>
    <n v="1"/>
    <n v="0"/>
    <n v="0"/>
    <n v="0"/>
    <n v="0"/>
    <n v="0"/>
    <n v="0"/>
    <m/>
  </r>
  <r>
    <x v="1184"/>
    <x v="8"/>
    <x v="2"/>
    <x v="0"/>
    <s v="français"/>
    <x v="3"/>
    <n v="20"/>
    <n v="0"/>
    <n v="0"/>
    <n v="0"/>
    <n v="0"/>
    <n v="1"/>
    <n v="0"/>
    <n v="0"/>
    <n v="0"/>
    <n v="0"/>
    <n v="0"/>
    <n v="0"/>
    <m/>
  </r>
  <r>
    <x v="1185"/>
    <x v="8"/>
    <x v="2"/>
    <x v="0"/>
    <s v="français"/>
    <x v="1"/>
    <n v="0.5"/>
    <n v="0"/>
    <n v="0"/>
    <n v="0"/>
    <n v="0"/>
    <n v="0"/>
    <n v="0"/>
    <n v="0"/>
    <n v="0"/>
    <n v="1"/>
    <n v="0"/>
    <n v="0"/>
    <m/>
  </r>
  <r>
    <x v="1186"/>
    <x v="0"/>
    <x v="3"/>
    <x v="0"/>
    <s v="français"/>
    <x v="2"/>
    <n v="3"/>
    <n v="0"/>
    <n v="0"/>
    <n v="0"/>
    <n v="0"/>
    <n v="0"/>
    <n v="0"/>
    <n v="0"/>
    <n v="1"/>
    <n v="0"/>
    <n v="0"/>
    <n v="0"/>
    <m/>
  </r>
  <r>
    <x v="1187"/>
    <x v="0"/>
    <x v="3"/>
    <x v="0"/>
    <s v="français"/>
    <x v="0"/>
    <n v="10.5"/>
    <n v="0"/>
    <n v="0"/>
    <n v="0"/>
    <n v="0"/>
    <n v="0"/>
    <n v="0"/>
    <n v="1"/>
    <n v="0"/>
    <n v="0"/>
    <n v="0"/>
    <n v="0"/>
    <m/>
  </r>
  <r>
    <x v="1188"/>
    <x v="7"/>
    <x v="3"/>
    <x v="0"/>
    <s v="français"/>
    <x v="2"/>
    <n v="3"/>
    <n v="0"/>
    <n v="0"/>
    <n v="0"/>
    <n v="0"/>
    <n v="0"/>
    <n v="0"/>
    <n v="0"/>
    <n v="1"/>
    <n v="0"/>
    <n v="0"/>
    <n v="0"/>
    <m/>
  </r>
  <r>
    <x v="1189"/>
    <x v="3"/>
    <x v="3"/>
    <x v="0"/>
    <s v="français"/>
    <x v="2"/>
    <n v="3"/>
    <n v="0"/>
    <n v="0"/>
    <n v="0"/>
    <n v="0"/>
    <n v="0"/>
    <n v="0"/>
    <n v="0"/>
    <n v="0"/>
    <n v="0"/>
    <n v="1"/>
    <n v="0"/>
    <s v="DL, publications du SEVE à vérifier si tout ici"/>
  </r>
  <r>
    <x v="1190"/>
    <x v="3"/>
    <x v="3"/>
    <x v="0"/>
    <s v="français"/>
    <x v="2"/>
    <n v="3"/>
    <n v="0"/>
    <n v="0"/>
    <n v="0"/>
    <n v="0"/>
    <n v="0"/>
    <n v="0"/>
    <n v="1"/>
    <n v="0"/>
    <n v="0"/>
    <n v="0"/>
    <n v="0"/>
    <m/>
  </r>
  <r>
    <x v="1191"/>
    <x v="4"/>
    <x v="3"/>
    <x v="0"/>
    <s v="français"/>
    <x v="2"/>
    <n v="3"/>
    <n v="0"/>
    <n v="0"/>
    <n v="0"/>
    <n v="0"/>
    <n v="0"/>
    <n v="0"/>
    <n v="0"/>
    <n v="1"/>
    <n v="0"/>
    <n v="0"/>
    <n v="0"/>
    <s v="Comment sauvegarder au format docx (Word) et pdf"/>
  </r>
  <r>
    <x v="1192"/>
    <x v="4"/>
    <x v="3"/>
    <x v="0"/>
    <s v="français"/>
    <x v="2"/>
    <n v="3"/>
    <n v="0"/>
    <n v="0"/>
    <n v="0"/>
    <n v="0"/>
    <n v="0"/>
    <n v="0"/>
    <n v="0"/>
    <n v="0"/>
    <n v="1"/>
    <n v="0"/>
    <n v="0"/>
    <s v="Information sur l'inscription"/>
  </r>
  <r>
    <x v="1193"/>
    <x v="1"/>
    <x v="3"/>
    <x v="0"/>
    <s v="français"/>
    <x v="3"/>
    <n v="20"/>
    <n v="0"/>
    <n v="0"/>
    <n v="1"/>
    <n v="0"/>
    <n v="1"/>
    <n v="0"/>
    <n v="0"/>
    <n v="0"/>
    <n v="1"/>
    <n v="0"/>
    <n v="0"/>
    <m/>
  </r>
  <r>
    <x v="1194"/>
    <x v="6"/>
    <x v="3"/>
    <x v="0"/>
    <s v="français"/>
    <x v="3"/>
    <n v="20"/>
    <n v="0"/>
    <n v="0"/>
    <n v="1"/>
    <n v="0"/>
    <n v="1"/>
    <n v="1"/>
    <n v="0"/>
    <n v="0"/>
    <n v="1"/>
    <n v="0"/>
    <n v="0"/>
    <m/>
  </r>
  <r>
    <x v="1195"/>
    <x v="6"/>
    <x v="3"/>
    <x v="0"/>
    <s v="français"/>
    <x v="2"/>
    <n v="3"/>
    <n v="0"/>
    <n v="0"/>
    <n v="0"/>
    <n v="0"/>
    <n v="0"/>
    <n v="0"/>
    <n v="0"/>
    <n v="0"/>
    <n v="0"/>
    <n v="0"/>
    <n v="1"/>
    <m/>
  </r>
  <r>
    <x v="1196"/>
    <x v="6"/>
    <x v="3"/>
    <x v="0"/>
    <s v="français"/>
    <x v="3"/>
    <n v="20"/>
    <n v="1"/>
    <n v="0"/>
    <n v="1"/>
    <n v="0"/>
    <n v="1"/>
    <n v="0"/>
    <n v="0"/>
    <n v="0"/>
    <n v="1"/>
    <n v="0"/>
    <n v="0"/>
    <m/>
  </r>
  <r>
    <x v="1197"/>
    <x v="6"/>
    <x v="3"/>
    <x v="0"/>
    <s v="anglais"/>
    <x v="2"/>
    <n v="3"/>
    <n v="0"/>
    <n v="0"/>
    <n v="0"/>
    <n v="0"/>
    <n v="0"/>
    <n v="0"/>
    <n v="0"/>
    <n v="0"/>
    <n v="0"/>
    <n v="0"/>
    <n v="1"/>
    <m/>
  </r>
  <r>
    <x v="1198"/>
    <x v="8"/>
    <x v="3"/>
    <x v="0"/>
    <s v="français"/>
    <x v="0"/>
    <n v="10.5"/>
    <n v="1"/>
    <n v="0"/>
    <n v="1"/>
    <n v="0"/>
    <n v="0"/>
    <n v="0"/>
    <n v="0"/>
    <n v="0"/>
    <n v="0"/>
    <n v="0"/>
    <n v="0"/>
    <m/>
  </r>
  <r>
    <x v="1199"/>
    <x v="8"/>
    <x v="3"/>
    <x v="0"/>
    <s v="français"/>
    <x v="2"/>
    <n v="3"/>
    <n v="0"/>
    <n v="0"/>
    <n v="0"/>
    <n v="0"/>
    <n v="0"/>
    <n v="0"/>
    <n v="0"/>
    <n v="0"/>
    <n v="1"/>
    <n v="0"/>
    <n v="0"/>
    <m/>
  </r>
  <r>
    <x v="1200"/>
    <x v="8"/>
    <x v="3"/>
    <x v="0"/>
    <s v="français"/>
    <x v="1"/>
    <n v="0.5"/>
    <n v="0"/>
    <n v="0"/>
    <n v="0"/>
    <n v="0"/>
    <n v="0"/>
    <n v="0"/>
    <n v="0"/>
    <n v="0"/>
    <n v="0"/>
    <n v="1"/>
    <n v="0"/>
    <m/>
  </r>
  <r>
    <x v="1201"/>
    <x v="5"/>
    <x v="5"/>
    <x v="0"/>
    <s v="français"/>
    <x v="1"/>
    <n v="0.5"/>
    <n v="0"/>
    <n v="0"/>
    <n v="0"/>
    <n v="0"/>
    <n v="0"/>
    <n v="0"/>
    <n v="0"/>
    <n v="1"/>
    <n v="0"/>
    <n v="0"/>
    <n v="0"/>
    <m/>
  </r>
  <r>
    <x v="1202"/>
    <x v="0"/>
    <x v="5"/>
    <x v="1"/>
    <s v="français"/>
    <x v="2"/>
    <n v="3"/>
    <n v="0"/>
    <n v="0"/>
    <n v="0"/>
    <n v="0"/>
    <n v="0"/>
    <n v="0"/>
    <n v="0"/>
    <n v="0"/>
    <n v="1"/>
    <n v="0"/>
    <n v="0"/>
    <s v="chiens admis à la BGE ? non interdit, dans le règlement "/>
  </r>
  <r>
    <x v="1203"/>
    <x v="0"/>
    <x v="5"/>
    <x v="0"/>
    <s v="français"/>
    <x v="0"/>
    <n v="10.5"/>
    <n v="1"/>
    <n v="0"/>
    <n v="1"/>
    <n v="1"/>
    <n v="0"/>
    <n v="0"/>
    <n v="0"/>
    <n v="0"/>
    <n v="0"/>
    <n v="0"/>
    <n v="0"/>
    <s v="+ Biographie genevoise"/>
  </r>
  <r>
    <x v="1204"/>
    <x v="7"/>
    <x v="5"/>
    <x v="0"/>
    <s v="français"/>
    <x v="0"/>
    <n v="10.5"/>
    <n v="1"/>
    <n v="0"/>
    <n v="1"/>
    <n v="0"/>
    <n v="0"/>
    <n v="0"/>
    <n v="0"/>
    <n v="0"/>
    <n v="0"/>
    <n v="0"/>
    <n v="0"/>
    <m/>
  </r>
  <r>
    <x v="1205"/>
    <x v="7"/>
    <x v="5"/>
    <x v="1"/>
    <s v="français"/>
    <x v="2"/>
    <n v="3"/>
    <n v="1"/>
    <n v="0"/>
    <n v="1"/>
    <n v="0"/>
    <n v="0"/>
    <n v="0"/>
    <n v="0"/>
    <n v="0"/>
    <n v="0"/>
    <n v="0"/>
    <n v="0"/>
    <m/>
  </r>
  <r>
    <x v="1206"/>
    <x v="3"/>
    <x v="5"/>
    <x v="0"/>
    <s v="français"/>
    <x v="1"/>
    <n v="0.5"/>
    <n v="0"/>
    <n v="0"/>
    <n v="0"/>
    <n v="0"/>
    <n v="0"/>
    <n v="0"/>
    <n v="0"/>
    <n v="0"/>
    <n v="0"/>
    <n v="1"/>
    <n v="0"/>
    <m/>
  </r>
  <r>
    <x v="1207"/>
    <x v="3"/>
    <x v="5"/>
    <x v="0"/>
    <s v="français"/>
    <x v="1"/>
    <n v="0.5"/>
    <n v="0"/>
    <n v="0"/>
    <n v="0"/>
    <n v="0"/>
    <n v="0"/>
    <n v="0"/>
    <n v="0"/>
    <n v="0"/>
    <n v="0"/>
    <n v="0"/>
    <n v="1"/>
    <m/>
  </r>
  <r>
    <x v="1208"/>
    <x v="3"/>
    <x v="5"/>
    <x v="0"/>
    <s v="français"/>
    <x v="2"/>
    <n v="3"/>
    <n v="0"/>
    <n v="0"/>
    <n v="0"/>
    <n v="0"/>
    <n v="0"/>
    <n v="0"/>
    <n v="0"/>
    <n v="0"/>
    <n v="0"/>
    <n v="0"/>
    <n v="1"/>
    <m/>
  </r>
  <r>
    <x v="1209"/>
    <x v="1"/>
    <x v="5"/>
    <x v="0"/>
    <s v="français"/>
    <x v="1"/>
    <n v="0.5"/>
    <n v="0"/>
    <n v="0"/>
    <n v="0"/>
    <n v="0"/>
    <n v="0"/>
    <n v="0"/>
    <n v="0"/>
    <n v="0"/>
    <n v="0"/>
    <n v="0"/>
    <n v="1"/>
    <s v="Prêt adaptateur"/>
  </r>
  <r>
    <x v="1210"/>
    <x v="1"/>
    <x v="5"/>
    <x v="0"/>
    <s v="français"/>
    <x v="1"/>
    <n v="0.5"/>
    <n v="0"/>
    <n v="0"/>
    <n v="0"/>
    <n v="0"/>
    <n v="0"/>
    <n v="0"/>
    <n v="0"/>
    <n v="0"/>
    <n v="0"/>
    <n v="1"/>
    <n v="0"/>
    <m/>
  </r>
  <r>
    <x v="1211"/>
    <x v="1"/>
    <x v="5"/>
    <x v="0"/>
    <s v="français"/>
    <x v="2"/>
    <n v="3"/>
    <n v="1"/>
    <n v="0"/>
    <n v="1"/>
    <n v="1"/>
    <n v="0"/>
    <n v="0"/>
    <n v="0"/>
    <n v="0"/>
    <n v="0"/>
    <n v="0"/>
    <n v="0"/>
    <s v="Périodiques à l'Université de Genève"/>
  </r>
  <r>
    <x v="1212"/>
    <x v="1"/>
    <x v="5"/>
    <x v="0"/>
    <s v="français"/>
    <x v="1"/>
    <n v="0.5"/>
    <n v="0"/>
    <n v="0"/>
    <n v="0"/>
    <n v="0"/>
    <n v="0"/>
    <n v="0"/>
    <n v="0"/>
    <n v="0"/>
    <n v="0"/>
    <n v="0"/>
    <n v="1"/>
    <s v="Prêt casque "/>
  </r>
  <r>
    <x v="1213"/>
    <x v="1"/>
    <x v="5"/>
    <x v="0"/>
    <s v="français"/>
    <x v="2"/>
    <n v="3"/>
    <n v="0"/>
    <n v="0"/>
    <n v="0"/>
    <n v="0"/>
    <n v="0"/>
    <n v="0"/>
    <n v="0"/>
    <n v="0"/>
    <n v="1"/>
    <n v="0"/>
    <n v="0"/>
    <s v="Aide imprimante"/>
  </r>
  <r>
    <x v="1214"/>
    <x v="2"/>
    <x v="5"/>
    <x v="1"/>
    <s v="français"/>
    <x v="2"/>
    <n v="3"/>
    <n v="0"/>
    <n v="0"/>
    <n v="0"/>
    <n v="0"/>
    <n v="0"/>
    <n v="0"/>
    <n v="0"/>
    <n v="0"/>
    <n v="0"/>
    <n v="0"/>
    <n v="1"/>
    <s v="Redirection vers bibliothèque municipale de la Cité (problème avec compte utilisateur)"/>
  </r>
  <r>
    <x v="1215"/>
    <x v="2"/>
    <x v="5"/>
    <x v="0"/>
    <s v="français"/>
    <x v="2"/>
    <n v="3"/>
    <n v="1"/>
    <n v="0"/>
    <n v="1"/>
    <n v="0"/>
    <n v="0"/>
    <n v="0"/>
    <n v="0"/>
    <n v="0"/>
    <n v="0"/>
    <n v="0"/>
    <n v="0"/>
    <m/>
  </r>
  <r>
    <x v="1216"/>
    <x v="6"/>
    <x v="5"/>
    <x v="0"/>
    <s v="français"/>
    <x v="0"/>
    <n v="10.5"/>
    <n v="1"/>
    <n v="0"/>
    <n v="0"/>
    <n v="0"/>
    <n v="0"/>
    <n v="0"/>
    <n v="0"/>
    <n v="0"/>
    <n v="0"/>
    <n v="0"/>
    <n v="0"/>
    <s v="Annuaire papier des entreprises genevoises 2025"/>
  </r>
  <r>
    <x v="1217"/>
    <x v="6"/>
    <x v="5"/>
    <x v="0"/>
    <s v="anglais"/>
    <x v="2"/>
    <n v="3"/>
    <n v="0"/>
    <n v="0"/>
    <n v="0"/>
    <n v="0"/>
    <n v="0"/>
    <n v="0"/>
    <n v="0"/>
    <n v="0"/>
    <n v="1"/>
    <n v="0"/>
    <n v="0"/>
    <s v="Service du prêt"/>
  </r>
  <r>
    <x v="1218"/>
    <x v="8"/>
    <x v="5"/>
    <x v="0"/>
    <s v="français"/>
    <x v="3"/>
    <n v="20"/>
    <n v="0"/>
    <n v="0"/>
    <n v="0"/>
    <n v="0"/>
    <n v="1"/>
    <n v="0"/>
    <n v="0"/>
    <n v="0"/>
    <n v="0"/>
    <n v="0"/>
    <n v="0"/>
    <m/>
  </r>
  <r>
    <x v="1219"/>
    <x v="8"/>
    <x v="5"/>
    <x v="0"/>
    <s v="français"/>
    <x v="2"/>
    <n v="3"/>
    <n v="0"/>
    <n v="0"/>
    <n v="0"/>
    <n v="0"/>
    <n v="0"/>
    <n v="0"/>
    <n v="0"/>
    <n v="0"/>
    <n v="0"/>
    <n v="0"/>
    <n v="1"/>
    <s v="Aide informatique très ponctuelle (sauvegarde de documents sur clé usb)"/>
  </r>
  <r>
    <x v="1220"/>
    <x v="3"/>
    <x v="0"/>
    <x v="0"/>
    <s v="français"/>
    <x v="0"/>
    <n v="10.5"/>
    <n v="0"/>
    <n v="0"/>
    <n v="0"/>
    <n v="0"/>
    <n v="1"/>
    <n v="0"/>
    <n v="0"/>
    <n v="0"/>
    <n v="0"/>
    <n v="0"/>
    <n v="0"/>
    <m/>
  </r>
  <r>
    <x v="1221"/>
    <x v="3"/>
    <x v="0"/>
    <x v="0"/>
    <s v="français"/>
    <x v="2"/>
    <n v="3"/>
    <n v="0"/>
    <n v="0"/>
    <n v="0"/>
    <n v="0"/>
    <n v="0"/>
    <n v="0"/>
    <n v="0"/>
    <n v="0"/>
    <n v="1"/>
    <n v="0"/>
    <n v="0"/>
    <s v="Qu'appelle-t-on catalogue et qu'est-ce ?"/>
  </r>
  <r>
    <x v="1222"/>
    <x v="3"/>
    <x v="0"/>
    <x v="0"/>
    <s v="français"/>
    <x v="0"/>
    <n v="10.5"/>
    <n v="0"/>
    <n v="0"/>
    <n v="0"/>
    <n v="0"/>
    <n v="1"/>
    <n v="0"/>
    <n v="0"/>
    <n v="0"/>
    <n v="0"/>
    <n v="0"/>
    <n v="0"/>
    <m/>
  </r>
  <r>
    <x v="1223"/>
    <x v="8"/>
    <x v="0"/>
    <x v="0"/>
    <s v="français"/>
    <x v="1"/>
    <n v="0.5"/>
    <n v="1"/>
    <n v="0"/>
    <n v="1"/>
    <n v="0"/>
    <n v="0"/>
    <n v="0"/>
    <n v="0"/>
    <n v="0"/>
    <n v="0"/>
    <n v="0"/>
    <n v="0"/>
    <m/>
  </r>
  <r>
    <x v="1224"/>
    <x v="8"/>
    <x v="0"/>
    <x v="0"/>
    <s v="français"/>
    <x v="1"/>
    <n v="0.5"/>
    <n v="0"/>
    <n v="0"/>
    <n v="0"/>
    <n v="0"/>
    <n v="0"/>
    <n v="0"/>
    <n v="0"/>
    <n v="0"/>
    <n v="1"/>
    <n v="0"/>
    <n v="0"/>
    <m/>
  </r>
  <r>
    <x v="1225"/>
    <x v="8"/>
    <x v="0"/>
    <x v="0"/>
    <s v="français"/>
    <x v="1"/>
    <n v="0.5"/>
    <n v="0"/>
    <n v="0"/>
    <n v="0"/>
    <n v="0"/>
    <n v="0"/>
    <n v="0"/>
    <n v="0"/>
    <n v="0"/>
    <n v="0"/>
    <n v="1"/>
    <n v="0"/>
    <m/>
  </r>
  <r>
    <x v="1226"/>
    <x v="7"/>
    <x v="1"/>
    <x v="0"/>
    <s v="français"/>
    <x v="0"/>
    <n v="10.5"/>
    <n v="0"/>
    <n v="0"/>
    <n v="1"/>
    <n v="0"/>
    <n v="0"/>
    <n v="1"/>
    <n v="0"/>
    <n v="0"/>
    <n v="0"/>
    <n v="0"/>
    <n v="0"/>
    <m/>
  </r>
  <r>
    <x v="1227"/>
    <x v="7"/>
    <x v="1"/>
    <x v="0"/>
    <s v="français"/>
    <x v="0"/>
    <n v="10.5"/>
    <n v="0"/>
    <n v="0"/>
    <n v="1"/>
    <n v="0"/>
    <n v="1"/>
    <n v="0"/>
    <n v="0"/>
    <n v="0"/>
    <n v="1"/>
    <n v="0"/>
    <n v="0"/>
    <m/>
  </r>
  <r>
    <x v="1228"/>
    <x v="3"/>
    <x v="1"/>
    <x v="0"/>
    <s v="anglais"/>
    <x v="0"/>
    <n v="10.5"/>
    <n v="0"/>
    <n v="0"/>
    <n v="1"/>
    <n v="0"/>
    <n v="1"/>
    <n v="0"/>
    <n v="0"/>
    <n v="0"/>
    <n v="0"/>
    <n v="0"/>
    <n v="0"/>
    <m/>
  </r>
  <r>
    <x v="1229"/>
    <x v="3"/>
    <x v="1"/>
    <x v="1"/>
    <s v="français"/>
    <x v="1"/>
    <n v="0.5"/>
    <n v="0"/>
    <n v="0"/>
    <n v="0"/>
    <n v="0"/>
    <n v="0"/>
    <n v="0"/>
    <n v="0"/>
    <n v="0"/>
    <n v="0"/>
    <n v="0"/>
    <n v="1"/>
    <s v="Salle de réunion"/>
  </r>
  <r>
    <x v="1230"/>
    <x v="1"/>
    <x v="1"/>
    <x v="0"/>
    <s v="français"/>
    <x v="3"/>
    <n v="20"/>
    <n v="0"/>
    <n v="1"/>
    <n v="1"/>
    <n v="0"/>
    <n v="1"/>
    <n v="1"/>
    <n v="0"/>
    <n v="0"/>
    <n v="1"/>
    <n v="0"/>
    <n v="0"/>
    <m/>
  </r>
  <r>
    <x v="1231"/>
    <x v="1"/>
    <x v="1"/>
    <x v="0"/>
    <s v="français"/>
    <x v="1"/>
    <n v="0.5"/>
    <n v="0"/>
    <n v="0"/>
    <n v="0"/>
    <n v="0"/>
    <n v="0"/>
    <n v="0"/>
    <n v="0"/>
    <n v="0"/>
    <n v="0"/>
    <n v="1"/>
    <n v="0"/>
    <m/>
  </r>
  <r>
    <x v="1232"/>
    <x v="1"/>
    <x v="1"/>
    <x v="0"/>
    <s v="français"/>
    <x v="1"/>
    <n v="0.5"/>
    <n v="0"/>
    <n v="0"/>
    <n v="0"/>
    <n v="0"/>
    <n v="0"/>
    <n v="0"/>
    <n v="0"/>
    <n v="0"/>
    <n v="1"/>
    <n v="0"/>
    <n v="0"/>
    <m/>
  </r>
  <r>
    <x v="1233"/>
    <x v="8"/>
    <x v="1"/>
    <x v="0"/>
    <s v="français"/>
    <x v="2"/>
    <n v="3"/>
    <n v="1"/>
    <n v="0"/>
    <n v="0"/>
    <n v="0"/>
    <n v="0"/>
    <n v="0"/>
    <n v="0"/>
    <n v="0"/>
    <n v="0"/>
    <n v="0"/>
    <n v="0"/>
    <m/>
  </r>
  <r>
    <x v="1234"/>
    <x v="8"/>
    <x v="1"/>
    <x v="0"/>
    <s v="anglais"/>
    <x v="2"/>
    <n v="3"/>
    <n v="0"/>
    <n v="0"/>
    <n v="0"/>
    <n v="0"/>
    <n v="0"/>
    <n v="0"/>
    <n v="0"/>
    <n v="1"/>
    <n v="0"/>
    <n v="0"/>
    <n v="0"/>
    <m/>
  </r>
  <r>
    <x v="1235"/>
    <x v="8"/>
    <x v="1"/>
    <x v="0"/>
    <s v="français"/>
    <x v="2"/>
    <n v="3"/>
    <n v="0"/>
    <n v="0"/>
    <n v="0"/>
    <n v="0"/>
    <n v="0"/>
    <n v="0"/>
    <n v="0"/>
    <n v="1"/>
    <n v="0"/>
    <n v="0"/>
    <n v="0"/>
    <m/>
  </r>
  <r>
    <x v="1236"/>
    <x v="8"/>
    <x v="1"/>
    <x v="0"/>
    <s v="français"/>
    <x v="1"/>
    <n v="0.5"/>
    <n v="0"/>
    <n v="0"/>
    <n v="0"/>
    <n v="0"/>
    <n v="0"/>
    <n v="0"/>
    <n v="0"/>
    <n v="1"/>
    <n v="0"/>
    <n v="0"/>
    <n v="0"/>
    <s v="casque"/>
  </r>
  <r>
    <x v="1237"/>
    <x v="0"/>
    <x v="2"/>
    <x v="0"/>
    <s v="français"/>
    <x v="0"/>
    <n v="10.5"/>
    <n v="0"/>
    <n v="0"/>
    <n v="0"/>
    <n v="0"/>
    <n v="1"/>
    <n v="0"/>
    <n v="0"/>
    <n v="0"/>
    <n v="0"/>
    <n v="0"/>
    <n v="0"/>
    <m/>
  </r>
  <r>
    <x v="1238"/>
    <x v="3"/>
    <x v="2"/>
    <x v="0"/>
    <s v="français"/>
    <x v="3"/>
    <n v="20"/>
    <n v="1"/>
    <n v="0"/>
    <n v="0"/>
    <n v="1"/>
    <n v="0"/>
    <n v="0"/>
    <n v="0"/>
    <n v="0"/>
    <n v="0"/>
    <n v="0"/>
    <n v="0"/>
    <s v="Archives du Temps"/>
  </r>
  <r>
    <x v="1239"/>
    <x v="3"/>
    <x v="2"/>
    <x v="0"/>
    <s v="français"/>
    <x v="0"/>
    <n v="10.5"/>
    <n v="0"/>
    <n v="0"/>
    <n v="0"/>
    <n v="0"/>
    <n v="0"/>
    <n v="0"/>
    <n v="0"/>
    <n v="0"/>
    <n v="1"/>
    <n v="0"/>
    <n v="0"/>
    <m/>
  </r>
  <r>
    <x v="1240"/>
    <x v="3"/>
    <x v="2"/>
    <x v="0"/>
    <s v="français"/>
    <x v="2"/>
    <n v="3"/>
    <n v="0"/>
    <n v="0"/>
    <n v="0"/>
    <n v="0"/>
    <n v="0"/>
    <n v="0"/>
    <n v="0"/>
    <n v="0"/>
    <n v="1"/>
    <n v="0"/>
    <n v="0"/>
    <m/>
  </r>
  <r>
    <x v="1241"/>
    <x v="3"/>
    <x v="2"/>
    <x v="0"/>
    <s v="français"/>
    <x v="2"/>
    <n v="3"/>
    <n v="1"/>
    <n v="0"/>
    <n v="0"/>
    <n v="0"/>
    <n v="0"/>
    <n v="0"/>
    <n v="0"/>
    <n v="0"/>
    <n v="0"/>
    <n v="0"/>
    <n v="0"/>
    <m/>
  </r>
  <r>
    <x v="1242"/>
    <x v="2"/>
    <x v="2"/>
    <x v="0"/>
    <s v="français"/>
    <x v="1"/>
    <n v="0.5"/>
    <n v="0"/>
    <n v="0"/>
    <n v="0"/>
    <n v="0"/>
    <n v="0"/>
    <n v="0"/>
    <n v="0"/>
    <n v="0"/>
    <n v="0"/>
    <n v="1"/>
    <n v="0"/>
    <m/>
  </r>
  <r>
    <x v="1243"/>
    <x v="2"/>
    <x v="2"/>
    <x v="0"/>
    <s v="français"/>
    <x v="1"/>
    <n v="0.5"/>
    <n v="0"/>
    <n v="0"/>
    <n v="0"/>
    <n v="0"/>
    <n v="0"/>
    <n v="0"/>
    <n v="0"/>
    <n v="0"/>
    <n v="0"/>
    <n v="1"/>
    <n v="0"/>
    <m/>
  </r>
  <r>
    <x v="1244"/>
    <x v="2"/>
    <x v="2"/>
    <x v="0"/>
    <s v="français"/>
    <x v="0"/>
    <n v="10.5"/>
    <n v="1"/>
    <n v="0"/>
    <n v="0"/>
    <n v="0"/>
    <n v="0"/>
    <n v="0"/>
    <n v="0"/>
    <n v="0"/>
    <n v="0"/>
    <n v="0"/>
    <n v="0"/>
    <s v="Mémoires pour servir à l'histoire du jacobinisme par M. l'abbé Barruel"/>
  </r>
  <r>
    <x v="1245"/>
    <x v="2"/>
    <x v="2"/>
    <x v="0"/>
    <s v="français"/>
    <x v="0"/>
    <n v="10.5"/>
    <n v="1"/>
    <n v="0"/>
    <n v="1"/>
    <n v="0"/>
    <n v="1"/>
    <n v="0"/>
    <n v="0"/>
    <n v="0"/>
    <n v="0"/>
    <n v="0"/>
    <n v="0"/>
    <m/>
  </r>
  <r>
    <x v="1246"/>
    <x v="2"/>
    <x v="2"/>
    <x v="0"/>
    <s v="français"/>
    <x v="1"/>
    <n v="0.5"/>
    <n v="0"/>
    <n v="0"/>
    <n v="0"/>
    <n v="0"/>
    <n v="0"/>
    <n v="0"/>
    <n v="0"/>
    <n v="0"/>
    <n v="1"/>
    <n v="0"/>
    <n v="0"/>
    <m/>
  </r>
  <r>
    <x v="1247"/>
    <x v="2"/>
    <x v="2"/>
    <x v="0"/>
    <s v="français"/>
    <x v="1"/>
    <n v="0.5"/>
    <n v="0"/>
    <n v="0"/>
    <n v="0"/>
    <n v="0"/>
    <n v="0"/>
    <n v="0"/>
    <n v="0"/>
    <n v="0"/>
    <n v="0"/>
    <n v="1"/>
    <n v="0"/>
    <m/>
  </r>
  <r>
    <x v="1248"/>
    <x v="7"/>
    <x v="3"/>
    <x v="0"/>
    <s v="français"/>
    <x v="2"/>
    <n v="3"/>
    <n v="0"/>
    <n v="0"/>
    <n v="0"/>
    <n v="0"/>
    <n v="0"/>
    <n v="0"/>
    <n v="0"/>
    <n v="0"/>
    <n v="1"/>
    <n v="0"/>
    <n v="0"/>
    <m/>
  </r>
  <r>
    <x v="1249"/>
    <x v="7"/>
    <x v="3"/>
    <x v="0"/>
    <s v="français"/>
    <x v="3"/>
    <n v="20"/>
    <n v="0"/>
    <n v="0"/>
    <n v="0"/>
    <n v="0"/>
    <n v="1"/>
    <n v="0"/>
    <n v="0"/>
    <n v="0"/>
    <n v="0"/>
    <n v="0"/>
    <n v="0"/>
    <m/>
  </r>
  <r>
    <x v="1250"/>
    <x v="3"/>
    <x v="3"/>
    <x v="0"/>
    <s v="français"/>
    <x v="3"/>
    <n v="20"/>
    <n v="0"/>
    <n v="0"/>
    <n v="0"/>
    <n v="0"/>
    <n v="1"/>
    <n v="0"/>
    <n v="0"/>
    <n v="0"/>
    <n v="0"/>
    <n v="0"/>
    <n v="0"/>
    <m/>
  </r>
  <r>
    <x v="1251"/>
    <x v="3"/>
    <x v="3"/>
    <x v="0"/>
    <s v="français"/>
    <x v="3"/>
    <n v="20"/>
    <n v="0"/>
    <n v="0"/>
    <n v="0"/>
    <n v="0"/>
    <n v="1"/>
    <n v="0"/>
    <n v="0"/>
    <n v="0"/>
    <n v="0"/>
    <n v="0"/>
    <n v="0"/>
    <m/>
  </r>
  <r>
    <x v="1252"/>
    <x v="3"/>
    <x v="3"/>
    <x v="0"/>
    <s v="français"/>
    <x v="2"/>
    <n v="3"/>
    <n v="0"/>
    <n v="0"/>
    <n v="0"/>
    <n v="0"/>
    <n v="0"/>
    <n v="0"/>
    <n v="0"/>
    <n v="0"/>
    <n v="0"/>
    <n v="0"/>
    <n v="1"/>
    <s v="Comment éditer un pdf"/>
  </r>
  <r>
    <x v="1253"/>
    <x v="8"/>
    <x v="3"/>
    <x v="0"/>
    <s v="français"/>
    <x v="2"/>
    <n v="3"/>
    <n v="0"/>
    <n v="0"/>
    <n v="0"/>
    <n v="0"/>
    <n v="0"/>
    <n v="0"/>
    <n v="0"/>
    <n v="1"/>
    <n v="0"/>
    <n v="0"/>
    <n v="0"/>
    <m/>
  </r>
  <r>
    <x v="1254"/>
    <x v="8"/>
    <x v="3"/>
    <x v="0"/>
    <s v="français"/>
    <x v="2"/>
    <n v="3"/>
    <n v="1"/>
    <n v="0"/>
    <n v="1"/>
    <n v="0"/>
    <n v="0"/>
    <n v="1"/>
    <n v="0"/>
    <n v="0"/>
    <n v="0"/>
    <n v="0"/>
    <n v="0"/>
    <m/>
  </r>
  <r>
    <x v="1255"/>
    <x v="8"/>
    <x v="3"/>
    <x v="0"/>
    <s v="français"/>
    <x v="2"/>
    <n v="3"/>
    <n v="1"/>
    <n v="0"/>
    <n v="1"/>
    <n v="0"/>
    <n v="0"/>
    <n v="0"/>
    <n v="0"/>
    <n v="0"/>
    <n v="0"/>
    <n v="0"/>
    <n v="0"/>
    <m/>
  </r>
  <r>
    <x v="1256"/>
    <x v="8"/>
    <x v="3"/>
    <x v="0"/>
    <s v="français"/>
    <x v="2"/>
    <n v="3"/>
    <n v="0"/>
    <n v="0"/>
    <n v="0"/>
    <n v="0"/>
    <n v="0"/>
    <n v="0"/>
    <n v="0"/>
    <n v="1"/>
    <n v="0"/>
    <n v="0"/>
    <n v="0"/>
    <m/>
  </r>
  <r>
    <x v="1257"/>
    <x v="8"/>
    <x v="3"/>
    <x v="0"/>
    <s v="français"/>
    <x v="2"/>
    <n v="3"/>
    <n v="0"/>
    <n v="0"/>
    <n v="0"/>
    <n v="0"/>
    <n v="0"/>
    <n v="0"/>
    <n v="0"/>
    <n v="1"/>
    <n v="0"/>
    <n v="0"/>
    <n v="0"/>
    <m/>
  </r>
  <r>
    <x v="1258"/>
    <x v="8"/>
    <x v="3"/>
    <x v="0"/>
    <s v="français"/>
    <x v="2"/>
    <n v="3"/>
    <n v="0"/>
    <n v="0"/>
    <n v="0"/>
    <n v="0"/>
    <n v="0"/>
    <n v="0"/>
    <n v="0"/>
    <n v="0"/>
    <n v="0"/>
    <n v="0"/>
    <n v="1"/>
    <m/>
  </r>
  <r>
    <x v="1259"/>
    <x v="8"/>
    <x v="3"/>
    <x v="0"/>
    <s v="français"/>
    <x v="2"/>
    <n v="3"/>
    <n v="0"/>
    <n v="0"/>
    <n v="0"/>
    <n v="0"/>
    <n v="0"/>
    <n v="0"/>
    <n v="1"/>
    <n v="0"/>
    <n v="0"/>
    <n v="0"/>
    <n v="0"/>
    <m/>
  </r>
  <r>
    <x v="1260"/>
    <x v="5"/>
    <x v="4"/>
    <x v="0"/>
    <s v="français"/>
    <x v="1"/>
    <n v="0.5"/>
    <n v="0"/>
    <n v="0"/>
    <n v="0"/>
    <n v="0"/>
    <n v="0"/>
    <n v="0"/>
    <n v="0"/>
    <n v="0"/>
    <n v="0"/>
    <n v="0"/>
    <n v="1"/>
    <s v="casque audio"/>
  </r>
  <r>
    <x v="1261"/>
    <x v="0"/>
    <x v="4"/>
    <x v="0"/>
    <s v="français"/>
    <x v="0"/>
    <n v="10.5"/>
    <n v="1"/>
    <n v="0"/>
    <n v="1"/>
    <n v="0"/>
    <n v="0"/>
    <n v="1"/>
    <n v="0"/>
    <n v="0"/>
    <n v="0"/>
    <n v="0"/>
    <n v="0"/>
    <m/>
  </r>
  <r>
    <x v="1262"/>
    <x v="0"/>
    <x v="4"/>
    <x v="0"/>
    <s v="français"/>
    <x v="2"/>
    <n v="3"/>
    <n v="0"/>
    <n v="0"/>
    <n v="0"/>
    <n v="0"/>
    <n v="0"/>
    <n v="0"/>
    <n v="0"/>
    <n v="1"/>
    <n v="0"/>
    <n v="0"/>
    <n v="0"/>
    <m/>
  </r>
  <r>
    <x v="1263"/>
    <x v="7"/>
    <x v="4"/>
    <x v="0"/>
    <s v="français"/>
    <x v="1"/>
    <n v="0.5"/>
    <n v="0"/>
    <n v="0"/>
    <n v="0"/>
    <n v="0"/>
    <n v="0"/>
    <n v="1"/>
    <n v="0"/>
    <n v="0"/>
    <n v="0"/>
    <n v="0"/>
    <n v="0"/>
    <s v="J'ai récupéré les livres que le lecteur rapportait car en raison de la visite de l'expo du couloir des coups d'oeil, c'était impossible de d'accéder au bureau de prêt ! :-)"/>
  </r>
  <r>
    <x v="1264"/>
    <x v="7"/>
    <x v="4"/>
    <x v="0"/>
    <s v="français"/>
    <x v="1"/>
    <n v="0.5"/>
    <n v="0"/>
    <n v="0"/>
    <n v="0"/>
    <n v="0"/>
    <n v="0"/>
    <n v="1"/>
    <n v="0"/>
    <n v="0"/>
    <n v="0"/>
    <n v="0"/>
    <n v="0"/>
    <s v="Même remarque à propos de la visite de l'expo du couloir des coups d'oeil"/>
  </r>
  <r>
    <x v="1265"/>
    <x v="4"/>
    <x v="5"/>
    <x v="0"/>
    <s v="français"/>
    <x v="1"/>
    <n v="0.5"/>
    <n v="0"/>
    <n v="0"/>
    <n v="0"/>
    <n v="0"/>
    <n v="0"/>
    <n v="0"/>
    <n v="0"/>
    <n v="0"/>
    <n v="0"/>
    <n v="0"/>
    <n v="1"/>
    <s v="Disponibilité salle de réunion"/>
  </r>
  <r>
    <x v="1266"/>
    <x v="4"/>
    <x v="5"/>
    <x v="0"/>
    <s v="anglais"/>
    <x v="1"/>
    <n v="0.5"/>
    <n v="0"/>
    <n v="0"/>
    <n v="0"/>
    <n v="0"/>
    <n v="0"/>
    <n v="0"/>
    <n v="0"/>
    <n v="0"/>
    <n v="0"/>
    <n v="1"/>
    <n v="0"/>
    <m/>
  </r>
  <r>
    <x v="1267"/>
    <x v="4"/>
    <x v="5"/>
    <x v="0"/>
    <s v="français"/>
    <x v="1"/>
    <n v="0.5"/>
    <n v="0"/>
    <n v="0"/>
    <n v="0"/>
    <n v="0"/>
    <n v="0"/>
    <n v="0"/>
    <n v="0"/>
    <n v="0"/>
    <n v="0"/>
    <n v="1"/>
    <n v="1"/>
    <s v="Où sont les toilettes ?"/>
  </r>
  <r>
    <x v="1268"/>
    <x v="4"/>
    <x v="5"/>
    <x v="0"/>
    <s v="français"/>
    <x v="1"/>
    <n v="0.5"/>
    <n v="0"/>
    <n v="0"/>
    <n v="0"/>
    <n v="0"/>
    <n v="0"/>
    <n v="0"/>
    <n v="0"/>
    <n v="0"/>
    <n v="0"/>
    <n v="1"/>
    <n v="0"/>
    <m/>
  </r>
  <r>
    <x v="1269"/>
    <x v="1"/>
    <x v="5"/>
    <x v="0"/>
    <s v="français"/>
    <x v="2"/>
    <n v="3"/>
    <n v="1"/>
    <n v="0"/>
    <n v="0"/>
    <n v="0"/>
    <n v="0"/>
    <n v="0"/>
    <n v="0"/>
    <n v="0"/>
    <n v="0"/>
    <n v="0"/>
    <n v="0"/>
    <m/>
  </r>
  <r>
    <x v="1270"/>
    <x v="1"/>
    <x v="5"/>
    <x v="0"/>
    <s v="français"/>
    <x v="2"/>
    <n v="3"/>
    <n v="1"/>
    <n v="0"/>
    <n v="1"/>
    <n v="0"/>
    <n v="0"/>
    <n v="0"/>
    <n v="0"/>
    <n v="0"/>
    <n v="0"/>
    <n v="0"/>
    <n v="0"/>
    <m/>
  </r>
  <r>
    <x v="1271"/>
    <x v="1"/>
    <x v="5"/>
    <x v="0"/>
    <s v="français"/>
    <x v="2"/>
    <n v="3"/>
    <n v="0"/>
    <n v="0"/>
    <n v="0"/>
    <n v="0"/>
    <n v="0"/>
    <n v="0"/>
    <n v="0"/>
    <n v="1"/>
    <n v="0"/>
    <n v="0"/>
    <n v="0"/>
    <m/>
  </r>
  <r>
    <x v="1272"/>
    <x v="2"/>
    <x v="5"/>
    <x v="0"/>
    <s v="français"/>
    <x v="0"/>
    <n v="10.5"/>
    <n v="1"/>
    <n v="0"/>
    <n v="1"/>
    <n v="0"/>
    <n v="0"/>
    <n v="0"/>
    <n v="0"/>
    <n v="0"/>
    <n v="0"/>
    <n v="0"/>
    <n v="0"/>
    <m/>
  </r>
  <r>
    <x v="1273"/>
    <x v="2"/>
    <x v="5"/>
    <x v="0"/>
    <s v="français"/>
    <x v="0"/>
    <n v="10.5"/>
    <n v="1"/>
    <n v="0"/>
    <n v="1"/>
    <n v="0"/>
    <n v="1"/>
    <n v="0"/>
    <n v="0"/>
    <n v="0"/>
    <n v="0"/>
    <n v="0"/>
    <n v="0"/>
    <m/>
  </r>
  <r>
    <x v="1274"/>
    <x v="2"/>
    <x v="5"/>
    <x v="0"/>
    <s v="français"/>
    <x v="1"/>
    <n v="0.5"/>
    <n v="0"/>
    <n v="0"/>
    <n v="0"/>
    <n v="0"/>
    <n v="0"/>
    <n v="0"/>
    <n v="0"/>
    <n v="0"/>
    <n v="0"/>
    <n v="1"/>
    <n v="0"/>
    <m/>
  </r>
  <r>
    <x v="1275"/>
    <x v="3"/>
    <x v="0"/>
    <x v="0"/>
    <s v="français"/>
    <x v="2"/>
    <n v="3"/>
    <n v="0"/>
    <n v="0"/>
    <n v="0"/>
    <n v="0"/>
    <n v="0"/>
    <n v="0"/>
    <n v="0"/>
    <n v="0"/>
    <n v="0"/>
    <n v="0"/>
    <n v="0"/>
    <s v="Est-ce que nous prêtons des ordinateurs portables"/>
  </r>
  <r>
    <x v="1276"/>
    <x v="3"/>
    <x v="0"/>
    <x v="0"/>
    <s v="français"/>
    <x v="1"/>
    <n v="0.5"/>
    <n v="0"/>
    <n v="0"/>
    <n v="0"/>
    <n v="0"/>
    <n v="0"/>
    <n v="0"/>
    <n v="0"/>
    <n v="1"/>
    <n v="0"/>
    <n v="0"/>
    <n v="0"/>
    <m/>
  </r>
  <r>
    <x v="1277"/>
    <x v="4"/>
    <x v="0"/>
    <x v="0"/>
    <s v="français"/>
    <x v="1"/>
    <n v="0.5"/>
    <n v="0"/>
    <n v="0"/>
    <n v="0"/>
    <n v="0"/>
    <n v="0"/>
    <n v="0"/>
    <n v="0"/>
    <n v="0"/>
    <n v="0"/>
    <n v="1"/>
    <n v="0"/>
    <m/>
  </r>
  <r>
    <x v="1278"/>
    <x v="4"/>
    <x v="0"/>
    <x v="0"/>
    <s v="français"/>
    <x v="1"/>
    <n v="0.5"/>
    <n v="0"/>
    <n v="0"/>
    <n v="0"/>
    <n v="0"/>
    <n v="0"/>
    <n v="0"/>
    <n v="0"/>
    <n v="0"/>
    <n v="0"/>
    <n v="1"/>
    <n v="0"/>
    <m/>
  </r>
  <r>
    <x v="1279"/>
    <x v="1"/>
    <x v="0"/>
    <x v="0"/>
    <s v="français"/>
    <x v="1"/>
    <n v="0.5"/>
    <n v="0"/>
    <n v="0"/>
    <n v="0"/>
    <n v="0"/>
    <n v="0"/>
    <n v="0"/>
    <n v="0"/>
    <n v="0"/>
    <n v="0"/>
    <n v="1"/>
    <n v="0"/>
    <m/>
  </r>
  <r>
    <x v="1280"/>
    <x v="1"/>
    <x v="0"/>
    <x v="1"/>
    <s v="français"/>
    <x v="0"/>
    <n v="10.5"/>
    <n v="0"/>
    <n v="0"/>
    <n v="0"/>
    <n v="0"/>
    <n v="0"/>
    <n v="0"/>
    <n v="0"/>
    <n v="0"/>
    <n v="1"/>
    <n v="0"/>
    <n v="0"/>
    <s v="Payer amendes en retard"/>
  </r>
  <r>
    <x v="1281"/>
    <x v="0"/>
    <x v="1"/>
    <x v="0"/>
    <s v="français"/>
    <x v="2"/>
    <n v="3"/>
    <n v="1"/>
    <n v="0"/>
    <n v="0"/>
    <n v="0"/>
    <n v="0"/>
    <n v="0"/>
    <n v="0"/>
    <n v="0"/>
    <n v="1"/>
    <n v="0"/>
    <n v="0"/>
    <m/>
  </r>
  <r>
    <x v="1282"/>
    <x v="0"/>
    <x v="1"/>
    <x v="0"/>
    <s v="français"/>
    <x v="0"/>
    <n v="10.5"/>
    <n v="1"/>
    <n v="0"/>
    <n v="1"/>
    <n v="0"/>
    <n v="0"/>
    <n v="1"/>
    <n v="0"/>
    <n v="0"/>
    <n v="0"/>
    <n v="1"/>
    <n v="0"/>
    <m/>
  </r>
  <r>
    <x v="1283"/>
    <x v="0"/>
    <x v="1"/>
    <x v="0"/>
    <s v="français"/>
    <x v="2"/>
    <n v="3"/>
    <n v="0"/>
    <n v="1"/>
    <n v="1"/>
    <n v="0"/>
    <n v="0"/>
    <n v="0"/>
    <n v="0"/>
    <n v="0"/>
    <n v="0"/>
    <n v="0"/>
    <n v="0"/>
    <m/>
  </r>
  <r>
    <x v="1284"/>
    <x v="1"/>
    <x v="1"/>
    <x v="0"/>
    <s v="français"/>
    <x v="0"/>
    <n v="10.5"/>
    <n v="0"/>
    <n v="0"/>
    <n v="0"/>
    <n v="0"/>
    <n v="0"/>
    <n v="0"/>
    <n v="0"/>
    <n v="0"/>
    <n v="1"/>
    <n v="0"/>
    <n v="0"/>
    <m/>
  </r>
  <r>
    <x v="1285"/>
    <x v="5"/>
    <x v="2"/>
    <x v="1"/>
    <s v="français"/>
    <x v="2"/>
    <n v="3"/>
    <n v="0"/>
    <n v="1"/>
    <n v="1"/>
    <n v="0"/>
    <n v="0"/>
    <n v="0"/>
    <n v="0"/>
    <n v="0"/>
    <n v="0"/>
    <n v="0"/>
    <n v="0"/>
    <m/>
  </r>
  <r>
    <x v="1286"/>
    <x v="3"/>
    <x v="2"/>
    <x v="0"/>
    <s v="français"/>
    <x v="2"/>
    <n v="3"/>
    <n v="1"/>
    <n v="0"/>
    <n v="1"/>
    <n v="0"/>
    <n v="0"/>
    <n v="1"/>
    <n v="0"/>
    <n v="0"/>
    <n v="0"/>
    <n v="0"/>
    <n v="0"/>
    <m/>
  </r>
  <r>
    <x v="1287"/>
    <x v="3"/>
    <x v="2"/>
    <x v="0"/>
    <s v="français"/>
    <x v="1"/>
    <n v="0.5"/>
    <n v="0"/>
    <n v="0"/>
    <n v="0"/>
    <n v="0"/>
    <n v="0"/>
    <n v="0"/>
    <n v="0"/>
    <n v="0"/>
    <n v="1"/>
    <n v="0"/>
    <n v="0"/>
    <m/>
  </r>
  <r>
    <x v="1288"/>
    <x v="3"/>
    <x v="2"/>
    <x v="0"/>
    <s v="français"/>
    <x v="1"/>
    <n v="0.5"/>
    <n v="0"/>
    <n v="0"/>
    <n v="0"/>
    <n v="0"/>
    <n v="0"/>
    <n v="0"/>
    <n v="0"/>
    <n v="0"/>
    <n v="0"/>
    <n v="0"/>
    <n v="1"/>
    <s v="expo couloir des coups d'oeil -&gt; guide"/>
  </r>
  <r>
    <x v="1289"/>
    <x v="4"/>
    <x v="2"/>
    <x v="0"/>
    <s v="français"/>
    <x v="0"/>
    <n v="10.5"/>
    <n v="1"/>
    <n v="0"/>
    <n v="1"/>
    <n v="0"/>
    <n v="0"/>
    <n v="0"/>
    <n v="0"/>
    <n v="0"/>
    <n v="1"/>
    <n v="0"/>
    <n v="0"/>
    <m/>
  </r>
  <r>
    <x v="1290"/>
    <x v="2"/>
    <x v="2"/>
    <x v="0"/>
    <s v="français"/>
    <x v="2"/>
    <n v="3"/>
    <n v="0"/>
    <n v="0"/>
    <n v="0"/>
    <n v="0"/>
    <n v="0"/>
    <n v="0"/>
    <n v="1"/>
    <n v="0"/>
    <n v="0"/>
    <n v="0"/>
    <n v="0"/>
    <m/>
  </r>
  <r>
    <x v="1291"/>
    <x v="1"/>
    <x v="3"/>
    <x v="0"/>
    <s v="anglais"/>
    <x v="3"/>
    <n v="20"/>
    <n v="0"/>
    <n v="0"/>
    <n v="0"/>
    <n v="0"/>
    <n v="0"/>
    <n v="1"/>
    <n v="0"/>
    <n v="0"/>
    <n v="0"/>
    <n v="0"/>
    <n v="0"/>
    <s v="PEB et problèmes reliés à des demandes de PEB. J'ai dû appeler Delphine à l'aide. Manque de respect de la part de l'usager"/>
  </r>
  <r>
    <x v="1292"/>
    <x v="1"/>
    <x v="3"/>
    <x v="0"/>
    <s v="français"/>
    <x v="0"/>
    <n v="10.5"/>
    <n v="1"/>
    <n v="0"/>
    <n v="1"/>
    <n v="0"/>
    <n v="0"/>
    <n v="1"/>
    <n v="0"/>
    <n v="0"/>
    <n v="1"/>
    <n v="0"/>
    <n v="0"/>
    <m/>
  </r>
  <r>
    <x v="1293"/>
    <x v="1"/>
    <x v="3"/>
    <x v="0"/>
    <s v="français"/>
    <x v="1"/>
    <n v="0.5"/>
    <n v="1"/>
    <n v="0"/>
    <n v="1"/>
    <n v="0"/>
    <n v="0"/>
    <n v="0"/>
    <n v="0"/>
    <n v="0"/>
    <n v="0"/>
    <n v="0"/>
    <n v="0"/>
    <m/>
  </r>
  <r>
    <x v="1294"/>
    <x v="1"/>
    <x v="3"/>
    <x v="0"/>
    <s v="français"/>
    <x v="2"/>
    <n v="3"/>
    <n v="0"/>
    <n v="0"/>
    <n v="0"/>
    <n v="0"/>
    <n v="0"/>
    <n v="0"/>
    <n v="0"/>
    <n v="0"/>
    <n v="0"/>
    <n v="0"/>
    <n v="1"/>
    <s v="prise électrique et adaptateur"/>
  </r>
  <r>
    <x v="1295"/>
    <x v="1"/>
    <x v="3"/>
    <x v="0"/>
    <s v="français"/>
    <x v="2"/>
    <n v="3"/>
    <n v="0"/>
    <n v="0"/>
    <n v="0"/>
    <n v="0"/>
    <n v="0"/>
    <n v="0"/>
    <n v="0"/>
    <n v="0"/>
    <n v="1"/>
    <n v="0"/>
    <n v="0"/>
    <s v="Expo"/>
  </r>
  <r>
    <x v="1296"/>
    <x v="1"/>
    <x v="3"/>
    <x v="0"/>
    <s v="français"/>
    <x v="2"/>
    <n v="3"/>
    <n v="0"/>
    <n v="0"/>
    <n v="0"/>
    <n v="0"/>
    <n v="0"/>
    <n v="0"/>
    <n v="0"/>
    <n v="0"/>
    <n v="0"/>
    <n v="0"/>
    <n v="1"/>
    <s v="Machine à café"/>
  </r>
  <r>
    <x v="1297"/>
    <x v="2"/>
    <x v="3"/>
    <x v="1"/>
    <s v="français"/>
    <x v="0"/>
    <n v="10.5"/>
    <n v="0"/>
    <n v="1"/>
    <n v="0"/>
    <n v="1"/>
    <n v="0"/>
    <n v="0"/>
    <n v="0"/>
    <n v="0"/>
    <n v="0"/>
    <n v="0"/>
    <n v="0"/>
    <s v="Europresse Accès à Heidi news"/>
  </r>
  <r>
    <x v="1298"/>
    <x v="2"/>
    <x v="3"/>
    <x v="0"/>
    <s v="français"/>
    <x v="0"/>
    <n v="10.5"/>
    <n v="1"/>
    <n v="0"/>
    <n v="1"/>
    <n v="0"/>
    <n v="0"/>
    <n v="0"/>
    <n v="0"/>
    <n v="0"/>
    <n v="0"/>
    <n v="0"/>
    <n v="0"/>
    <m/>
  </r>
  <r>
    <x v="1299"/>
    <x v="2"/>
    <x v="3"/>
    <x v="0"/>
    <s v="français"/>
    <x v="1"/>
    <n v="0.5"/>
    <n v="0"/>
    <n v="0"/>
    <n v="0"/>
    <n v="0"/>
    <n v="0"/>
    <n v="0"/>
    <n v="0"/>
    <n v="0"/>
    <n v="0"/>
    <n v="1"/>
    <n v="0"/>
    <s v="Espace café"/>
  </r>
  <r>
    <x v="1300"/>
    <x v="3"/>
    <x v="5"/>
    <x v="0"/>
    <s v="français"/>
    <x v="2"/>
    <n v="3"/>
    <n v="0"/>
    <n v="0"/>
    <n v="0"/>
    <n v="0"/>
    <n v="0"/>
    <n v="0"/>
    <n v="0"/>
    <n v="0"/>
    <n v="1"/>
    <n v="0"/>
    <n v="0"/>
    <m/>
  </r>
  <r>
    <x v="1301"/>
    <x v="1"/>
    <x v="5"/>
    <x v="0"/>
    <s v="français"/>
    <x v="2"/>
    <n v="3"/>
    <n v="1"/>
    <n v="0"/>
    <n v="1"/>
    <n v="0"/>
    <n v="0"/>
    <n v="0"/>
    <n v="0"/>
    <n v="0"/>
    <n v="0"/>
    <n v="0"/>
    <n v="0"/>
    <m/>
  </r>
  <r>
    <x v="1302"/>
    <x v="2"/>
    <x v="5"/>
    <x v="0"/>
    <s v="français"/>
    <x v="2"/>
    <n v="3"/>
    <n v="0"/>
    <n v="0"/>
    <n v="0"/>
    <n v="0"/>
    <n v="0"/>
    <n v="0"/>
    <n v="0"/>
    <n v="1"/>
    <n v="0"/>
    <n v="0"/>
    <n v="0"/>
    <m/>
  </r>
  <r>
    <x v="1303"/>
    <x v="2"/>
    <x v="5"/>
    <x v="0"/>
    <s v="français"/>
    <x v="2"/>
    <n v="3"/>
    <n v="0"/>
    <n v="0"/>
    <n v="0"/>
    <n v="0"/>
    <n v="0"/>
    <n v="0"/>
    <n v="0"/>
    <n v="0"/>
    <n v="1"/>
    <n v="0"/>
    <n v="1"/>
    <m/>
  </r>
  <r>
    <x v="1304"/>
    <x v="6"/>
    <x v="5"/>
    <x v="0"/>
    <s v="français"/>
    <x v="0"/>
    <n v="10.5"/>
    <n v="0"/>
    <n v="0"/>
    <n v="0"/>
    <n v="0"/>
    <n v="0"/>
    <n v="0"/>
    <n v="0"/>
    <n v="0"/>
    <n v="0"/>
    <n v="0"/>
    <n v="1"/>
    <s v="Question sur les livres genevois - Bibliothèque orange du SAR"/>
  </r>
  <r>
    <x v="1305"/>
    <x v="6"/>
    <x v="5"/>
    <x v="0"/>
    <s v="français"/>
    <x v="2"/>
    <n v="3"/>
    <n v="0"/>
    <n v="0"/>
    <n v="0"/>
    <n v="0"/>
    <n v="0"/>
    <n v="0"/>
    <n v="0"/>
    <n v="0"/>
    <n v="0"/>
    <n v="0"/>
    <n v="1"/>
    <s v="Gratuité de la brochue de l'exposition "/>
  </r>
  <r>
    <x v="1306"/>
    <x v="6"/>
    <x v="5"/>
    <x v="0"/>
    <s v="français"/>
    <x v="3"/>
    <n v="20"/>
    <n v="1"/>
    <n v="0"/>
    <n v="0"/>
    <n v="0"/>
    <n v="0"/>
    <n v="0"/>
    <n v="0"/>
    <n v="0"/>
    <n v="0"/>
    <n v="0"/>
    <n v="0"/>
    <s v="Histoire des femmes et du genre à Genève à la fin du 18e siècle"/>
  </r>
  <r>
    <x v="1307"/>
    <x v="4"/>
    <x v="0"/>
    <x v="0"/>
    <s v="français"/>
    <x v="1"/>
    <n v="0.5"/>
    <n v="0"/>
    <n v="0"/>
    <n v="0"/>
    <n v="0"/>
    <n v="0"/>
    <n v="0"/>
    <n v="0"/>
    <n v="0"/>
    <n v="0"/>
    <n v="1"/>
    <n v="0"/>
    <m/>
  </r>
  <r>
    <x v="1308"/>
    <x v="4"/>
    <x v="0"/>
    <x v="0"/>
    <s v="français"/>
    <x v="2"/>
    <n v="3"/>
    <n v="0"/>
    <n v="0"/>
    <n v="0"/>
    <n v="0"/>
    <n v="0"/>
    <n v="0"/>
    <n v="0"/>
    <n v="1"/>
    <n v="0"/>
    <n v="0"/>
    <n v="0"/>
    <m/>
  </r>
  <r>
    <x v="1309"/>
    <x v="1"/>
    <x v="0"/>
    <x v="0"/>
    <s v="français"/>
    <x v="1"/>
    <n v="0.5"/>
    <n v="0"/>
    <n v="0"/>
    <n v="0"/>
    <n v="0"/>
    <n v="0"/>
    <n v="0"/>
    <n v="0"/>
    <n v="0"/>
    <n v="0"/>
    <n v="1"/>
    <n v="0"/>
    <m/>
  </r>
  <r>
    <x v="1310"/>
    <x v="1"/>
    <x v="0"/>
    <x v="0"/>
    <s v="français"/>
    <x v="1"/>
    <n v="0.5"/>
    <n v="0"/>
    <n v="0"/>
    <n v="0"/>
    <n v="0"/>
    <n v="0"/>
    <n v="0"/>
    <n v="0"/>
    <n v="0"/>
    <n v="0"/>
    <n v="1"/>
    <n v="0"/>
    <m/>
  </r>
  <r>
    <x v="1311"/>
    <x v="5"/>
    <x v="1"/>
    <x v="0"/>
    <s v="français"/>
    <x v="1"/>
    <n v="0.5"/>
    <n v="0"/>
    <n v="0"/>
    <n v="0"/>
    <n v="0"/>
    <n v="0"/>
    <n v="0"/>
    <n v="0"/>
    <n v="0"/>
    <n v="0"/>
    <n v="1"/>
    <n v="0"/>
    <m/>
  </r>
  <r>
    <x v="1312"/>
    <x v="5"/>
    <x v="1"/>
    <x v="0"/>
    <s v="français"/>
    <x v="1"/>
    <n v="0.5"/>
    <n v="0"/>
    <n v="0"/>
    <n v="0"/>
    <n v="0"/>
    <n v="0"/>
    <n v="0"/>
    <n v="0"/>
    <n v="0"/>
    <n v="0"/>
    <n v="1"/>
    <n v="0"/>
    <m/>
  </r>
  <r>
    <x v="1313"/>
    <x v="5"/>
    <x v="1"/>
    <x v="0"/>
    <s v="français"/>
    <x v="2"/>
    <n v="3"/>
    <n v="0"/>
    <n v="0"/>
    <n v="0"/>
    <n v="0"/>
    <n v="0"/>
    <n v="0"/>
    <n v="0"/>
    <n v="0"/>
    <n v="1"/>
    <n v="0"/>
    <n v="0"/>
    <m/>
  </r>
  <r>
    <x v="1314"/>
    <x v="3"/>
    <x v="1"/>
    <x v="0"/>
    <s v="français"/>
    <x v="1"/>
    <n v="0.5"/>
    <n v="0"/>
    <n v="0"/>
    <n v="0"/>
    <n v="0"/>
    <n v="0"/>
    <n v="0"/>
    <n v="0"/>
    <n v="0"/>
    <n v="0"/>
    <n v="1"/>
    <n v="0"/>
    <m/>
  </r>
  <r>
    <x v="1315"/>
    <x v="3"/>
    <x v="1"/>
    <x v="0"/>
    <s v="français"/>
    <x v="1"/>
    <n v="0.5"/>
    <n v="0"/>
    <n v="0"/>
    <n v="0"/>
    <n v="0"/>
    <n v="0"/>
    <n v="0"/>
    <n v="1"/>
    <n v="0"/>
    <n v="0"/>
    <n v="0"/>
    <n v="0"/>
    <m/>
  </r>
  <r>
    <x v="1316"/>
    <x v="1"/>
    <x v="1"/>
    <x v="0"/>
    <s v="français"/>
    <x v="1"/>
    <n v="0.5"/>
    <n v="0"/>
    <n v="0"/>
    <n v="0"/>
    <n v="0"/>
    <n v="0"/>
    <n v="0"/>
    <n v="0"/>
    <n v="0"/>
    <n v="1"/>
    <n v="0"/>
    <n v="0"/>
    <m/>
  </r>
  <r>
    <x v="1317"/>
    <x v="1"/>
    <x v="1"/>
    <x v="1"/>
    <s v="français"/>
    <x v="2"/>
    <n v="3"/>
    <n v="0"/>
    <n v="0"/>
    <n v="0"/>
    <n v="0"/>
    <n v="0"/>
    <n v="0"/>
    <n v="0"/>
    <n v="0"/>
    <n v="0"/>
    <n v="0"/>
    <n v="0"/>
    <s v="Monsieur qui a perdu son chargeur et voulait savoir s'il était toujours dans la salle de réunion"/>
  </r>
  <r>
    <x v="1318"/>
    <x v="1"/>
    <x v="1"/>
    <x v="0"/>
    <s v="français"/>
    <x v="1"/>
    <n v="0.5"/>
    <n v="0"/>
    <n v="0"/>
    <n v="0"/>
    <n v="0"/>
    <n v="0"/>
    <n v="0"/>
    <n v="0"/>
    <n v="0"/>
    <n v="1"/>
    <n v="0"/>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B9A745-DBAE-4780-974B-4C5720A3E832}" name="Tableau croisé dynamique23" cacheId="1" applyNumberFormats="0" applyBorderFormats="0" applyFontFormats="0" applyPatternFormats="0" applyAlignmentFormats="0" applyWidthHeightFormats="1" dataCaption="Valeurs" updatedVersion="8" minRefreshableVersion="3" itemPrintTitles="1" createdVersion="8" indent="0" outline="1" outlineData="1" multipleFieldFilters="0" rowHeaderCaption="Horaires" colHeaderCaption="Canal">
  <location ref="M68:P79" firstHeaderRow="1" firstDataRow="2" firstDataCol="1"/>
  <pivotFields count="22">
    <pivotField dataField="1" numFmtId="164" showAll="0">
      <items count="28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8"/>
        <item m="1" x="1377"/>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2"/>
        <item m="1" x="2453"/>
        <item m="1" x="2451"/>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6"/>
        <item m="1" x="2557"/>
        <item m="1" x="2554"/>
        <item m="1" x="2555"/>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t="default"/>
      </items>
    </pivotField>
    <pivotField axis="axisRow" showAll="0">
      <items count="10">
        <item x="0"/>
        <item x="7"/>
        <item x="3"/>
        <item x="4"/>
        <item x="1"/>
        <item x="2"/>
        <item x="6"/>
        <item x="8"/>
        <item x="5"/>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0"/>
        <item x="1"/>
        <item x="2"/>
        <item t="default"/>
      </items>
    </pivotField>
  </pivotFields>
  <rowFields count="1">
    <field x="1"/>
  </rowFields>
  <rowItems count="10">
    <i>
      <x/>
    </i>
    <i>
      <x v="1"/>
    </i>
    <i>
      <x v="2"/>
    </i>
    <i>
      <x v="3"/>
    </i>
    <i>
      <x v="4"/>
    </i>
    <i>
      <x v="5"/>
    </i>
    <i>
      <x v="6"/>
    </i>
    <i>
      <x v="7"/>
    </i>
    <i>
      <x v="8"/>
    </i>
    <i t="grand">
      <x/>
    </i>
  </rowItems>
  <colFields count="1">
    <field x="3"/>
  </colFields>
  <colItems count="3">
    <i>
      <x/>
    </i>
    <i>
      <x v="1"/>
    </i>
    <i t="grand">
      <x/>
    </i>
  </colItems>
  <dataFields count="1">
    <dataField name=" " fld="0" subtotal="count" baseField="0" baseItem="0"/>
  </dataFields>
  <formats count="1">
    <format dxfId="0">
      <pivotArea type="all" dataOnly="0" outline="0" fieldPosition="0"/>
    </format>
  </formats>
  <conditionalFormats count="2">
    <conditionalFormat priority="19">
      <pivotAreas count="2">
        <pivotArea type="data" collapsedLevelsAreSubtotals="1" fieldPosition="0">
          <references count="3">
            <reference field="4294967294" count="1" selected="0">
              <x v="0"/>
            </reference>
            <reference field="1" count="9">
              <x v="0"/>
              <x v="1"/>
              <x v="2"/>
              <x v="3"/>
              <x v="4"/>
              <x v="5"/>
              <x v="6"/>
              <x v="7"/>
              <x v="8"/>
            </reference>
            <reference field="3" count="1" selected="0">
              <x v="1"/>
            </reference>
          </references>
        </pivotArea>
        <pivotArea type="data" grandCol="1" collapsedLevelsAreSubtotals="1" fieldPosition="0">
          <references count="2">
            <reference field="4294967294" count="1" selected="0">
              <x v="0"/>
            </reference>
            <reference field="1" count="9">
              <x v="0"/>
              <x v="1"/>
              <x v="2"/>
              <x v="3"/>
              <x v="4"/>
              <x v="5"/>
              <x v="6"/>
              <x v="7"/>
              <x v="8"/>
            </reference>
          </references>
        </pivotArea>
      </pivotAreas>
    </conditionalFormat>
    <conditionalFormat priority="20">
      <pivotAreas count="1">
        <pivotArea type="data" collapsedLevelsAreSubtotals="1" fieldPosition="0">
          <references count="3">
            <reference field="4294967294" count="1" selected="0">
              <x v="0"/>
            </reference>
            <reference field="1" count="9">
              <x v="0"/>
              <x v="1"/>
              <x v="2"/>
              <x v="3"/>
              <x v="4"/>
              <x v="5"/>
              <x v="6"/>
              <x v="7"/>
              <x v="8"/>
            </reference>
            <reference field="3"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4AB524-6B1F-4F07-982A-60019360D667}" name="Tableau croisé dynamique8" cacheId="0" applyNumberFormats="0" applyBorderFormats="0" applyFontFormats="0" applyPatternFormats="0" applyAlignmentFormats="0" applyWidthHeightFormats="1" dataCaption="Valeurs" updatedVersion="8" minRefreshableVersion="3" colGrandTotals="0" itemPrintTitles="1" createdVersion="8" indent="0" outline="1" outlineData="1" multipleFieldFilters="0" rowHeaderCaption="Services" colHeaderCaption="Mois">
  <location ref="C15:I26" firstHeaderRow="1" firstDataRow="2" firstDataCol="1"/>
  <pivotFields count="14">
    <pivotField dataField="1"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showAll="0"/>
    <pivotField showAll="0"/>
    <pivotField showAll="0"/>
    <pivotField showAll="0"/>
    <pivotField showAll="0"/>
    <pivotField showAll="0"/>
    <pivotField showAll="0"/>
    <pivotField showAll="0"/>
    <pivotField showAll="0"/>
    <pivotField axis="axisRow" showAll="0">
      <items count="10">
        <item x="1"/>
        <item x="8"/>
        <item x="3"/>
        <item x="7"/>
        <item x="4"/>
        <item x="0"/>
        <item x="5"/>
        <item x="2"/>
        <item x="6"/>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4">
        <item x="0"/>
        <item x="1"/>
        <item x="2"/>
        <item t="default"/>
      </items>
    </pivotField>
  </pivotFields>
  <rowFields count="1">
    <field x="10"/>
  </rowFields>
  <rowItems count="10">
    <i>
      <x/>
    </i>
    <i>
      <x v="1"/>
    </i>
    <i>
      <x v="2"/>
    </i>
    <i>
      <x v="3"/>
    </i>
    <i>
      <x v="4"/>
    </i>
    <i>
      <x v="5"/>
    </i>
    <i>
      <x v="6"/>
    </i>
    <i>
      <x v="7"/>
    </i>
    <i>
      <x v="8"/>
    </i>
    <i t="grand">
      <x/>
    </i>
  </rowItems>
  <colFields count="1">
    <field x="11"/>
  </colFields>
  <colItems count="6">
    <i>
      <x v="7"/>
    </i>
    <i>
      <x v="8"/>
    </i>
    <i>
      <x v="9"/>
    </i>
    <i>
      <x v="10"/>
    </i>
    <i>
      <x v="11"/>
    </i>
    <i>
      <x v="12"/>
    </i>
  </colItems>
  <dataFields count="1">
    <dataField name=" " fld="0" subtotal="count" showDataAs="percentOfRow" baseField="10" baseItem="4" numFmtId="9"/>
  </dataFields>
  <formats count="12">
    <format dxfId="12">
      <pivotArea outline="0" collapsedLevelsAreSubtotals="1" fieldPosition="0"/>
    </format>
    <format dxfId="11">
      <pivotArea type="all" dataOnly="0" outline="0" fieldPosition="0"/>
    </format>
    <format dxfId="10">
      <pivotArea type="topRight" dataOnly="0" labelOnly="1" outline="0" fieldPosition="0"/>
    </format>
    <format dxfId="9">
      <pivotArea type="all" dataOnly="0" outline="0" fieldPosition="0"/>
    </format>
    <format dxfId="8">
      <pivotArea outline="0" collapsedLevelsAreSubtotals="1" fieldPosition="0"/>
    </format>
    <format dxfId="7">
      <pivotArea type="origin" dataOnly="0" labelOnly="1" outline="0" fieldPosition="0"/>
    </format>
    <format dxfId="6">
      <pivotArea field="11" type="button" dataOnly="0" labelOnly="1" outline="0" axis="axisCol" fieldPosition="0"/>
    </format>
    <format dxfId="5">
      <pivotArea type="topRight" dataOnly="0" labelOnly="1" outline="0" fieldPosition="0"/>
    </format>
    <format dxfId="4">
      <pivotArea field="10" type="button" dataOnly="0" labelOnly="1" outline="0" axis="axisRow" fieldPosition="0"/>
    </format>
    <format dxfId="3">
      <pivotArea dataOnly="0" labelOnly="1" fieldPosition="0">
        <references count="1">
          <reference field="10" count="0"/>
        </references>
      </pivotArea>
    </format>
    <format dxfId="2">
      <pivotArea dataOnly="0" labelOnly="1" grandRow="1" outline="0" fieldPosition="0"/>
    </format>
    <format dxfId="1">
      <pivotArea dataOnly="0" labelOnly="1" fieldPosition="0">
        <references count="1">
          <reference field="11" count="12">
            <x v="1"/>
            <x v="2"/>
            <x v="3"/>
            <x v="4"/>
            <x v="5"/>
            <x v="6"/>
            <x v="7"/>
            <x v="8"/>
            <x v="9"/>
            <x v="10"/>
            <x v="11"/>
            <x v="12"/>
          </reference>
        </references>
      </pivotArea>
    </format>
  </formats>
  <conditionalFormats count="1">
    <conditionalFormat priority="41">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8BE9B5-33C9-496B-ADC8-47D5D77FD961}" name="Tableau croisé dynamique22" cacheId="1" applyNumberFormats="0" applyBorderFormats="0" applyFontFormats="0" applyPatternFormats="0" applyAlignmentFormats="0" applyWidthHeightFormats="1" dataCaption="Valeurs" updatedVersion="8" minRefreshableVersion="3" rowGrandTotals="0" itemPrintTitles="1" createdVersion="8" indent="0" outline="1" outlineData="1" multipleFieldFilters="0" rowHeaderCaption="Jours" colHeaderCaption="Canal">
  <location ref="H68:K75" firstHeaderRow="1" firstDataRow="2" firstDataCol="1"/>
  <pivotFields count="22">
    <pivotField dataField="1" numFmtId="164" showAll="0">
      <items count="28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8"/>
        <item m="1" x="1377"/>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2"/>
        <item m="1" x="2453"/>
        <item m="1" x="2451"/>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6"/>
        <item m="1" x="2557"/>
        <item m="1" x="2554"/>
        <item m="1" x="2555"/>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t="default"/>
      </items>
    </pivotField>
    <pivotField showAll="0"/>
    <pivotField axis="axisRow" showAll="0">
      <items count="7">
        <item x="5"/>
        <item x="0"/>
        <item x="1"/>
        <item x="2"/>
        <item x="3"/>
        <item x="4"/>
        <item t="default"/>
      </items>
    </pivotField>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0"/>
        <item x="1"/>
        <item x="2"/>
        <item t="default"/>
      </items>
    </pivotField>
  </pivotFields>
  <rowFields count="1">
    <field x="2"/>
  </rowFields>
  <rowItems count="6">
    <i>
      <x/>
    </i>
    <i>
      <x v="1"/>
    </i>
    <i>
      <x v="2"/>
    </i>
    <i>
      <x v="3"/>
    </i>
    <i>
      <x v="4"/>
    </i>
    <i>
      <x v="5"/>
    </i>
  </rowItems>
  <colFields count="1">
    <field x="3"/>
  </colFields>
  <colItems count="3">
    <i>
      <x/>
    </i>
    <i>
      <x v="1"/>
    </i>
    <i t="grand">
      <x/>
    </i>
  </colItems>
  <dataFields count="1">
    <dataField name=" " fld="0" subtotal="count" showDataAs="percentOfCol" baseField="2" baseItem="2" numFmtId="9"/>
  </dataFields>
  <formats count="13">
    <format dxfId="25">
      <pivotArea type="all" dataOnly="0" outline="0" fieldPosition="0"/>
    </format>
    <format dxfId="24">
      <pivotArea outline="0" collapsedLevelsAreSubtotals="1" fieldPosition="0"/>
    </format>
    <format dxfId="23">
      <pivotArea type="origin" dataOnly="0" labelOnly="1" outline="0" fieldPosition="0"/>
    </format>
    <format dxfId="22">
      <pivotArea field="3" type="button" dataOnly="0" labelOnly="1" outline="0" axis="axisCol" fieldPosition="0"/>
    </format>
    <format dxfId="21">
      <pivotArea field="2" type="button" dataOnly="0" labelOnly="1" outline="0" axis="axisRow" fieldPosition="0"/>
    </format>
    <format dxfId="20">
      <pivotArea dataOnly="0" labelOnly="1" fieldPosition="0">
        <references count="1">
          <reference field="2" count="0"/>
        </references>
      </pivotArea>
    </format>
    <format dxfId="19">
      <pivotArea dataOnly="0" labelOnly="1" grandRow="1" outline="0" fieldPosition="0"/>
    </format>
    <format dxfId="18">
      <pivotArea dataOnly="0" labelOnly="1" fieldPosition="0">
        <references count="1">
          <reference field="3" count="0"/>
        </references>
      </pivotArea>
    </format>
    <format dxfId="17">
      <pivotArea dataOnly="0" labelOnly="1" grandCol="1" outline="0" fieldPosition="0"/>
    </format>
    <format dxfId="16">
      <pivotArea outline="0" fieldPosition="0">
        <references count="1">
          <reference field="4294967294" count="1">
            <x v="0"/>
          </reference>
        </references>
      </pivotArea>
    </format>
    <format dxfId="15">
      <pivotArea type="all" dataOnly="0" outline="0" fieldPosition="0"/>
    </format>
    <format dxfId="14">
      <pivotArea type="topRight" dataOnly="0" labelOnly="1" outline="0" fieldPosition="0"/>
    </format>
    <format dxfId="13">
      <pivotArea outline="0" collapsedLevelsAreSubtotals="1" fieldPosition="0"/>
    </format>
  </formats>
  <conditionalFormats count="1">
    <conditionalFormat priority="21">
      <pivotAreas count="1">
        <pivotArea type="data" collapsedLevelsAreSubtotals="1" fieldPosition="0">
          <references count="2">
            <reference field="4294967294" count="1" selected="0">
              <x v="0"/>
            </reference>
            <reference field="2" count="6">
              <x v="0"/>
              <x v="1"/>
              <x v="2"/>
              <x v="3"/>
              <x v="4"/>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10AF27-DBD5-4CFE-8C70-943BFD733FF6}" name="Tableau croisé dynamique33" cacheId="0" applyNumberFormats="0" applyBorderFormats="0" applyFontFormats="0" applyPatternFormats="0" applyAlignmentFormats="0" applyWidthHeightFormats="1" dataCaption="Valeurs" updatedVersion="8" minRefreshableVersion="3" colGrandTotals="0" itemPrintTitles="1" createdVersion="8" indent="0" outline="1" outlineData="1" multipleFieldFilters="0" rowHeaderCaption="Services" colHeaderCaption="Durée">
  <location ref="I95:M106" firstHeaderRow="1" firstDataRow="2" firstDataCol="1"/>
  <pivotFields count="14">
    <pivotField dataField="1"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showAll="0"/>
    <pivotField showAll="0"/>
    <pivotField showAll="0"/>
    <pivotField showAll="0"/>
    <pivotField axis="axisCol" showAll="0">
      <items count="5">
        <item x="1"/>
        <item x="2"/>
        <item x="0"/>
        <item x="3"/>
        <item t="default"/>
      </items>
    </pivotField>
    <pivotField showAll="0"/>
    <pivotField showAll="0"/>
    <pivotField showAll="0"/>
    <pivotField showAll="0"/>
    <pivotField axis="axisRow" showAll="0">
      <items count="10">
        <item x="1"/>
        <item x="8"/>
        <item x="3"/>
        <item x="7"/>
        <item x="4"/>
        <item x="0"/>
        <item x="5"/>
        <item x="2"/>
        <item x="6"/>
        <item t="default"/>
      </items>
    </pivotField>
    <pivotField showAll="0" defaultSubtotal="0"/>
    <pivotField showAll="0" defaultSubtotal="0"/>
    <pivotField showAll="0" defaultSubtotal="0">
      <items count="3">
        <item x="0"/>
        <item x="1"/>
        <item x="2"/>
      </items>
    </pivotField>
  </pivotFields>
  <rowFields count="1">
    <field x="10"/>
  </rowFields>
  <rowItems count="10">
    <i>
      <x/>
    </i>
    <i>
      <x v="1"/>
    </i>
    <i>
      <x v="2"/>
    </i>
    <i>
      <x v="3"/>
    </i>
    <i>
      <x v="4"/>
    </i>
    <i>
      <x v="5"/>
    </i>
    <i>
      <x v="6"/>
    </i>
    <i>
      <x v="7"/>
    </i>
    <i>
      <x v="8"/>
    </i>
    <i t="grand">
      <x/>
    </i>
  </rowItems>
  <colFields count="1">
    <field x="5"/>
  </colFields>
  <colItems count="4">
    <i>
      <x/>
    </i>
    <i>
      <x v="1"/>
    </i>
    <i>
      <x v="2"/>
    </i>
    <i>
      <x v="3"/>
    </i>
  </colItems>
  <dataFields count="1">
    <dataField name=" " fld="0" subtotal="count" showDataAs="percentOfRow" baseField="10" baseItem="3" numFmtId="9"/>
  </dataFields>
  <formats count="2">
    <format dxfId="27">
      <pivotArea type="all" dataOnly="0" outline="0" fieldPosition="0"/>
    </format>
    <format dxfId="26">
      <pivotArea outline="0" collapsedLevelsAreSubtotals="1" fieldPosition="0"/>
    </format>
  </formats>
  <conditionalFormats count="1">
    <conditionalFormat priority="9">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41BF5AA-3478-491F-AF13-1EB28D91E346}" name="Tableau croisé dynamique21" cacheId="1" applyNumberFormats="0" applyBorderFormats="0" applyFontFormats="0" applyPatternFormats="0" applyAlignmentFormats="0" applyWidthHeightFormats="1" dataCaption="Valeurs" updatedVersion="8" minRefreshableVersion="3" itemPrintTitles="1" createdVersion="8" indent="0" outline="1" outlineData="1" multipleFieldFilters="0" rowHeaderCaption="Mois" colHeaderCaption="Canal">
  <location ref="C68:F76" firstHeaderRow="1" firstDataRow="2" firstDataCol="1"/>
  <pivotFields count="22">
    <pivotField dataField="1" numFmtId="164" showAll="0">
      <items count="28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8"/>
        <item m="1" x="1377"/>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2"/>
        <item m="1" x="2453"/>
        <item m="1" x="2451"/>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6"/>
        <item m="1" x="2557"/>
        <item m="1" x="2554"/>
        <item m="1" x="2555"/>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t="default"/>
      </items>
    </pivotField>
    <pivotField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4">
        <item x="0"/>
        <item x="1"/>
        <item x="2"/>
        <item t="default"/>
      </items>
    </pivotField>
  </pivotFields>
  <rowFields count="1">
    <field x="19"/>
  </rowFields>
  <rowItems count="7">
    <i>
      <x v="7"/>
    </i>
    <i>
      <x v="8"/>
    </i>
    <i>
      <x v="9"/>
    </i>
    <i>
      <x v="10"/>
    </i>
    <i>
      <x v="11"/>
    </i>
    <i>
      <x v="12"/>
    </i>
    <i t="grand">
      <x/>
    </i>
  </rowItems>
  <colFields count="1">
    <field x="3"/>
  </colFields>
  <colItems count="3">
    <i>
      <x/>
    </i>
    <i>
      <x v="1"/>
    </i>
    <i t="grand">
      <x/>
    </i>
  </colItems>
  <dataFields count="1">
    <dataField name=" " fld="0" subtotal="count" baseField="0" baseItem="0"/>
  </dataFields>
  <formats count="1">
    <format dxfId="28">
      <pivotArea type="all" dataOnly="0" outline="0" fieldPosition="0"/>
    </format>
  </formats>
  <conditionalFormats count="3">
    <conditionalFormat priority="22">
      <pivotAreas count="2">
        <pivotArea type="data" collapsedLevelsAreSubtotals="1" fieldPosition="0">
          <references count="3">
            <reference field="4294967294" count="1" selected="0">
              <x v="0"/>
            </reference>
            <reference field="3" count="1" selected="0">
              <x v="1"/>
            </reference>
            <reference field="19" count="12">
              <x v="1"/>
              <x v="2"/>
              <x v="3"/>
              <x v="4"/>
              <x v="5"/>
              <x v="6"/>
              <x v="7"/>
              <x v="8"/>
              <x v="9"/>
              <x v="10"/>
              <x v="11"/>
              <x v="12"/>
            </reference>
          </references>
        </pivotArea>
        <pivotArea type="data" grandCol="1" collapsedLevelsAreSubtotals="1" fieldPosition="0">
          <references count="2">
            <reference field="4294967294" count="1" selected="0">
              <x v="0"/>
            </reference>
            <reference field="19" count="12">
              <x v="1"/>
              <x v="2"/>
              <x v="3"/>
              <x v="4"/>
              <x v="5"/>
              <x v="6"/>
              <x v="7"/>
              <x v="8"/>
              <x v="9"/>
              <x v="10"/>
              <x v="11"/>
              <x v="12"/>
            </reference>
          </references>
        </pivotArea>
      </pivotAreas>
    </conditionalFormat>
    <conditionalFormat priority="23">
      <pivotAreas count="1">
        <pivotArea type="data" collapsedLevelsAreSubtotals="1" fieldPosition="0">
          <references count="3">
            <reference field="4294967294" count="1" selected="0">
              <x v="0"/>
            </reference>
            <reference field="3" count="1" selected="0">
              <x v="1"/>
            </reference>
            <reference field="19" count="12">
              <x v="1"/>
              <x v="2"/>
              <x v="3"/>
              <x v="4"/>
              <x v="5"/>
              <x v="6"/>
              <x v="7"/>
              <x v="8"/>
              <x v="9"/>
              <x v="10"/>
              <x v="11"/>
              <x v="12"/>
            </reference>
          </references>
        </pivotArea>
      </pivotAreas>
    </conditionalFormat>
    <conditionalFormat priority="24">
      <pivotAreas count="1">
        <pivotArea type="data" collapsedLevelsAreSubtotals="1" fieldPosition="0">
          <references count="3">
            <reference field="4294967294" count="1" selected="0">
              <x v="0"/>
            </reference>
            <reference field="3" count="1" selected="0">
              <x v="0"/>
            </reference>
            <reference field="19" count="12">
              <x v="1"/>
              <x v="2"/>
              <x v="3"/>
              <x v="4"/>
              <x v="5"/>
              <x v="6"/>
              <x v="7"/>
              <x v="8"/>
              <x v="9"/>
              <x v="10"/>
              <x v="11"/>
              <x v="1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04742B7-04DC-4B5B-89B0-FAAC2A09A884}"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F3:AF4" firstHeaderRow="1" firstDataRow="1" firstDataCol="0"/>
  <pivotFields count="14">
    <pivotField dataField="1"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0"/>
        <item x="1"/>
        <item x="2"/>
        <item t="default"/>
      </items>
    </pivotField>
  </pivotFields>
  <rowItems count="1">
    <i/>
  </rowItems>
  <colItems count="1">
    <i/>
  </colItems>
  <dataFields count="1">
    <dataField name="Nombre de horodatag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3C52C0F-099C-4C15-A241-74B6638F7C4E}" name="Tableau croisé dynamique32" cacheId="1" applyNumberFormats="0" applyBorderFormats="0" applyFontFormats="0" applyPatternFormats="0" applyAlignmentFormats="0" applyWidthHeightFormats="1" dataCaption="Valeurs" updatedVersion="8" minRefreshableVersion="3" colGrandTotals="0" itemPrintTitles="1" createdVersion="8" indent="0" outline="1" outlineData="1" multipleFieldFilters="0" rowHeaderCaption="Horaires" colHeaderCaption="Durée">
  <location ref="C95:G106" firstHeaderRow="1" firstDataRow="2" firstDataCol="1"/>
  <pivotFields count="22">
    <pivotField dataField="1" numFmtId="164" showAll="0">
      <items count="28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8"/>
        <item m="1" x="1377"/>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2"/>
        <item m="1" x="2453"/>
        <item m="1" x="2451"/>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6"/>
        <item m="1" x="2557"/>
        <item m="1" x="2554"/>
        <item m="1" x="2555"/>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t="default"/>
      </items>
    </pivotField>
    <pivotField axis="axisRow" showAll="0">
      <items count="10">
        <item x="0"/>
        <item x="7"/>
        <item x="3"/>
        <item x="4"/>
        <item x="1"/>
        <item x="2"/>
        <item x="6"/>
        <item x="8"/>
        <item x="5"/>
        <item t="default"/>
      </items>
    </pivotField>
    <pivotField showAll="0"/>
    <pivotField showAll="0"/>
    <pivotField showAll="0"/>
    <pivotField axis="axisCol" showAll="0">
      <items count="5">
        <item x="1"/>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3">
        <item x="0"/>
        <item x="1"/>
        <item x="2"/>
      </items>
    </pivotField>
  </pivotFields>
  <rowFields count="1">
    <field x="1"/>
  </rowFields>
  <rowItems count="10">
    <i>
      <x/>
    </i>
    <i>
      <x v="1"/>
    </i>
    <i>
      <x v="2"/>
    </i>
    <i>
      <x v="3"/>
    </i>
    <i>
      <x v="4"/>
    </i>
    <i>
      <x v="5"/>
    </i>
    <i>
      <x v="6"/>
    </i>
    <i>
      <x v="7"/>
    </i>
    <i>
      <x v="8"/>
    </i>
    <i t="grand">
      <x/>
    </i>
  </rowItems>
  <colFields count="1">
    <field x="5"/>
  </colFields>
  <colItems count="4">
    <i>
      <x/>
    </i>
    <i>
      <x v="1"/>
    </i>
    <i>
      <x v="2"/>
    </i>
    <i>
      <x v="3"/>
    </i>
  </colItems>
  <dataFields count="1">
    <dataField name=" " fld="0" subtotal="count" showDataAs="percentOfRow" baseField="1" baseItem="2" numFmtId="9"/>
  </dataFields>
  <formats count="2">
    <format dxfId="30">
      <pivotArea type="all" dataOnly="0" outline="0" fieldPosition="0"/>
    </format>
    <format dxfId="29">
      <pivotArea outline="0" collapsedLevelsAreSubtotals="1" fieldPosition="0"/>
    </format>
  </formats>
  <conditionalFormats count="1">
    <conditionalFormat priority="10">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C65459-B89A-494A-8810-AE9A6BE4B9F4}" name="Tableau croisé dynamique15" cacheId="0" applyNumberFormats="0" applyBorderFormats="0" applyFontFormats="0" applyPatternFormats="0" applyAlignmentFormats="0" applyWidthHeightFormats="1" dataCaption="Valeurs" updatedVersion="8" minRefreshableVersion="3" rowGrandTotals="0" itemPrintTitles="1" createdVersion="8" indent="0" outline="1" outlineData="1" multipleFieldFilters="0" rowHeaderCaption="Horaires" colHeaderCaption="Services">
  <location ref="I44:S54" firstHeaderRow="1" firstDataRow="2" firstDataCol="1"/>
  <pivotFields count="14">
    <pivotField dataField="1"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axis="axisRow" showAll="0">
      <items count="10">
        <item x="0"/>
        <item x="7"/>
        <item x="3"/>
        <item x="4"/>
        <item x="1"/>
        <item x="2"/>
        <item x="6"/>
        <item x="8"/>
        <item x="5"/>
        <item t="default"/>
      </items>
    </pivotField>
    <pivotField showAll="0"/>
    <pivotField showAll="0"/>
    <pivotField showAll="0"/>
    <pivotField showAll="0"/>
    <pivotField showAll="0"/>
    <pivotField showAll="0"/>
    <pivotField showAll="0"/>
    <pivotField showAll="0"/>
    <pivotField axis="axisCol" showAll="0">
      <items count="10">
        <item x="1"/>
        <item x="8"/>
        <item x="3"/>
        <item x="7"/>
        <item x="4"/>
        <item x="0"/>
        <item x="5"/>
        <item x="2"/>
        <item x="6"/>
        <item t="default"/>
      </items>
    </pivotField>
    <pivotField showAll="0" defaultSubtotal="0"/>
    <pivotField showAll="0" defaultSubtotal="0"/>
    <pivotField showAll="0" defaultSubtotal="0">
      <items count="3">
        <item x="0"/>
        <item x="1"/>
        <item x="2"/>
      </items>
    </pivotField>
  </pivotFields>
  <rowFields count="1">
    <field x="1"/>
  </rowFields>
  <rowItems count="9">
    <i>
      <x/>
    </i>
    <i>
      <x v="1"/>
    </i>
    <i>
      <x v="2"/>
    </i>
    <i>
      <x v="3"/>
    </i>
    <i>
      <x v="4"/>
    </i>
    <i>
      <x v="5"/>
    </i>
    <i>
      <x v="6"/>
    </i>
    <i>
      <x v="7"/>
    </i>
    <i>
      <x v="8"/>
    </i>
  </rowItems>
  <colFields count="1">
    <field x="10"/>
  </colFields>
  <colItems count="10">
    <i>
      <x/>
    </i>
    <i>
      <x v="1"/>
    </i>
    <i>
      <x v="2"/>
    </i>
    <i>
      <x v="3"/>
    </i>
    <i>
      <x v="4"/>
    </i>
    <i>
      <x v="5"/>
    </i>
    <i>
      <x v="6"/>
    </i>
    <i>
      <x v="7"/>
    </i>
    <i>
      <x v="8"/>
    </i>
    <i t="grand">
      <x/>
    </i>
  </colItems>
  <dataFields count="1">
    <dataField name=" " fld="0" subtotal="count" showDataAs="percentOfCol" baseField="1" baseItem="3" numFmtId="9"/>
  </dataFields>
  <formats count="2">
    <format dxfId="32">
      <pivotArea outline="0" collapsedLevelsAreSubtotals="1" fieldPosition="0"/>
    </format>
    <format dxfId="31">
      <pivotArea type="all" dataOnly="0" outline="0" fieldPosition="0"/>
    </format>
  </formats>
  <conditionalFormats count="2">
    <conditionalFormat priority="35">
      <pivotAreas count="1">
        <pivotArea type="data" grandCol="1" outline="0" collapsedLevelsAreSubtotals="1" fieldPosition="0">
          <references count="1">
            <reference field="4294967294" count="1" selected="0">
              <x v="0"/>
            </reference>
          </references>
        </pivotArea>
      </pivotAreas>
    </conditionalFormat>
    <conditionalFormat priority="36">
      <pivotAreas count="1">
        <pivotArea type="data" outline="0" collapsedLevelsAreSubtotals="1" fieldPosition="0">
          <references count="2">
            <reference field="4294967294" count="1" selected="0">
              <x v="0"/>
            </reference>
            <reference field="10" count="9" selected="0">
              <x v="0"/>
              <x v="1"/>
              <x v="2"/>
              <x v="3"/>
              <x v="4"/>
              <x v="5"/>
              <x v="6"/>
              <x v="7"/>
              <x v="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E75F338-0EBA-40BA-B6A6-2162971B9F40}" name="Tableau croisé dynamique26" cacheId="0" applyNumberFormats="0" applyBorderFormats="0" applyFontFormats="0" applyPatternFormats="0" applyAlignmentFormats="0" applyWidthHeightFormats="1" dataCaption="Valeurs" updatedVersion="8" minRefreshableVersion="3" rowGrandTotals="0" itemPrintTitles="1" createdVersion="8" indent="0" outline="1" outlineData="1" multipleFieldFilters="0" rowHeaderCaption="Service" colHeaderCaption="Canal">
  <location ref="W68:Z78" firstHeaderRow="1" firstDataRow="2" firstDataCol="1"/>
  <pivotFields count="14">
    <pivotField dataField="1"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showAll="0"/>
    <pivotField showAll="0"/>
    <pivotField axis="axisCol" showAll="0">
      <items count="3">
        <item x="1"/>
        <item x="0"/>
        <item t="default"/>
      </items>
    </pivotField>
    <pivotField showAll="0"/>
    <pivotField showAll="0"/>
    <pivotField showAll="0"/>
    <pivotField showAll="0"/>
    <pivotField showAll="0"/>
    <pivotField showAll="0"/>
    <pivotField axis="axisRow" showAll="0">
      <items count="10">
        <item x="1"/>
        <item x="8"/>
        <item x="3"/>
        <item x="7"/>
        <item x="4"/>
        <item x="0"/>
        <item x="5"/>
        <item x="2"/>
        <item x="6"/>
        <item t="default"/>
      </items>
    </pivotField>
    <pivotField showAll="0" defaultSubtotal="0"/>
    <pivotField showAll="0" defaultSubtotal="0"/>
    <pivotField showAll="0" defaultSubtotal="0">
      <items count="3">
        <item x="0"/>
        <item x="1"/>
        <item x="2"/>
      </items>
    </pivotField>
  </pivotFields>
  <rowFields count="1">
    <field x="10"/>
  </rowFields>
  <rowItems count="9">
    <i>
      <x/>
    </i>
    <i>
      <x v="1"/>
    </i>
    <i>
      <x v="2"/>
    </i>
    <i>
      <x v="3"/>
    </i>
    <i>
      <x v="4"/>
    </i>
    <i>
      <x v="5"/>
    </i>
    <i>
      <x v="6"/>
    </i>
    <i>
      <x v="7"/>
    </i>
    <i>
      <x v="8"/>
    </i>
  </rowItems>
  <colFields count="1">
    <field x="3"/>
  </colFields>
  <colItems count="3">
    <i>
      <x/>
    </i>
    <i>
      <x v="1"/>
    </i>
    <i t="grand">
      <x/>
    </i>
  </colItems>
  <dataFields count="1">
    <dataField name=" " fld="0" subtotal="count" showDataAs="percentOfCol" baseField="10" baseItem="3" numFmtId="9"/>
  </dataFields>
  <formats count="12">
    <format dxfId="44">
      <pivotArea type="all" dataOnly="0" outline="0" fieldPosition="0"/>
    </format>
    <format dxfId="43">
      <pivotArea outline="0" collapsedLevelsAreSubtotals="1" fieldPosition="0"/>
    </format>
    <format dxfId="42">
      <pivotArea type="origin" dataOnly="0" labelOnly="1" outline="0" fieldPosition="0"/>
    </format>
    <format dxfId="41">
      <pivotArea field="3" type="button" dataOnly="0" labelOnly="1" outline="0" axis="axisCol" fieldPosition="0"/>
    </format>
    <format dxfId="40">
      <pivotArea field="10" type="button" dataOnly="0" labelOnly="1" outline="0" axis="axisRow" fieldPosition="0"/>
    </format>
    <format dxfId="39">
      <pivotArea dataOnly="0" labelOnly="1" fieldPosition="0">
        <references count="1">
          <reference field="10" count="0"/>
        </references>
      </pivotArea>
    </format>
    <format dxfId="38">
      <pivotArea dataOnly="0" labelOnly="1" grandRow="1" outline="0" fieldPosition="0"/>
    </format>
    <format dxfId="37">
      <pivotArea dataOnly="0" labelOnly="1" fieldPosition="0">
        <references count="1">
          <reference field="3" count="0"/>
        </references>
      </pivotArea>
    </format>
    <format dxfId="36">
      <pivotArea dataOnly="0" labelOnly="1" grandCol="1" outline="0" fieldPosition="0"/>
    </format>
    <format dxfId="35">
      <pivotArea outline="0" fieldPosition="0">
        <references count="1">
          <reference field="4294967294" count="1">
            <x v="0"/>
          </reference>
        </references>
      </pivotArea>
    </format>
    <format dxfId="34">
      <pivotArea type="all" dataOnly="0" outline="0" fieldPosition="0"/>
    </format>
    <format dxfId="33">
      <pivotArea outline="0" collapsedLevelsAreSubtotals="1" fieldPosition="0"/>
    </format>
  </formats>
  <conditionalFormats count="1">
    <conditionalFormat priority="17">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931917-F8EF-4944-BA8D-12E9565E083E}" name="Tableau croisé dynamique38"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Horaires" colHeaderCaption="Jours">
  <location ref="G137:N148" firstHeaderRow="1" firstDataRow="2" firstDataCol="1"/>
  <pivotFields count="22">
    <pivotField dataField="1" numFmtId="164" showAll="0">
      <items count="28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8"/>
        <item m="1" x="1377"/>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2"/>
        <item m="1" x="2453"/>
        <item m="1" x="2451"/>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6"/>
        <item m="1" x="2557"/>
        <item m="1" x="2554"/>
        <item m="1" x="2555"/>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t="default"/>
      </items>
    </pivotField>
    <pivotField axis="axisRow" showAll="0">
      <items count="10">
        <item x="0"/>
        <item x="7"/>
        <item x="3"/>
        <item x="4"/>
        <item x="1"/>
        <item x="2"/>
        <item x="6"/>
        <item x="8"/>
        <item x="5"/>
        <item t="default"/>
      </items>
    </pivotField>
    <pivotField axis="axisCol" showAll="0">
      <items count="7">
        <item x="5"/>
        <item x="0"/>
        <item x="1"/>
        <item x="2"/>
        <item x="3"/>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3">
        <item x="0"/>
        <item x="1"/>
        <item x="2"/>
      </items>
    </pivotField>
  </pivotFields>
  <rowFields count="1">
    <field x="1"/>
  </rowFields>
  <rowItems count="10">
    <i>
      <x/>
    </i>
    <i>
      <x v="1"/>
    </i>
    <i>
      <x v="2"/>
    </i>
    <i>
      <x v="3"/>
    </i>
    <i>
      <x v="4"/>
    </i>
    <i>
      <x v="5"/>
    </i>
    <i>
      <x v="6"/>
    </i>
    <i>
      <x v="7"/>
    </i>
    <i>
      <x v="8"/>
    </i>
    <i t="grand">
      <x/>
    </i>
  </rowItems>
  <colFields count="1">
    <field x="2"/>
  </colFields>
  <colItems count="7">
    <i>
      <x/>
    </i>
    <i>
      <x v="1"/>
    </i>
    <i>
      <x v="2"/>
    </i>
    <i>
      <x v="3"/>
    </i>
    <i>
      <x v="4"/>
    </i>
    <i>
      <x v="5"/>
    </i>
    <i t="grand">
      <x/>
    </i>
  </colItems>
  <dataFields count="1">
    <dataField name=" " fld="0" subtotal="count" baseField="0" baseItem="0"/>
  </dataFields>
  <formats count="1">
    <format dxfId="45">
      <pivotArea type="all" dataOnly="0" outline="0" fieldPosition="0"/>
    </format>
  </formats>
  <conditionalFormats count="3">
    <conditionalFormat priority="1">
      <pivotAreas count="1">
        <pivotArea type="data" grandRow="1" outline="0" collapsedLevelsAreSubtotals="1" fieldPosition="0">
          <references count="2">
            <reference field="4294967294" count="1" selected="0">
              <x v="0"/>
            </reference>
            <reference field="2" count="6" selected="0">
              <x v="0"/>
              <x v="1"/>
              <x v="2"/>
              <x v="3"/>
              <x v="4"/>
              <x v="5"/>
            </reference>
          </references>
        </pivotArea>
      </pivotAreas>
    </conditionalFormat>
    <conditionalFormat priority="2">
      <pivotAreas count="1">
        <pivotArea type="data" grandCol="1" collapsedLevelsAreSubtotals="1" fieldPosition="0">
          <references count="2">
            <reference field="4294967294" count="1" selected="0">
              <x v="0"/>
            </reference>
            <reference field="1" count="9">
              <x v="0"/>
              <x v="1"/>
              <x v="2"/>
              <x v="3"/>
              <x v="4"/>
              <x v="5"/>
              <x v="6"/>
              <x v="7"/>
              <x v="8"/>
            </reference>
          </references>
        </pivotArea>
      </pivotAreas>
    </conditionalFormat>
    <conditionalFormat priority="3">
      <pivotAreas count="1">
        <pivotArea type="data" collapsedLevelsAreSubtotals="1" fieldPosition="0">
          <references count="3">
            <reference field="4294967294" count="1" selected="0">
              <x v="0"/>
            </reference>
            <reference field="1" count="9">
              <x v="0"/>
              <x v="1"/>
              <x v="2"/>
              <x v="3"/>
              <x v="4"/>
              <x v="5"/>
              <x v="6"/>
              <x v="7"/>
              <x v="8"/>
            </reference>
            <reference field="2" count="6" selected="0">
              <x v="0"/>
              <x v="1"/>
              <x v="2"/>
              <x v="3"/>
              <x v="4"/>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3FAAC98-B012-44A7-9995-FAAA5E0FDA32}" name="Tableau croisé dynamique1"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D3:AD4" firstHeaderRow="1" firstDataRow="1" firstDataCol="0"/>
  <pivotFields count="22">
    <pivotField dataField="1" numFmtId="164" showAll="0">
      <items count="28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8"/>
        <item m="1" x="1377"/>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2"/>
        <item m="1" x="2453"/>
        <item m="1" x="2451"/>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6"/>
        <item m="1" x="2557"/>
        <item m="1" x="2554"/>
        <item m="1" x="2555"/>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0"/>
        <item x="1"/>
        <item x="2"/>
        <item t="default"/>
      </items>
    </pivotField>
  </pivotFields>
  <rowItems count="1">
    <i/>
  </rowItems>
  <colItems count="1">
    <i/>
  </colItems>
  <dataFields count="1">
    <dataField name="Nombre de horodatag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FB25F32-B447-4CF8-A553-FAE8C1922EB3}" name="Tableau croisé dynamique36"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Horaires">
  <location ref="I113:J123" firstHeaderRow="1" firstDataRow="1" firstDataCol="1"/>
  <pivotFields count="14">
    <pivotField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axis="axisRow" showAll="0">
      <items count="10">
        <item x="0"/>
        <item x="7"/>
        <item x="3"/>
        <item x="4"/>
        <item x="1"/>
        <item x="2"/>
        <item x="6"/>
        <item x="8"/>
        <item x="5"/>
        <item t="default"/>
      </items>
    </pivotField>
    <pivotField showAll="0"/>
    <pivotField showAll="0"/>
    <pivotField showAll="0"/>
    <pivotField showAll="0"/>
    <pivotField dataField="1" showAll="0"/>
    <pivotField showAll="0"/>
    <pivotField showAll="0"/>
    <pivotField showAll="0"/>
    <pivotField showAll="0"/>
    <pivotField showAll="0" defaultSubtotal="0"/>
    <pivotField showAll="0" defaultSubtotal="0"/>
    <pivotField showAll="0" defaultSubtotal="0">
      <items count="3">
        <item x="0"/>
        <item x="1"/>
        <item x="2"/>
      </items>
    </pivotField>
  </pivotFields>
  <rowFields count="1">
    <field x="1"/>
  </rowFields>
  <rowItems count="10">
    <i>
      <x/>
    </i>
    <i>
      <x v="1"/>
    </i>
    <i>
      <x v="2"/>
    </i>
    <i>
      <x v="3"/>
    </i>
    <i>
      <x v="4"/>
    </i>
    <i>
      <x v="5"/>
    </i>
    <i>
      <x v="6"/>
    </i>
    <i>
      <x v="7"/>
    </i>
    <i>
      <x v="8"/>
    </i>
    <i t="grand">
      <x/>
    </i>
  </rowItems>
  <colItems count="1">
    <i/>
  </colItems>
  <dataFields count="1">
    <dataField name="Durée moyenne" fld="6" subtotal="average" baseField="2" baseItem="0" numFmtId="166"/>
  </dataFields>
  <formats count="7">
    <format dxfId="52">
      <pivotArea outline="0" collapsedLevelsAreSubtotals="1" fieldPosition="0"/>
    </format>
    <format dxfId="51">
      <pivotArea type="all" dataOnly="0" outline="0" fieldPosition="0"/>
    </format>
    <format dxfId="50">
      <pivotArea outline="0" collapsedLevelsAreSubtotals="1" fieldPosition="0"/>
    </format>
    <format dxfId="49">
      <pivotArea field="1" type="button" dataOnly="0" labelOnly="1" outline="0" axis="axisRow" fieldPosition="0"/>
    </format>
    <format dxfId="48">
      <pivotArea dataOnly="0" labelOnly="1" fieldPosition="0">
        <references count="1">
          <reference field="1" count="0"/>
        </references>
      </pivotArea>
    </format>
    <format dxfId="47">
      <pivotArea dataOnly="0" labelOnly="1" grandRow="1" outline="0" fieldPosition="0"/>
    </format>
    <format dxfId="46">
      <pivotArea dataOnly="0" labelOnly="1" outline="0" axis="axisValues" fieldPosition="0"/>
    </format>
  </formats>
  <conditionalFormats count="1">
    <conditionalFormat priority="7">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74F2BC1-4DD4-44B7-BB11-72C1C4668255}" name="Tableau croisé dynamique14" cacheId="0" applyNumberFormats="0" applyBorderFormats="0" applyFontFormats="0" applyPatternFormats="0" applyAlignmentFormats="0" applyWidthHeightFormats="1" dataCaption="Valeurs" updatedVersion="8" minRefreshableVersion="3" rowGrandTotals="0" itemPrintTitles="1" createdVersion="8" indent="0" outline="1" outlineData="1" multipleFieldFilters="0" rowHeaderCaption="Jours" colHeaderCaption="Services">
  <location ref="I32:S39" firstHeaderRow="1" firstDataRow="2" firstDataCol="1"/>
  <pivotFields count="14">
    <pivotField dataField="1"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showAll="0"/>
    <pivotField axis="axisRow" showAll="0">
      <items count="7">
        <item x="5"/>
        <item x="0"/>
        <item x="1"/>
        <item x="2"/>
        <item x="3"/>
        <item x="4"/>
        <item t="default"/>
      </items>
    </pivotField>
    <pivotField showAll="0"/>
    <pivotField showAll="0"/>
    <pivotField showAll="0"/>
    <pivotField showAll="0"/>
    <pivotField showAll="0"/>
    <pivotField showAll="0"/>
    <pivotField showAll="0"/>
    <pivotField axis="axisCol" showAll="0">
      <items count="10">
        <item x="1"/>
        <item x="8"/>
        <item x="3"/>
        <item x="7"/>
        <item x="4"/>
        <item x="0"/>
        <item x="5"/>
        <item x="2"/>
        <item x="6"/>
        <item t="default"/>
      </items>
    </pivotField>
    <pivotField showAll="0" defaultSubtotal="0"/>
    <pivotField showAll="0" defaultSubtotal="0"/>
    <pivotField showAll="0" defaultSubtotal="0">
      <items count="3">
        <item x="0"/>
        <item x="1"/>
        <item x="2"/>
      </items>
    </pivotField>
  </pivotFields>
  <rowFields count="1">
    <field x="2"/>
  </rowFields>
  <rowItems count="6">
    <i>
      <x/>
    </i>
    <i>
      <x v="1"/>
    </i>
    <i>
      <x v="2"/>
    </i>
    <i>
      <x v="3"/>
    </i>
    <i>
      <x v="4"/>
    </i>
    <i>
      <x v="5"/>
    </i>
  </rowItems>
  <colFields count="1">
    <field x="10"/>
  </colFields>
  <colItems count="10">
    <i>
      <x/>
    </i>
    <i>
      <x v="1"/>
    </i>
    <i>
      <x v="2"/>
    </i>
    <i>
      <x v="3"/>
    </i>
    <i>
      <x v="4"/>
    </i>
    <i>
      <x v="5"/>
    </i>
    <i>
      <x v="6"/>
    </i>
    <i>
      <x v="7"/>
    </i>
    <i>
      <x v="8"/>
    </i>
    <i t="grand">
      <x/>
    </i>
  </colItems>
  <dataFields count="1">
    <dataField name=" " fld="0" subtotal="count" showDataAs="percentOfCol" baseField="2" baseItem="0" numFmtId="9"/>
  </dataFields>
  <formats count="2">
    <format dxfId="54">
      <pivotArea outline="0" collapsedLevelsAreSubtotals="1" fieldPosition="0"/>
    </format>
    <format dxfId="53">
      <pivotArea type="all" dataOnly="0" outline="0" fieldPosition="0"/>
    </format>
  </formats>
  <conditionalFormats count="2">
    <conditionalFormat priority="37">
      <pivotAreas count="1">
        <pivotArea type="data" grandCol="1" outline="0" collapsedLevelsAreSubtotals="1" fieldPosition="0">
          <references count="1">
            <reference field="4294967294" count="1" selected="0">
              <x v="0"/>
            </reference>
          </references>
        </pivotArea>
      </pivotAreas>
    </conditionalFormat>
    <conditionalFormat priority="38">
      <pivotAreas count="1">
        <pivotArea type="data" outline="0" collapsedLevelsAreSubtotals="1" fieldPosition="0">
          <references count="2">
            <reference field="4294967294" count="1" selected="0">
              <x v="0"/>
            </reference>
            <reference field="10" count="9" selected="0">
              <x v="0"/>
              <x v="1"/>
              <x v="2"/>
              <x v="3"/>
              <x v="4"/>
              <x v="5"/>
              <x v="6"/>
              <x v="7"/>
              <x v="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2FFD9D8-52BD-42B2-9A92-D13D632A4F85}" name="Tableau croisé dynamique24" cacheId="1" applyNumberFormats="0" applyBorderFormats="0" applyFontFormats="0" applyPatternFormats="0" applyAlignmentFormats="0" applyWidthHeightFormats="1" dataCaption="Valeurs" updatedVersion="8" minRefreshableVersion="3" itemPrintTitles="1" createdVersion="8" indent="0" outline="1" outlineData="1" multipleFieldFilters="0" rowHeaderCaption="Canal">
  <location ref="R68:S71" firstHeaderRow="1" firstDataRow="1" firstDataCol="1"/>
  <pivotFields count="22">
    <pivotField numFmtId="164" showAll="0">
      <items count="28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8"/>
        <item m="1" x="1377"/>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2"/>
        <item m="1" x="2453"/>
        <item m="1" x="2451"/>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6"/>
        <item m="1" x="2557"/>
        <item m="1" x="2554"/>
        <item m="1" x="2555"/>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t="default"/>
      </items>
    </pivotField>
    <pivotField showAll="0"/>
    <pivotField showAll="0"/>
    <pivotField axis="axisRow" showAll="0">
      <items count="3">
        <item x="1"/>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4">
        <item x="0"/>
        <item x="1"/>
        <item x="2"/>
        <item t="default"/>
      </items>
    </pivotField>
  </pivotFields>
  <rowFields count="1">
    <field x="3"/>
  </rowFields>
  <rowItems count="3">
    <i>
      <x/>
    </i>
    <i>
      <x v="1"/>
    </i>
    <i t="grand">
      <x/>
    </i>
  </rowItems>
  <colItems count="1">
    <i/>
  </colItems>
  <dataFields count="1">
    <dataField name="Durée moyenne" fld="6" subtotal="average" baseField="3" baseItem="0" numFmtId="166"/>
  </dataFields>
  <formats count="7">
    <format dxfId="61">
      <pivotArea outline="0" collapsedLevelsAreSubtotals="1" fieldPosition="0"/>
    </format>
    <format dxfId="60">
      <pivotArea type="all" dataOnly="0" outline="0" fieldPosition="0"/>
    </format>
    <format dxfId="59">
      <pivotArea outline="0" collapsedLevelsAreSubtotals="1" fieldPosition="0"/>
    </format>
    <format dxfId="58">
      <pivotArea field="3" type="button" dataOnly="0" labelOnly="1" outline="0" axis="axisRow" fieldPosition="0"/>
    </format>
    <format dxfId="57">
      <pivotArea dataOnly="0" labelOnly="1" fieldPosition="0">
        <references count="1">
          <reference field="3" count="0"/>
        </references>
      </pivotArea>
    </format>
    <format dxfId="56">
      <pivotArea dataOnly="0" labelOnly="1" grandRow="1" outline="0" fieldPosition="0"/>
    </format>
    <format dxfId="55">
      <pivotArea dataOnly="0" labelOnly="1" outline="0" axis="axisValues" fieldPosition="0"/>
    </format>
  </formats>
  <conditionalFormats count="1">
    <conditionalFormat priority="18">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8E1A12B-C050-4D49-8C58-5D996770F4D5}" name="Tableau croisé dynamique35"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Jours">
  <location ref="C113:D120" firstHeaderRow="1" firstDataRow="1" firstDataCol="1"/>
  <pivotFields count="14">
    <pivotField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showAll="0"/>
    <pivotField axis="axisRow" showAll="0">
      <items count="7">
        <item x="5"/>
        <item x="0"/>
        <item x="1"/>
        <item x="2"/>
        <item x="3"/>
        <item x="4"/>
        <item t="default"/>
      </items>
    </pivotField>
    <pivotField showAll="0"/>
    <pivotField showAll="0"/>
    <pivotField showAll="0"/>
    <pivotField dataField="1" showAll="0"/>
    <pivotField showAll="0"/>
    <pivotField showAll="0"/>
    <pivotField showAll="0"/>
    <pivotField showAll="0"/>
    <pivotField showAll="0" defaultSubtotal="0"/>
    <pivotField showAll="0" defaultSubtotal="0"/>
    <pivotField showAll="0" defaultSubtotal="0">
      <items count="3">
        <item x="0"/>
        <item x="1"/>
        <item x="2"/>
      </items>
    </pivotField>
  </pivotFields>
  <rowFields count="1">
    <field x="2"/>
  </rowFields>
  <rowItems count="7">
    <i>
      <x/>
    </i>
    <i>
      <x v="1"/>
    </i>
    <i>
      <x v="2"/>
    </i>
    <i>
      <x v="3"/>
    </i>
    <i>
      <x v="4"/>
    </i>
    <i>
      <x v="5"/>
    </i>
    <i t="grand">
      <x/>
    </i>
  </rowItems>
  <colItems count="1">
    <i/>
  </colItems>
  <dataFields count="1">
    <dataField name="Durée moyenne" fld="6" subtotal="average" baseField="2" baseItem="0" numFmtId="166"/>
  </dataFields>
  <formats count="7">
    <format dxfId="68">
      <pivotArea outline="0" collapsedLevelsAreSubtotals="1" fieldPosition="0"/>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fieldPosition="0">
        <references count="1">
          <reference field="2" count="0"/>
        </references>
      </pivotArea>
    </format>
    <format dxfId="63">
      <pivotArea dataOnly="0" labelOnly="1" grandRow="1" outline="0" fieldPosition="0"/>
    </format>
    <format dxfId="62">
      <pivotArea dataOnly="0" labelOnly="1" outline="0" axis="axisValues" fieldPosition="0"/>
    </format>
  </formats>
  <conditionalFormats count="1">
    <conditionalFormat priority="8">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FA3B1A8-2409-45CF-B72D-CFEBB7EC8C6F}" name="Tableau croisé dynamique13" cacheId="0" applyNumberFormats="0" applyBorderFormats="0" applyFontFormats="0" applyPatternFormats="0" applyAlignmentFormats="0" applyWidthHeightFormats="1" dataCaption="Valeurs" updatedVersion="8" minRefreshableVersion="3" colGrandTotals="0" itemPrintTitles="1" createdVersion="8" indent="0" outline="1" outlineData="1" multipleFieldFilters="0" rowHeaderCaption="Services" colHeaderCaption="Durée">
  <location ref="C32:G43" firstHeaderRow="1" firstDataRow="2" firstDataCol="1"/>
  <pivotFields count="14">
    <pivotField dataField="1" numFmtId="22" showAll="0">
      <items count="28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5"/>
        <item m="1" x="1354"/>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6"/>
        <item m="1" x="2407"/>
        <item m="1" x="2405"/>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5"/>
        <item m="1" x="2506"/>
        <item m="1" x="2503"/>
        <item m="1" x="2504"/>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t="default"/>
      </items>
    </pivotField>
    <pivotField showAll="0"/>
    <pivotField showAll="0"/>
    <pivotField showAll="0"/>
    <pivotField showAll="0"/>
    <pivotField axis="axisCol" showAll="0">
      <items count="5">
        <item x="1"/>
        <item x="2"/>
        <item x="0"/>
        <item x="3"/>
        <item t="default"/>
      </items>
    </pivotField>
    <pivotField showAll="0"/>
    <pivotField showAll="0"/>
    <pivotField showAll="0"/>
    <pivotField showAll="0"/>
    <pivotField axis="axisRow" showAll="0">
      <items count="10">
        <item x="1"/>
        <item x="8"/>
        <item x="3"/>
        <item x="7"/>
        <item x="4"/>
        <item x="0"/>
        <item x="5"/>
        <item x="2"/>
        <item x="6"/>
        <item t="default"/>
      </items>
    </pivotField>
    <pivotField showAll="0" defaultSubtotal="0"/>
    <pivotField showAll="0" defaultSubtotal="0"/>
    <pivotField showAll="0" defaultSubtotal="0">
      <items count="3">
        <item x="0"/>
        <item x="1"/>
        <item x="2"/>
      </items>
    </pivotField>
  </pivotFields>
  <rowFields count="1">
    <field x="10"/>
  </rowFields>
  <rowItems count="10">
    <i>
      <x/>
    </i>
    <i>
      <x v="1"/>
    </i>
    <i>
      <x v="2"/>
    </i>
    <i>
      <x v="3"/>
    </i>
    <i>
      <x v="4"/>
    </i>
    <i>
      <x v="5"/>
    </i>
    <i>
      <x v="6"/>
    </i>
    <i>
      <x v="7"/>
    </i>
    <i>
      <x v="8"/>
    </i>
    <i t="grand">
      <x/>
    </i>
  </rowItems>
  <colFields count="1">
    <field x="5"/>
  </colFields>
  <colItems count="4">
    <i>
      <x/>
    </i>
    <i>
      <x v="1"/>
    </i>
    <i>
      <x v="2"/>
    </i>
    <i>
      <x v="3"/>
    </i>
  </colItems>
  <dataFields count="1">
    <dataField name=" " fld="0" subtotal="count" showDataAs="percentOfRow" baseField="10" baseItem="4" numFmtId="9"/>
  </dataFields>
  <formats count="2">
    <format dxfId="70">
      <pivotArea outline="0" collapsedLevelsAreSubtotals="1" fieldPosition="0"/>
    </format>
    <format dxfId="69">
      <pivotArea type="all" dataOnly="0" outline="0" fieldPosition="0"/>
    </format>
  </formats>
  <conditionalFormats count="2">
    <conditionalFormat priority="39">
      <pivotAreas count="1">
        <pivotArea type="data" grandRow="1" outline="0" collapsedLevelsAreSubtotals="1" fieldPosition="0">
          <references count="1">
            <reference field="4294967294" count="1" selected="0">
              <x v="0"/>
            </reference>
          </references>
        </pivotArea>
      </pivotAreas>
    </conditionalFormat>
    <conditionalFormat priority="40">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2" xr16:uid="{E35F53F1-279B-47FC-A97A-357B854302A4}" autoFormatId="16" applyNumberFormats="0" applyBorderFormats="0" applyFontFormats="0" applyPatternFormats="0" applyAlignmentFormats="0" applyWidthHeightFormats="0">
  <queryTableRefresh nextId="6">
    <queryTableFields count="3">
      <queryTableField id="4" name="Name" tableColumnId="1"/>
      <queryTableField id="2" name="Date modified" tableColumnId="2"/>
      <queryTableField id="3" name="Folder Path"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connectionId="4" xr16:uid="{9082CB49-1FE5-46C8-BDB7-EFAB5E7C3526}" autoFormatId="16" applyNumberFormats="0" applyBorderFormats="0" applyFontFormats="0" applyPatternFormats="0" applyAlignmentFormats="0" applyWidthHeightFormats="0">
  <queryTableRefresh nextId="17">
    <queryTableFields count="11">
      <queryTableField id="1" name="horodatage" tableColumnId="1"/>
      <queryTableField id="2" name="horaire finale" tableColumnId="2"/>
      <queryTableField id="3" name="Jour" tableColumnId="3"/>
      <queryTableField id="4" name="typeService" tableColumnId="4"/>
      <queryTableField id="5" name="langue" tableColumnId="5"/>
      <queryTableField id="6" name="duree" tableColumnId="6"/>
      <queryTableField id="7" name="moyenne" tableColumnId="7"/>
      <queryTableField id="9" name="catalogueSwisscoveryAlma" tableColumnId="9"/>
      <queryTableField id="10" name="catalogueAutre" tableColumnId="10"/>
      <queryTableField id="11" name="remarques" tableColumnId="11"/>
      <queryTableField id="16" name="services"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2" connectionId="1" xr16:uid="{5F0BDA05-4D9F-4074-85DD-0E1A32D1A7DD}" autoFormatId="16" applyNumberFormats="0" applyBorderFormats="0" applyFontFormats="0" applyPatternFormats="0" applyAlignmentFormats="0" applyWidthHeightFormats="0">
  <queryTableRefresh nextId="42">
    <queryTableFields count="19">
      <queryTableField id="18" name="horodatage" tableColumnId="18"/>
      <queryTableField id="36" name="horaire finale" tableColumnId="2"/>
      <queryTableField id="38" name="Jour" tableColumnId="3"/>
      <queryTableField id="19" name="typeService" tableColumnId="19"/>
      <queryTableField id="20" name="langue" tableColumnId="20"/>
      <queryTableField id="21" name="duree" tableColumnId="21"/>
      <queryTableField id="40" name="moyenne" tableColumnId="4"/>
      <queryTableField id="22" name="rechercheBibliographique" tableColumnId="22"/>
      <queryTableField id="23" name="rechercheDocumentaire" tableColumnId="23"/>
      <queryTableField id="24" name="catalogueSwisscoveryAlma" tableColumnId="24"/>
      <queryTableField id="25" name="catalogueAutre" tableColumnId="25"/>
      <queryTableField id="26" name="inscription" tableColumnId="26"/>
      <queryTableField id="27" name="prêt" tableColumnId="27"/>
      <queryTableField id="28" name="mondoPC" tableColumnId="28"/>
      <queryTableField id="29" name="bureautique" tableColumnId="29"/>
      <queryTableField id="30" name="modalites" tableColumnId="30"/>
      <queryTableField id="31" name="orientation" tableColumnId="31"/>
      <queryTableField id="32" name="autreRenseignement" tableColumnId="32"/>
      <queryTableField id="33" name="remarques" tableColumnId="3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B816B4-F0F1-4E67-BF87-75CCA6ED74B8}" name="fichiers" displayName="fichiers" ref="A1:C3" tableType="queryTable" totalsRowShown="0">
  <autoFilter ref="A1:C3" xr:uid="{14B816B4-F0F1-4E67-BF87-75CCA6ED74B8}"/>
  <tableColumns count="3">
    <tableColumn id="1" xr3:uid="{B26E9DF0-D802-414C-9939-9CDFE2F2E9EB}" uniqueName="1" name="Name" queryTableFieldId="4" dataDxfId="97"/>
    <tableColumn id="2" xr3:uid="{81CCC343-FA77-4E35-83A1-3399B7E19B11}" uniqueName="2" name="Date modified" queryTableFieldId="2" dataDxfId="96"/>
    <tableColumn id="3" xr3:uid="{914C64C3-46B2-4155-9E52-38B502ED1A01}" uniqueName="3" name="Folder Path" queryTableFieldId="3" dataDxfId="9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46DE85-F008-4636-B16B-BE6FA48D15FE}" name="Source" displayName="Source" ref="W4:W101" totalsRowShown="0" headerRowDxfId="94" dataDxfId="93" tableBorderDxfId="92">
  <autoFilter ref="W4:W101" xr:uid="{B146DE85-F008-4636-B16B-BE6FA48D15FE}"/>
  <tableColumns count="1">
    <tableColumn id="1" xr3:uid="{DD29D811-F857-4361-BF0D-8BA3A66DD0F4}" name="Colonne1" dataDxfId="91">
      <calculatedColumnFormula>N4&amp;F2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505E4A7-8A09-42DD-83B8-2C411EB2D0C6}" name="Services" displayName="Services" ref="A1:K1472" tableType="queryTable" totalsRowShown="0">
  <autoFilter ref="A1:K1472" xr:uid="{3505E4A7-8A09-42DD-83B8-2C411EB2D0C6}"/>
  <tableColumns count="11">
    <tableColumn id="1" xr3:uid="{BA5EA46F-EF94-42DF-8D81-F2FE04CFF31E}" uniqueName="1" name="horodatage" queryTableFieldId="1" dataDxfId="90"/>
    <tableColumn id="2" xr3:uid="{37C5D667-B930-48C5-81E0-53E6EA8AC73C}" uniqueName="2" name="horaire finale" queryTableFieldId="2" dataDxfId="89"/>
    <tableColumn id="3" xr3:uid="{1856FADE-E15C-4020-ADF5-E207148F1F0E}" uniqueName="3" name="Jour" queryTableFieldId="3" dataDxfId="88"/>
    <tableColumn id="4" xr3:uid="{6858E633-B0D6-46AD-8768-8D8238A93382}" uniqueName="4" name="typeService" queryTableFieldId="4" dataDxfId="87"/>
    <tableColumn id="5" xr3:uid="{019434D5-A4E7-4D3C-9FB0-FA5ADD160968}" uniqueName="5" name="langue" queryTableFieldId="5" dataDxfId="86"/>
    <tableColumn id="6" xr3:uid="{5F43673E-4010-4755-81DA-3AA99D80CDB8}" uniqueName="6" name="duree" queryTableFieldId="6" dataDxfId="85"/>
    <tableColumn id="7" xr3:uid="{30E0C8B0-867A-4350-98B8-03733CFC791D}" uniqueName="7" name="moyenne" queryTableFieldId="7"/>
    <tableColumn id="9" xr3:uid="{725E38CD-A7EA-4C4F-A3EC-3BF94FD2B741}" uniqueName="9" name="catalogueSwisscoveryAlma" queryTableFieldId="9"/>
    <tableColumn id="10" xr3:uid="{2090F4C7-7BCF-47D8-9171-C9F5E3B94352}" uniqueName="10" name="catalogueAutre" queryTableFieldId="10"/>
    <tableColumn id="11" xr3:uid="{CDE4D4D5-FE84-4B7E-8943-8B8165CACD57}" uniqueName="11" name="remarques" queryTableFieldId="11" dataDxfId="84"/>
    <tableColumn id="16" xr3:uid="{63F52EA1-D246-4C73-83CB-FA0B3F0104DB}" uniqueName="16" name="services" queryTableFieldId="16" dataDxfId="8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6F26A0-9EA5-4055-A8FA-BDC408F3BF19}" name="Données" displayName="Données" ref="A1:S1320" tableType="queryTable" totalsRowShown="0">
  <autoFilter ref="A1:S1320" xr:uid="{A86F26A0-9EA5-4055-A8FA-BDC408F3BF19}"/>
  <tableColumns count="19">
    <tableColumn id="18" xr3:uid="{66411E39-A4DF-4630-BBE5-4A60A6066885}" uniqueName="18" name="horodatage" queryTableFieldId="18" dataDxfId="82"/>
    <tableColumn id="2" xr3:uid="{62E6F6B3-7B48-483C-B099-ABF0BA59777A}" uniqueName="2" name="horaire finale" queryTableFieldId="36"/>
    <tableColumn id="3" xr3:uid="{EB9FDA86-23A4-493C-B1F6-7964EED19188}" uniqueName="3" name="Jour" queryTableFieldId="38"/>
    <tableColumn id="19" xr3:uid="{5B1A6128-17B1-4030-8A48-5D06D60F9955}" uniqueName="19" name="typeService" queryTableFieldId="19"/>
    <tableColumn id="20" xr3:uid="{C1DA2FA1-48FC-41B4-AFCD-253E7964D288}" uniqueName="20" name="langue" queryTableFieldId="20"/>
    <tableColumn id="21" xr3:uid="{D28E49DF-FACC-4DC5-A1B2-ACDD3638AA52}" uniqueName="21" name="duree" queryTableFieldId="21"/>
    <tableColumn id="4" xr3:uid="{B3CFD603-94D1-4710-B9A0-316377099073}" uniqueName="4" name="moyenne" queryTableFieldId="40"/>
    <tableColumn id="22" xr3:uid="{EC34E0FA-0B01-46AF-8D42-59CE446C0E89}" uniqueName="22" name="rechercheBibliographique" queryTableFieldId="22" dataDxfId="81"/>
    <tableColumn id="23" xr3:uid="{2D06A2A2-89C7-48E6-AFD2-BEDFD1E77C31}" uniqueName="23" name="rechercheDocumentaire" queryTableFieldId="23" dataDxfId="80"/>
    <tableColumn id="24" xr3:uid="{0E6C7EBD-5267-470C-A44B-15E0F99E5331}" uniqueName="24" name="catalogueSwisscoveryAlma" queryTableFieldId="24" dataDxfId="79"/>
    <tableColumn id="25" xr3:uid="{C70FAF5B-1AA7-4BD4-A412-F19693E28EEF}" uniqueName="25" name="catalogueAutre" queryTableFieldId="25" dataDxfId="78"/>
    <tableColumn id="26" xr3:uid="{22DA8219-4F27-4C23-87E2-3B03A37ADF84}" uniqueName="26" name="inscription" queryTableFieldId="26" dataDxfId="77"/>
    <tableColumn id="27" xr3:uid="{28E34CE9-E24D-4317-AD4F-96383D1FB539}" uniqueName="27" name="prêt" queryTableFieldId="27" dataDxfId="76"/>
    <tableColumn id="28" xr3:uid="{EEA2FA25-09D5-46C8-8816-4DA130325502}" uniqueName="28" name="mondoPC" queryTableFieldId="28" dataDxfId="75"/>
    <tableColumn id="29" xr3:uid="{140D27B6-3A1C-484A-A34E-8B57E0F411D3}" uniqueName="29" name="bureautique" queryTableFieldId="29" dataDxfId="74"/>
    <tableColumn id="30" xr3:uid="{9894F2AB-BA10-4F0C-ABBF-496D787B82DA}" uniqueName="30" name="modalites" queryTableFieldId="30" dataDxfId="73"/>
    <tableColumn id="31" xr3:uid="{C1028AB8-127D-4BFE-8ADE-377503A8CD89}" uniqueName="31" name="orientation" queryTableFieldId="31" dataDxfId="72"/>
    <tableColumn id="32" xr3:uid="{7AF471C8-28C4-4B16-AD7D-CAB3BD86D059}" uniqueName="32" name="autreRenseignement" queryTableFieldId="32" dataDxfId="71"/>
    <tableColumn id="33" xr3:uid="{2ECC41D7-3A99-4612-B7F5-B6792C765E4F}" uniqueName="33" name="remarques" queryTableFieldId="33"/>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6C61D-B4A0-451A-A80C-A19754839C04}">
  <sheetPr codeName="Feuil1"/>
  <dimension ref="A1:Z101"/>
  <sheetViews>
    <sheetView workbookViewId="0">
      <selection activeCell="D1" sqref="D1:T1048576"/>
    </sheetView>
  </sheetViews>
  <sheetFormatPr baseColWidth="10" defaultRowHeight="15" x14ac:dyDescent="0.25"/>
  <cols>
    <col min="1" max="1" width="8.5703125" bestFit="1" customWidth="1"/>
    <col min="2" max="2" width="16.140625" bestFit="1" customWidth="1"/>
    <col min="3" max="3" width="73.140625" bestFit="1" customWidth="1"/>
    <col min="4" max="4" width="73.140625" hidden="1" customWidth="1"/>
    <col min="5" max="13" width="11.42578125" hidden="1" customWidth="1"/>
    <col min="14" max="14" width="15.5703125" hidden="1" customWidth="1"/>
    <col min="15" max="20" width="11.42578125" hidden="1" customWidth="1"/>
    <col min="23" max="23" width="11.85546875" customWidth="1"/>
  </cols>
  <sheetData>
    <row r="1" spans="1:26" ht="15.75" thickBot="1" x14ac:dyDescent="0.3">
      <c r="A1" t="s">
        <v>406</v>
      </c>
      <c r="B1" t="s">
        <v>0</v>
      </c>
      <c r="C1" t="s">
        <v>1</v>
      </c>
      <c r="F1" t="s">
        <v>7</v>
      </c>
    </row>
    <row r="2" spans="1:26" x14ac:dyDescent="0.25">
      <c r="A2" s="1" t="s">
        <v>2</v>
      </c>
      <c r="B2" s="2">
        <v>46227.633020833331</v>
      </c>
      <c r="C2" s="1" t="s">
        <v>3</v>
      </c>
      <c r="F2" s="10" t="str" cm="1">
        <f t="array" ref="F2">_xlfn.TEXTSPLIT(Sélection!B3,,CHAR(10))</f>
        <v>1.xlsm</v>
      </c>
      <c r="M2" s="68" t="s">
        <v>6</v>
      </c>
      <c r="N2" s="69"/>
      <c r="O2" s="70"/>
      <c r="V2" s="68" t="s">
        <v>8</v>
      </c>
      <c r="W2" s="69"/>
      <c r="X2" s="70"/>
    </row>
    <row r="3" spans="1:26" ht="15.75" thickBot="1" x14ac:dyDescent="0.3">
      <c r="A3" s="1" t="s">
        <v>4</v>
      </c>
      <c r="B3" s="2">
        <v>46227.633124513886</v>
      </c>
      <c r="C3" s="1" t="s">
        <v>3</v>
      </c>
      <c r="M3" s="71"/>
      <c r="N3" s="72"/>
      <c r="O3" s="73"/>
      <c r="P3" s="7"/>
      <c r="Q3" s="8"/>
      <c r="R3" s="8"/>
      <c r="S3" s="8"/>
      <c r="T3" s="8"/>
      <c r="U3" s="8"/>
      <c r="V3" s="71"/>
      <c r="W3" s="72"/>
      <c r="X3" s="73"/>
    </row>
    <row r="4" spans="1:26" x14ac:dyDescent="0.25">
      <c r="M4" s="4"/>
      <c r="N4" s="3" t="str">
        <f>IF(F2="","",_xlfn.XLOOKUP(F2,A:A,C:C,"",0))</f>
        <v>C:\Users\kerboul\OneDrive - Ville de Geneve\98_EF\Statistiques_SAR\Fusion\test\</v>
      </c>
      <c r="O4" s="3"/>
      <c r="P4" s="3"/>
      <c r="Q4" s="3"/>
      <c r="R4" s="3"/>
      <c r="S4" s="3"/>
      <c r="T4" s="3"/>
      <c r="U4" s="3"/>
      <c r="V4" s="3"/>
      <c r="W4" s="3" t="s">
        <v>9</v>
      </c>
      <c r="X4" s="3"/>
      <c r="Y4" s="3"/>
      <c r="Z4" s="6"/>
    </row>
    <row r="5" spans="1:26" x14ac:dyDescent="0.25">
      <c r="N5" s="3" t="str">
        <f t="shared" ref="N5:N68" si="0">IF(F3="","",_xlfn.XLOOKUP(F3,A:A,C:C,"",0))</f>
        <v/>
      </c>
      <c r="O5" s="5"/>
      <c r="P5" s="5"/>
      <c r="Q5" s="5"/>
      <c r="R5" s="5"/>
      <c r="S5" s="5"/>
      <c r="T5" s="5"/>
      <c r="U5" s="5"/>
      <c r="V5" s="5"/>
      <c r="W5" s="3" t="str">
        <f>N4&amp;F2</f>
        <v>C:\Users\kerboul\OneDrive - Ville de Geneve\98_EF\Statistiques_SAR\Fusion\test\1.xlsm</v>
      </c>
      <c r="X5" s="5"/>
      <c r="Y5" s="5"/>
    </row>
    <row r="6" spans="1:26" x14ac:dyDescent="0.25">
      <c r="N6" s="3" t="str">
        <f t="shared" si="0"/>
        <v/>
      </c>
      <c r="W6" s="3" t="str">
        <f>N5&amp;F3</f>
        <v/>
      </c>
    </row>
    <row r="7" spans="1:26" x14ac:dyDescent="0.25">
      <c r="N7" s="3" t="str">
        <f t="shared" si="0"/>
        <v/>
      </c>
      <c r="W7" s="3" t="str">
        <f t="shared" ref="W7:W36" si="1">N6&amp;G4</f>
        <v/>
      </c>
    </row>
    <row r="8" spans="1:26" x14ac:dyDescent="0.25">
      <c r="N8" s="3" t="str">
        <f t="shared" si="0"/>
        <v/>
      </c>
      <c r="W8" s="3" t="str">
        <f t="shared" si="1"/>
        <v/>
      </c>
    </row>
    <row r="9" spans="1:26" x14ac:dyDescent="0.25">
      <c r="N9" s="3" t="str">
        <f t="shared" si="0"/>
        <v/>
      </c>
      <c r="W9" s="3" t="str">
        <f t="shared" si="1"/>
        <v/>
      </c>
    </row>
    <row r="10" spans="1:26" x14ac:dyDescent="0.25">
      <c r="N10" s="3" t="str">
        <f t="shared" si="0"/>
        <v/>
      </c>
      <c r="W10" s="3" t="str">
        <f t="shared" si="1"/>
        <v/>
      </c>
    </row>
    <row r="11" spans="1:26" x14ac:dyDescent="0.25">
      <c r="N11" s="3" t="str">
        <f t="shared" si="0"/>
        <v/>
      </c>
      <c r="W11" s="3" t="str">
        <f t="shared" si="1"/>
        <v/>
      </c>
    </row>
    <row r="12" spans="1:26" x14ac:dyDescent="0.25">
      <c r="N12" s="3" t="str">
        <f t="shared" si="0"/>
        <v/>
      </c>
      <c r="W12" s="3" t="str">
        <f t="shared" si="1"/>
        <v/>
      </c>
    </row>
    <row r="13" spans="1:26" x14ac:dyDescent="0.25">
      <c r="N13" s="3" t="str">
        <f t="shared" si="0"/>
        <v/>
      </c>
      <c r="W13" s="3" t="str">
        <f t="shared" si="1"/>
        <v/>
      </c>
    </row>
    <row r="14" spans="1:26" x14ac:dyDescent="0.25">
      <c r="N14" s="3" t="str">
        <f t="shared" si="0"/>
        <v/>
      </c>
      <c r="W14" s="3" t="str">
        <f>N13&amp;G11</f>
        <v/>
      </c>
    </row>
    <row r="15" spans="1:26" x14ac:dyDescent="0.25">
      <c r="N15" s="3" t="str">
        <f t="shared" si="0"/>
        <v/>
      </c>
      <c r="W15" s="3" t="str">
        <f t="shared" si="1"/>
        <v/>
      </c>
    </row>
    <row r="16" spans="1:26" x14ac:dyDescent="0.25">
      <c r="N16" s="3" t="str">
        <f t="shared" si="0"/>
        <v/>
      </c>
      <c r="W16" s="3" t="str">
        <f t="shared" si="1"/>
        <v/>
      </c>
    </row>
    <row r="17" spans="14:23" x14ac:dyDescent="0.25">
      <c r="N17" s="3" t="str">
        <f t="shared" si="0"/>
        <v/>
      </c>
      <c r="W17" s="3" t="str">
        <f t="shared" si="1"/>
        <v/>
      </c>
    </row>
    <row r="18" spans="14:23" x14ac:dyDescent="0.25">
      <c r="N18" s="3" t="str">
        <f t="shared" si="0"/>
        <v/>
      </c>
      <c r="W18" s="3" t="str">
        <f t="shared" si="1"/>
        <v/>
      </c>
    </row>
    <row r="19" spans="14:23" x14ac:dyDescent="0.25">
      <c r="N19" s="3" t="str">
        <f t="shared" si="0"/>
        <v/>
      </c>
      <c r="W19" s="3" t="str">
        <f t="shared" si="1"/>
        <v/>
      </c>
    </row>
    <row r="20" spans="14:23" x14ac:dyDescent="0.25">
      <c r="N20" s="3" t="str">
        <f t="shared" si="0"/>
        <v/>
      </c>
      <c r="W20" s="3" t="str">
        <f t="shared" si="1"/>
        <v/>
      </c>
    </row>
    <row r="21" spans="14:23" x14ac:dyDescent="0.25">
      <c r="N21" s="3" t="str">
        <f t="shared" si="0"/>
        <v/>
      </c>
      <c r="W21" s="3" t="str">
        <f t="shared" si="1"/>
        <v/>
      </c>
    </row>
    <row r="22" spans="14:23" x14ac:dyDescent="0.25">
      <c r="N22" s="3" t="str">
        <f t="shared" si="0"/>
        <v/>
      </c>
      <c r="W22" s="3" t="str">
        <f t="shared" si="1"/>
        <v/>
      </c>
    </row>
    <row r="23" spans="14:23" x14ac:dyDescent="0.25">
      <c r="N23" s="3" t="str">
        <f t="shared" si="0"/>
        <v/>
      </c>
      <c r="W23" s="3" t="str">
        <f t="shared" si="1"/>
        <v/>
      </c>
    </row>
    <row r="24" spans="14:23" x14ac:dyDescent="0.25">
      <c r="N24" s="3" t="str">
        <f t="shared" si="0"/>
        <v/>
      </c>
      <c r="W24" s="3" t="str">
        <f t="shared" si="1"/>
        <v/>
      </c>
    </row>
    <row r="25" spans="14:23" x14ac:dyDescent="0.25">
      <c r="N25" s="3" t="str">
        <f t="shared" si="0"/>
        <v/>
      </c>
      <c r="W25" s="3" t="str">
        <f t="shared" si="1"/>
        <v/>
      </c>
    </row>
    <row r="26" spans="14:23" x14ac:dyDescent="0.25">
      <c r="N26" s="3" t="str">
        <f t="shared" si="0"/>
        <v/>
      </c>
      <c r="W26" s="3" t="str">
        <f t="shared" si="1"/>
        <v/>
      </c>
    </row>
    <row r="27" spans="14:23" x14ac:dyDescent="0.25">
      <c r="N27" s="3" t="str">
        <f t="shared" si="0"/>
        <v/>
      </c>
      <c r="W27" s="3" t="str">
        <f t="shared" si="1"/>
        <v/>
      </c>
    </row>
    <row r="28" spans="14:23" x14ac:dyDescent="0.25">
      <c r="N28" s="3" t="str">
        <f t="shared" si="0"/>
        <v/>
      </c>
      <c r="W28" s="3" t="str">
        <f t="shared" si="1"/>
        <v/>
      </c>
    </row>
    <row r="29" spans="14:23" x14ac:dyDescent="0.25">
      <c r="N29" s="3" t="str">
        <f t="shared" si="0"/>
        <v/>
      </c>
      <c r="W29" s="3" t="str">
        <f t="shared" si="1"/>
        <v/>
      </c>
    </row>
    <row r="30" spans="14:23" x14ac:dyDescent="0.25">
      <c r="N30" s="3" t="str">
        <f t="shared" si="0"/>
        <v/>
      </c>
      <c r="W30" s="3" t="str">
        <f t="shared" si="1"/>
        <v/>
      </c>
    </row>
    <row r="31" spans="14:23" x14ac:dyDescent="0.25">
      <c r="N31" s="3" t="str">
        <f t="shared" si="0"/>
        <v/>
      </c>
      <c r="W31" s="3" t="str">
        <f t="shared" si="1"/>
        <v/>
      </c>
    </row>
    <row r="32" spans="14:23" x14ac:dyDescent="0.25">
      <c r="N32" s="3" t="str">
        <f t="shared" si="0"/>
        <v/>
      </c>
      <c r="W32" s="3" t="str">
        <f t="shared" si="1"/>
        <v/>
      </c>
    </row>
    <row r="33" spans="14:23" x14ac:dyDescent="0.25">
      <c r="N33" s="3" t="str">
        <f t="shared" si="0"/>
        <v/>
      </c>
      <c r="W33" s="3" t="str">
        <f t="shared" si="1"/>
        <v/>
      </c>
    </row>
    <row r="34" spans="14:23" x14ac:dyDescent="0.25">
      <c r="N34" s="3" t="str">
        <f t="shared" si="0"/>
        <v/>
      </c>
      <c r="W34" s="3" t="str">
        <f t="shared" si="1"/>
        <v/>
      </c>
    </row>
    <row r="35" spans="14:23" x14ac:dyDescent="0.25">
      <c r="N35" s="3" t="str">
        <f t="shared" si="0"/>
        <v/>
      </c>
      <c r="W35" s="3" t="str">
        <f t="shared" si="1"/>
        <v/>
      </c>
    </row>
    <row r="36" spans="14:23" x14ac:dyDescent="0.25">
      <c r="N36" s="3" t="str">
        <f t="shared" si="0"/>
        <v/>
      </c>
      <c r="W36" s="3" t="str">
        <f t="shared" si="1"/>
        <v/>
      </c>
    </row>
    <row r="37" spans="14:23" x14ac:dyDescent="0.25">
      <c r="N37" s="3" t="str">
        <f t="shared" si="0"/>
        <v/>
      </c>
      <c r="W37" s="3" t="str">
        <f t="shared" ref="W37:W68" si="2">N36&amp;G34</f>
        <v/>
      </c>
    </row>
    <row r="38" spans="14:23" x14ac:dyDescent="0.25">
      <c r="N38" s="3" t="str">
        <f t="shared" si="0"/>
        <v/>
      </c>
      <c r="W38" s="3" t="str">
        <f t="shared" si="2"/>
        <v/>
      </c>
    </row>
    <row r="39" spans="14:23" x14ac:dyDescent="0.25">
      <c r="N39" s="3" t="str">
        <f t="shared" si="0"/>
        <v/>
      </c>
      <c r="W39" s="3" t="str">
        <f t="shared" si="2"/>
        <v/>
      </c>
    </row>
    <row r="40" spans="14:23" x14ac:dyDescent="0.25">
      <c r="N40" s="3" t="str">
        <f t="shared" si="0"/>
        <v/>
      </c>
      <c r="W40" s="3" t="str">
        <f t="shared" si="2"/>
        <v/>
      </c>
    </row>
    <row r="41" spans="14:23" x14ac:dyDescent="0.25">
      <c r="N41" s="3" t="str">
        <f t="shared" si="0"/>
        <v/>
      </c>
      <c r="W41" s="3" t="str">
        <f t="shared" si="2"/>
        <v/>
      </c>
    </row>
    <row r="42" spans="14:23" x14ac:dyDescent="0.25">
      <c r="N42" s="3" t="str">
        <f t="shared" si="0"/>
        <v/>
      </c>
      <c r="W42" s="3" t="str">
        <f t="shared" si="2"/>
        <v/>
      </c>
    </row>
    <row r="43" spans="14:23" x14ac:dyDescent="0.25">
      <c r="N43" s="3" t="str">
        <f t="shared" si="0"/>
        <v/>
      </c>
      <c r="W43" s="3" t="str">
        <f t="shared" si="2"/>
        <v/>
      </c>
    </row>
    <row r="44" spans="14:23" x14ac:dyDescent="0.25">
      <c r="N44" s="3" t="str">
        <f t="shared" si="0"/>
        <v/>
      </c>
      <c r="W44" s="3" t="str">
        <f t="shared" si="2"/>
        <v/>
      </c>
    </row>
    <row r="45" spans="14:23" x14ac:dyDescent="0.25">
      <c r="N45" s="3" t="str">
        <f t="shared" si="0"/>
        <v/>
      </c>
      <c r="W45" s="3" t="str">
        <f t="shared" si="2"/>
        <v/>
      </c>
    </row>
    <row r="46" spans="14:23" x14ac:dyDescent="0.25">
      <c r="N46" s="3" t="str">
        <f t="shared" si="0"/>
        <v/>
      </c>
      <c r="W46" s="3" t="str">
        <f t="shared" si="2"/>
        <v/>
      </c>
    </row>
    <row r="47" spans="14:23" x14ac:dyDescent="0.25">
      <c r="N47" s="3" t="str">
        <f t="shared" si="0"/>
        <v/>
      </c>
      <c r="W47" s="3" t="str">
        <f t="shared" si="2"/>
        <v/>
      </c>
    </row>
    <row r="48" spans="14:23" x14ac:dyDescent="0.25">
      <c r="N48" s="3" t="str">
        <f t="shared" si="0"/>
        <v/>
      </c>
      <c r="W48" s="3" t="str">
        <f t="shared" si="2"/>
        <v/>
      </c>
    </row>
    <row r="49" spans="14:23" x14ac:dyDescent="0.25">
      <c r="N49" s="3" t="str">
        <f t="shared" si="0"/>
        <v/>
      </c>
      <c r="W49" s="3" t="str">
        <f t="shared" si="2"/>
        <v/>
      </c>
    </row>
    <row r="50" spans="14:23" x14ac:dyDescent="0.25">
      <c r="N50" s="3" t="str">
        <f t="shared" si="0"/>
        <v/>
      </c>
      <c r="W50" s="3" t="str">
        <f t="shared" si="2"/>
        <v/>
      </c>
    </row>
    <row r="51" spans="14:23" x14ac:dyDescent="0.25">
      <c r="N51" s="3" t="str">
        <f t="shared" si="0"/>
        <v/>
      </c>
      <c r="W51" s="3" t="str">
        <f t="shared" si="2"/>
        <v/>
      </c>
    </row>
    <row r="52" spans="14:23" x14ac:dyDescent="0.25">
      <c r="N52" s="3" t="str">
        <f t="shared" si="0"/>
        <v/>
      </c>
      <c r="W52" s="3" t="str">
        <f t="shared" si="2"/>
        <v/>
      </c>
    </row>
    <row r="53" spans="14:23" x14ac:dyDescent="0.25">
      <c r="N53" s="3" t="str">
        <f t="shared" si="0"/>
        <v/>
      </c>
      <c r="W53" s="3" t="str">
        <f t="shared" si="2"/>
        <v/>
      </c>
    </row>
    <row r="54" spans="14:23" x14ac:dyDescent="0.25">
      <c r="N54" s="3" t="str">
        <f t="shared" si="0"/>
        <v/>
      </c>
      <c r="W54" s="3" t="str">
        <f t="shared" si="2"/>
        <v/>
      </c>
    </row>
    <row r="55" spans="14:23" x14ac:dyDescent="0.25">
      <c r="N55" s="3" t="str">
        <f t="shared" si="0"/>
        <v/>
      </c>
      <c r="W55" s="3" t="str">
        <f t="shared" si="2"/>
        <v/>
      </c>
    </row>
    <row r="56" spans="14:23" x14ac:dyDescent="0.25">
      <c r="N56" s="3" t="str">
        <f t="shared" si="0"/>
        <v/>
      </c>
      <c r="W56" s="3" t="str">
        <f t="shared" si="2"/>
        <v/>
      </c>
    </row>
    <row r="57" spans="14:23" x14ac:dyDescent="0.25">
      <c r="N57" s="3" t="str">
        <f t="shared" si="0"/>
        <v/>
      </c>
      <c r="W57" s="3" t="str">
        <f t="shared" si="2"/>
        <v/>
      </c>
    </row>
    <row r="58" spans="14:23" x14ac:dyDescent="0.25">
      <c r="N58" s="3" t="str">
        <f t="shared" si="0"/>
        <v/>
      </c>
      <c r="W58" s="3" t="str">
        <f t="shared" si="2"/>
        <v/>
      </c>
    </row>
    <row r="59" spans="14:23" x14ac:dyDescent="0.25">
      <c r="N59" s="3" t="str">
        <f t="shared" si="0"/>
        <v/>
      </c>
      <c r="W59" s="3" t="str">
        <f t="shared" si="2"/>
        <v/>
      </c>
    </row>
    <row r="60" spans="14:23" x14ac:dyDescent="0.25">
      <c r="N60" s="3" t="str">
        <f t="shared" si="0"/>
        <v/>
      </c>
      <c r="W60" s="3" t="str">
        <f t="shared" si="2"/>
        <v/>
      </c>
    </row>
    <row r="61" spans="14:23" x14ac:dyDescent="0.25">
      <c r="N61" s="3" t="str">
        <f t="shared" si="0"/>
        <v/>
      </c>
      <c r="W61" s="3" t="str">
        <f t="shared" si="2"/>
        <v/>
      </c>
    </row>
    <row r="62" spans="14:23" x14ac:dyDescent="0.25">
      <c r="N62" s="3" t="str">
        <f t="shared" si="0"/>
        <v/>
      </c>
      <c r="W62" s="3" t="str">
        <f t="shared" si="2"/>
        <v/>
      </c>
    </row>
    <row r="63" spans="14:23" x14ac:dyDescent="0.25">
      <c r="N63" s="3" t="str">
        <f t="shared" si="0"/>
        <v/>
      </c>
      <c r="W63" s="3" t="str">
        <f t="shared" si="2"/>
        <v/>
      </c>
    </row>
    <row r="64" spans="14:23" x14ac:dyDescent="0.25">
      <c r="N64" s="3" t="str">
        <f t="shared" si="0"/>
        <v/>
      </c>
      <c r="W64" s="3" t="str">
        <f t="shared" si="2"/>
        <v/>
      </c>
    </row>
    <row r="65" spans="14:23" x14ac:dyDescent="0.25">
      <c r="N65" s="3" t="str">
        <f t="shared" si="0"/>
        <v/>
      </c>
      <c r="W65" s="3" t="str">
        <f t="shared" si="2"/>
        <v/>
      </c>
    </row>
    <row r="66" spans="14:23" x14ac:dyDescent="0.25">
      <c r="N66" s="3" t="str">
        <f t="shared" si="0"/>
        <v/>
      </c>
      <c r="W66" s="3" t="str">
        <f t="shared" si="2"/>
        <v/>
      </c>
    </row>
    <row r="67" spans="14:23" x14ac:dyDescent="0.25">
      <c r="N67" s="3" t="str">
        <f t="shared" si="0"/>
        <v/>
      </c>
      <c r="W67" s="3" t="str">
        <f t="shared" si="2"/>
        <v/>
      </c>
    </row>
    <row r="68" spans="14:23" x14ac:dyDescent="0.25">
      <c r="N68" s="3" t="str">
        <f t="shared" si="0"/>
        <v/>
      </c>
      <c r="W68" s="3" t="str">
        <f t="shared" si="2"/>
        <v/>
      </c>
    </row>
    <row r="69" spans="14:23" x14ac:dyDescent="0.25">
      <c r="N69" s="3" t="str">
        <f t="shared" ref="N69:N100" si="3">IF(F67="","",_xlfn.XLOOKUP(F67,A:A,C:C,"",0))</f>
        <v/>
      </c>
      <c r="W69" s="3" t="str">
        <f t="shared" ref="W69:W100" si="4">N68&amp;G66</f>
        <v/>
      </c>
    </row>
    <row r="70" spans="14:23" x14ac:dyDescent="0.25">
      <c r="N70" s="3" t="str">
        <f t="shared" si="3"/>
        <v/>
      </c>
      <c r="W70" s="3" t="str">
        <f t="shared" si="4"/>
        <v/>
      </c>
    </row>
    <row r="71" spans="14:23" x14ac:dyDescent="0.25">
      <c r="N71" s="3" t="str">
        <f t="shared" si="3"/>
        <v/>
      </c>
      <c r="W71" s="3" t="str">
        <f t="shared" si="4"/>
        <v/>
      </c>
    </row>
    <row r="72" spans="14:23" x14ac:dyDescent="0.25">
      <c r="N72" s="3" t="str">
        <f t="shared" si="3"/>
        <v/>
      </c>
      <c r="W72" s="3" t="str">
        <f t="shared" si="4"/>
        <v/>
      </c>
    </row>
    <row r="73" spans="14:23" x14ac:dyDescent="0.25">
      <c r="N73" s="3" t="str">
        <f t="shared" si="3"/>
        <v/>
      </c>
      <c r="W73" s="3" t="str">
        <f t="shared" si="4"/>
        <v/>
      </c>
    </row>
    <row r="74" spans="14:23" x14ac:dyDescent="0.25">
      <c r="N74" s="3" t="str">
        <f t="shared" si="3"/>
        <v/>
      </c>
      <c r="W74" s="3" t="str">
        <f t="shared" si="4"/>
        <v/>
      </c>
    </row>
    <row r="75" spans="14:23" x14ac:dyDescent="0.25">
      <c r="N75" s="3" t="str">
        <f t="shared" si="3"/>
        <v/>
      </c>
      <c r="W75" s="3" t="str">
        <f t="shared" si="4"/>
        <v/>
      </c>
    </row>
    <row r="76" spans="14:23" x14ac:dyDescent="0.25">
      <c r="N76" s="3" t="str">
        <f t="shared" si="3"/>
        <v/>
      </c>
      <c r="W76" s="3" t="str">
        <f t="shared" si="4"/>
        <v/>
      </c>
    </row>
    <row r="77" spans="14:23" x14ac:dyDescent="0.25">
      <c r="N77" s="3" t="str">
        <f t="shared" si="3"/>
        <v/>
      </c>
      <c r="W77" s="3" t="str">
        <f t="shared" si="4"/>
        <v/>
      </c>
    </row>
    <row r="78" spans="14:23" x14ac:dyDescent="0.25">
      <c r="N78" s="3" t="str">
        <f t="shared" si="3"/>
        <v/>
      </c>
      <c r="W78" s="3" t="str">
        <f t="shared" si="4"/>
        <v/>
      </c>
    </row>
    <row r="79" spans="14:23" x14ac:dyDescent="0.25">
      <c r="N79" s="3" t="str">
        <f t="shared" si="3"/>
        <v/>
      </c>
      <c r="W79" s="3" t="str">
        <f t="shared" si="4"/>
        <v/>
      </c>
    </row>
    <row r="80" spans="14:23" x14ac:dyDescent="0.25">
      <c r="N80" s="3" t="str">
        <f t="shared" si="3"/>
        <v/>
      </c>
      <c r="W80" s="3" t="str">
        <f t="shared" si="4"/>
        <v/>
      </c>
    </row>
    <row r="81" spans="14:23" x14ac:dyDescent="0.25">
      <c r="N81" s="3" t="str">
        <f t="shared" si="3"/>
        <v/>
      </c>
      <c r="W81" s="3" t="str">
        <f t="shared" si="4"/>
        <v/>
      </c>
    </row>
    <row r="82" spans="14:23" x14ac:dyDescent="0.25">
      <c r="N82" s="3" t="str">
        <f t="shared" si="3"/>
        <v/>
      </c>
      <c r="W82" s="3" t="str">
        <f t="shared" si="4"/>
        <v/>
      </c>
    </row>
    <row r="83" spans="14:23" x14ac:dyDescent="0.25">
      <c r="N83" s="3" t="str">
        <f t="shared" si="3"/>
        <v/>
      </c>
      <c r="W83" s="3" t="str">
        <f t="shared" si="4"/>
        <v/>
      </c>
    </row>
    <row r="84" spans="14:23" x14ac:dyDescent="0.25">
      <c r="N84" s="3" t="str">
        <f t="shared" si="3"/>
        <v/>
      </c>
      <c r="W84" s="3" t="str">
        <f t="shared" si="4"/>
        <v/>
      </c>
    </row>
    <row r="85" spans="14:23" x14ac:dyDescent="0.25">
      <c r="N85" s="3" t="str">
        <f t="shared" si="3"/>
        <v/>
      </c>
      <c r="W85" s="3" t="str">
        <f t="shared" si="4"/>
        <v/>
      </c>
    </row>
    <row r="86" spans="14:23" x14ac:dyDescent="0.25">
      <c r="N86" s="3" t="str">
        <f t="shared" si="3"/>
        <v/>
      </c>
      <c r="W86" s="3" t="str">
        <f t="shared" si="4"/>
        <v/>
      </c>
    </row>
    <row r="87" spans="14:23" x14ac:dyDescent="0.25">
      <c r="N87" s="3" t="str">
        <f t="shared" si="3"/>
        <v/>
      </c>
      <c r="W87" s="3" t="str">
        <f t="shared" si="4"/>
        <v/>
      </c>
    </row>
    <row r="88" spans="14:23" x14ac:dyDescent="0.25">
      <c r="N88" s="3" t="str">
        <f t="shared" si="3"/>
        <v/>
      </c>
      <c r="W88" s="3" t="str">
        <f t="shared" si="4"/>
        <v/>
      </c>
    </row>
    <row r="89" spans="14:23" x14ac:dyDescent="0.25">
      <c r="N89" s="3" t="str">
        <f t="shared" si="3"/>
        <v/>
      </c>
      <c r="W89" s="3" t="str">
        <f t="shared" si="4"/>
        <v/>
      </c>
    </row>
    <row r="90" spans="14:23" x14ac:dyDescent="0.25">
      <c r="N90" s="3" t="str">
        <f t="shared" si="3"/>
        <v/>
      </c>
      <c r="W90" s="3" t="str">
        <f t="shared" si="4"/>
        <v/>
      </c>
    </row>
    <row r="91" spans="14:23" x14ac:dyDescent="0.25">
      <c r="N91" s="3" t="str">
        <f t="shared" si="3"/>
        <v/>
      </c>
      <c r="W91" s="3" t="str">
        <f t="shared" si="4"/>
        <v/>
      </c>
    </row>
    <row r="92" spans="14:23" x14ac:dyDescent="0.25">
      <c r="N92" s="3" t="str">
        <f t="shared" si="3"/>
        <v/>
      </c>
      <c r="W92" s="3" t="str">
        <f t="shared" si="4"/>
        <v/>
      </c>
    </row>
    <row r="93" spans="14:23" x14ac:dyDescent="0.25">
      <c r="N93" s="3" t="str">
        <f t="shared" si="3"/>
        <v/>
      </c>
      <c r="W93" s="3" t="str">
        <f t="shared" si="4"/>
        <v/>
      </c>
    </row>
    <row r="94" spans="14:23" x14ac:dyDescent="0.25">
      <c r="N94" s="3" t="str">
        <f t="shared" si="3"/>
        <v/>
      </c>
      <c r="W94" s="3" t="str">
        <f t="shared" si="4"/>
        <v/>
      </c>
    </row>
    <row r="95" spans="14:23" x14ac:dyDescent="0.25">
      <c r="N95" s="3" t="str">
        <f t="shared" si="3"/>
        <v/>
      </c>
      <c r="W95" s="3" t="str">
        <f t="shared" si="4"/>
        <v/>
      </c>
    </row>
    <row r="96" spans="14:23" x14ac:dyDescent="0.25">
      <c r="N96" s="3" t="str">
        <f t="shared" si="3"/>
        <v/>
      </c>
      <c r="W96" s="3" t="str">
        <f t="shared" si="4"/>
        <v/>
      </c>
    </row>
    <row r="97" spans="14:23" x14ac:dyDescent="0.25">
      <c r="N97" s="3" t="str">
        <f t="shared" si="3"/>
        <v/>
      </c>
      <c r="W97" s="3" t="str">
        <f t="shared" si="4"/>
        <v/>
      </c>
    </row>
    <row r="98" spans="14:23" x14ac:dyDescent="0.25">
      <c r="N98" s="3" t="str">
        <f t="shared" si="3"/>
        <v/>
      </c>
      <c r="W98" s="3" t="str">
        <f t="shared" si="4"/>
        <v/>
      </c>
    </row>
    <row r="99" spans="14:23" x14ac:dyDescent="0.25">
      <c r="N99" s="3" t="str">
        <f t="shared" si="3"/>
        <v/>
      </c>
      <c r="W99" s="3" t="str">
        <f t="shared" si="4"/>
        <v/>
      </c>
    </row>
    <row r="100" spans="14:23" x14ac:dyDescent="0.25">
      <c r="N100" s="3" t="str">
        <f t="shared" si="3"/>
        <v/>
      </c>
      <c r="W100" s="3" t="str">
        <f t="shared" si="4"/>
        <v/>
      </c>
    </row>
    <row r="101" spans="14:23" x14ac:dyDescent="0.25">
      <c r="W101" s="3" t="str">
        <f t="shared" ref="W101" si="5">N100&amp;G98</f>
        <v/>
      </c>
    </row>
  </sheetData>
  <mergeCells count="2">
    <mergeCell ref="M2:O3"/>
    <mergeCell ref="V2:X3"/>
  </mergeCells>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3FC72-F160-4035-A60B-750AC8BD7F1D}">
  <sheetPr codeName="Feuil6">
    <tabColor theme="8"/>
  </sheetPr>
  <dimension ref="A1:H11"/>
  <sheetViews>
    <sheetView workbookViewId="0">
      <selection activeCell="A18" sqref="A18"/>
    </sheetView>
  </sheetViews>
  <sheetFormatPr baseColWidth="10" defaultRowHeight="15" x14ac:dyDescent="0.25"/>
  <cols>
    <col min="1" max="1" width="87.85546875" bestFit="1" customWidth="1"/>
    <col min="3" max="3" width="119.85546875" customWidth="1"/>
  </cols>
  <sheetData>
    <row r="1" spans="1:8" ht="15.75" thickBot="1" x14ac:dyDescent="0.3"/>
    <row r="2" spans="1:8" s="40" customFormat="1" ht="37.5" x14ac:dyDescent="0.25">
      <c r="A2" s="42" t="s">
        <v>412</v>
      </c>
      <c r="B2" s="41"/>
      <c r="C2" s="42" t="s">
        <v>413</v>
      </c>
      <c r="D2" s="41"/>
      <c r="E2" s="41"/>
      <c r="F2" s="41"/>
      <c r="G2" s="41"/>
      <c r="H2" s="41"/>
    </row>
    <row r="3" spans="1:8" ht="15.75" x14ac:dyDescent="0.25">
      <c r="A3" s="43" t="s">
        <v>411</v>
      </c>
      <c r="C3" s="44" t="s">
        <v>414</v>
      </c>
    </row>
    <row r="4" spans="1:8" ht="15.75" thickBot="1" x14ac:dyDescent="0.3">
      <c r="A4" s="44" t="s">
        <v>408</v>
      </c>
      <c r="C4" s="45" t="s">
        <v>415</v>
      </c>
    </row>
    <row r="5" spans="1:8" ht="15.75" thickBot="1" x14ac:dyDescent="0.3">
      <c r="A5" s="45" t="s">
        <v>407</v>
      </c>
    </row>
    <row r="7" spans="1:8" ht="15.75" thickBot="1" x14ac:dyDescent="0.3"/>
    <row r="8" spans="1:8" ht="37.5" x14ac:dyDescent="0.25">
      <c r="A8" s="42" t="s">
        <v>416</v>
      </c>
      <c r="C8" s="42" t="s">
        <v>418</v>
      </c>
    </row>
    <row r="9" spans="1:8" x14ac:dyDescent="0.25">
      <c r="A9" s="44" t="s">
        <v>417</v>
      </c>
      <c r="C9" s="44" t="s">
        <v>419</v>
      </c>
    </row>
    <row r="10" spans="1:8" ht="15.75" thickBot="1" x14ac:dyDescent="0.3">
      <c r="A10" s="44" t="s">
        <v>409</v>
      </c>
      <c r="C10" s="45" t="s">
        <v>420</v>
      </c>
    </row>
    <row r="11" spans="1:8" ht="15.75" thickBot="1" x14ac:dyDescent="0.3">
      <c r="A11" s="45" t="s">
        <v>410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255B-5182-4720-857D-B7A019E0E059}">
  <sheetPr codeName="Feuil3"/>
  <dimension ref="A1:K1472"/>
  <sheetViews>
    <sheetView workbookViewId="0">
      <selection activeCell="E21" sqref="E21"/>
    </sheetView>
  </sheetViews>
  <sheetFormatPr baseColWidth="10" defaultRowHeight="15" x14ac:dyDescent="0.25"/>
  <cols>
    <col min="1" max="1" width="15.140625" bestFit="1" customWidth="1"/>
    <col min="2" max="2" width="15.28515625" bestFit="1" customWidth="1"/>
    <col min="3" max="3" width="8.85546875" bestFit="1" customWidth="1"/>
    <col min="4" max="4" width="14" bestFit="1" customWidth="1"/>
    <col min="5" max="5" width="9.28515625" bestFit="1" customWidth="1"/>
    <col min="6" max="6" width="14.42578125" bestFit="1" customWidth="1"/>
    <col min="7" max="7" width="11.7109375" bestFit="1" customWidth="1"/>
    <col min="8" max="8" width="27.85546875" bestFit="1" customWidth="1"/>
    <col min="9" max="9" width="16.85546875" bestFit="1" customWidth="1"/>
    <col min="10" max="10" width="81.140625" bestFit="1" customWidth="1"/>
    <col min="11" max="12" width="24.140625" bestFit="1" customWidth="1"/>
    <col min="13" max="14" width="9" bestFit="1" customWidth="1"/>
    <col min="15" max="15" width="24.140625" bestFit="1" customWidth="1"/>
    <col min="16" max="16" width="11.7109375" bestFit="1" customWidth="1"/>
  </cols>
  <sheetData>
    <row r="1" spans="1:11" x14ac:dyDescent="0.25">
      <c r="A1" t="s">
        <v>332</v>
      </c>
      <c r="B1" t="s">
        <v>356</v>
      </c>
      <c r="C1" t="s">
        <v>357</v>
      </c>
      <c r="D1" t="s">
        <v>333</v>
      </c>
      <c r="E1" t="s">
        <v>334</v>
      </c>
      <c r="F1" t="s">
        <v>335</v>
      </c>
      <c r="G1" t="s">
        <v>364</v>
      </c>
      <c r="H1" t="s">
        <v>338</v>
      </c>
      <c r="I1" t="s">
        <v>339</v>
      </c>
      <c r="J1" t="s">
        <v>346</v>
      </c>
      <c r="K1" t="s">
        <v>386</v>
      </c>
    </row>
    <row r="2" spans="1:11" x14ac:dyDescent="0.25">
      <c r="A2" s="2">
        <v>45839.427847222221</v>
      </c>
      <c r="B2" s="1" t="s">
        <v>347</v>
      </c>
      <c r="C2" s="1" t="s">
        <v>358</v>
      </c>
      <c r="D2" s="1" t="s">
        <v>10</v>
      </c>
      <c r="E2" s="1" t="s">
        <v>11</v>
      </c>
      <c r="F2" s="1" t="s">
        <v>12</v>
      </c>
      <c r="G2">
        <v>10.5</v>
      </c>
      <c r="H2">
        <v>0</v>
      </c>
      <c r="I2">
        <v>0</v>
      </c>
      <c r="J2" s="1" t="s">
        <v>13</v>
      </c>
      <c r="K2" s="1" t="s">
        <v>344</v>
      </c>
    </row>
    <row r="3" spans="1:11" x14ac:dyDescent="0.25">
      <c r="A3" s="2">
        <v>45839.427847222221</v>
      </c>
      <c r="B3" s="1" t="s">
        <v>347</v>
      </c>
      <c r="C3" s="1" t="s">
        <v>358</v>
      </c>
      <c r="D3" s="1" t="s">
        <v>10</v>
      </c>
      <c r="E3" s="1" t="s">
        <v>11</v>
      </c>
      <c r="F3" s="1" t="s">
        <v>12</v>
      </c>
      <c r="G3">
        <v>10.5</v>
      </c>
      <c r="H3">
        <v>0</v>
      </c>
      <c r="I3">
        <v>0</v>
      </c>
      <c r="J3" s="1" t="s">
        <v>13</v>
      </c>
      <c r="K3" s="1" t="s">
        <v>345</v>
      </c>
    </row>
    <row r="4" spans="1:11" x14ac:dyDescent="0.25">
      <c r="A4" s="2">
        <v>45839.592407407406</v>
      </c>
      <c r="B4" s="1" t="s">
        <v>348</v>
      </c>
      <c r="C4" s="1" t="s">
        <v>358</v>
      </c>
      <c r="D4" s="1" t="s">
        <v>10</v>
      </c>
      <c r="E4" s="1" t="s">
        <v>11</v>
      </c>
      <c r="F4" s="1" t="s">
        <v>12</v>
      </c>
      <c r="G4">
        <v>10.5</v>
      </c>
      <c r="H4">
        <v>1</v>
      </c>
      <c r="I4">
        <v>0</v>
      </c>
      <c r="J4" s="1"/>
      <c r="K4" s="1" t="s">
        <v>336</v>
      </c>
    </row>
    <row r="5" spans="1:11" x14ac:dyDescent="0.25">
      <c r="A5" s="2">
        <v>45839.592511574076</v>
      </c>
      <c r="B5" s="1" t="s">
        <v>348</v>
      </c>
      <c r="C5" s="1" t="s">
        <v>358</v>
      </c>
      <c r="D5" s="1" t="s">
        <v>10</v>
      </c>
      <c r="E5" s="1" t="s">
        <v>11</v>
      </c>
      <c r="F5" s="1" t="s">
        <v>12</v>
      </c>
      <c r="G5">
        <v>10.5</v>
      </c>
      <c r="H5">
        <v>1</v>
      </c>
      <c r="I5">
        <v>0</v>
      </c>
      <c r="J5" s="1"/>
      <c r="K5" s="1" t="s">
        <v>336</v>
      </c>
    </row>
    <row r="6" spans="1:11" x14ac:dyDescent="0.25">
      <c r="A6" s="2">
        <v>45839.592673611114</v>
      </c>
      <c r="B6" s="1" t="s">
        <v>348</v>
      </c>
      <c r="C6" s="1" t="s">
        <v>358</v>
      </c>
      <c r="D6" s="1" t="s">
        <v>10</v>
      </c>
      <c r="E6" s="1" t="s">
        <v>11</v>
      </c>
      <c r="F6" s="1" t="s">
        <v>12</v>
      </c>
      <c r="G6">
        <v>10.5</v>
      </c>
      <c r="H6">
        <v>0</v>
      </c>
      <c r="I6">
        <v>0</v>
      </c>
      <c r="J6" s="1"/>
      <c r="K6" s="1" t="s">
        <v>340</v>
      </c>
    </row>
    <row r="7" spans="1:11" x14ac:dyDescent="0.25">
      <c r="A7" s="2">
        <v>45839.592731481483</v>
      </c>
      <c r="B7" s="1" t="s">
        <v>348</v>
      </c>
      <c r="C7" s="1" t="s">
        <v>358</v>
      </c>
      <c r="D7" s="1" t="s">
        <v>10</v>
      </c>
      <c r="E7" s="1" t="s">
        <v>11</v>
      </c>
      <c r="F7" s="1" t="s">
        <v>14</v>
      </c>
      <c r="G7">
        <v>0.5</v>
      </c>
      <c r="H7">
        <v>0</v>
      </c>
      <c r="I7">
        <v>0</v>
      </c>
      <c r="J7" s="1"/>
      <c r="K7" s="1" t="s">
        <v>341</v>
      </c>
    </row>
    <row r="8" spans="1:11" x14ac:dyDescent="0.25">
      <c r="A8" s="2">
        <v>45839.592835648145</v>
      </c>
      <c r="B8" s="1" t="s">
        <v>348</v>
      </c>
      <c r="C8" s="1" t="s">
        <v>358</v>
      </c>
      <c r="D8" s="1" t="s">
        <v>10</v>
      </c>
      <c r="E8" s="1" t="s">
        <v>11</v>
      </c>
      <c r="F8" s="1" t="s">
        <v>15</v>
      </c>
      <c r="G8">
        <v>3</v>
      </c>
      <c r="H8">
        <v>0</v>
      </c>
      <c r="I8">
        <v>0</v>
      </c>
      <c r="J8" s="1"/>
      <c r="K8" s="1" t="s">
        <v>336</v>
      </c>
    </row>
    <row r="9" spans="1:11" x14ac:dyDescent="0.25">
      <c r="A9" s="2">
        <v>45839.592835648145</v>
      </c>
      <c r="B9" s="1" t="s">
        <v>348</v>
      </c>
      <c r="C9" s="1" t="s">
        <v>358</v>
      </c>
      <c r="D9" s="1" t="s">
        <v>10</v>
      </c>
      <c r="E9" s="1" t="s">
        <v>11</v>
      </c>
      <c r="F9" s="1" t="s">
        <v>15</v>
      </c>
      <c r="G9">
        <v>3</v>
      </c>
      <c r="H9">
        <v>0</v>
      </c>
      <c r="I9">
        <v>0</v>
      </c>
      <c r="J9" s="1"/>
      <c r="K9" s="1" t="s">
        <v>106</v>
      </c>
    </row>
    <row r="10" spans="1:11" x14ac:dyDescent="0.25">
      <c r="A10" s="2">
        <v>45839.622881944444</v>
      </c>
      <c r="B10" s="1" t="s">
        <v>348</v>
      </c>
      <c r="C10" s="1" t="s">
        <v>358</v>
      </c>
      <c r="D10" s="1" t="s">
        <v>10</v>
      </c>
      <c r="E10" s="1" t="s">
        <v>11</v>
      </c>
      <c r="F10" s="1" t="s">
        <v>14</v>
      </c>
      <c r="G10">
        <v>0.5</v>
      </c>
      <c r="H10">
        <v>0</v>
      </c>
      <c r="I10">
        <v>0</v>
      </c>
      <c r="J10" s="1"/>
      <c r="K10" s="1" t="s">
        <v>344</v>
      </c>
    </row>
    <row r="11" spans="1:11" x14ac:dyDescent="0.25">
      <c r="A11" s="2">
        <v>45839.622974537036</v>
      </c>
      <c r="B11" s="1" t="s">
        <v>348</v>
      </c>
      <c r="C11" s="1" t="s">
        <v>358</v>
      </c>
      <c r="D11" s="1" t="s">
        <v>10</v>
      </c>
      <c r="E11" s="1" t="s">
        <v>11</v>
      </c>
      <c r="F11" s="1" t="s">
        <v>15</v>
      </c>
      <c r="G11">
        <v>3</v>
      </c>
      <c r="H11">
        <v>1</v>
      </c>
      <c r="I11">
        <v>0</v>
      </c>
      <c r="J11" s="1"/>
      <c r="K11" s="1" t="s">
        <v>337</v>
      </c>
    </row>
    <row r="12" spans="1:11" x14ac:dyDescent="0.25">
      <c r="A12" s="2">
        <v>45839.623287037037</v>
      </c>
      <c r="B12" s="1" t="s">
        <v>348</v>
      </c>
      <c r="C12" s="1" t="s">
        <v>358</v>
      </c>
      <c r="D12" s="1" t="s">
        <v>10</v>
      </c>
      <c r="E12" s="1" t="s">
        <v>11</v>
      </c>
      <c r="F12" s="1" t="s">
        <v>15</v>
      </c>
      <c r="G12">
        <v>3</v>
      </c>
      <c r="H12">
        <v>1</v>
      </c>
      <c r="I12">
        <v>0</v>
      </c>
      <c r="J12" s="1" t="s">
        <v>16</v>
      </c>
      <c r="K12" s="1" t="s">
        <v>336</v>
      </c>
    </row>
    <row r="13" spans="1:11" x14ac:dyDescent="0.25">
      <c r="A13" s="2">
        <v>45839.623784722222</v>
      </c>
      <c r="B13" s="1" t="s">
        <v>348</v>
      </c>
      <c r="C13" s="1" t="s">
        <v>358</v>
      </c>
      <c r="D13" s="1" t="s">
        <v>10</v>
      </c>
      <c r="E13" s="1" t="s">
        <v>11</v>
      </c>
      <c r="F13" s="1" t="s">
        <v>15</v>
      </c>
      <c r="G13">
        <v>3</v>
      </c>
      <c r="H13">
        <v>1</v>
      </c>
      <c r="I13">
        <v>0</v>
      </c>
      <c r="J13" s="1"/>
      <c r="K13" s="1" t="s">
        <v>336</v>
      </c>
    </row>
    <row r="14" spans="1:11" x14ac:dyDescent="0.25">
      <c r="A14" s="2">
        <v>45839.661793981482</v>
      </c>
      <c r="B14" s="1" t="s">
        <v>349</v>
      </c>
      <c r="C14" s="1" t="s">
        <v>358</v>
      </c>
      <c r="D14" s="1" t="s">
        <v>10</v>
      </c>
      <c r="E14" s="1" t="s">
        <v>11</v>
      </c>
      <c r="F14" s="1" t="s">
        <v>15</v>
      </c>
      <c r="G14">
        <v>3</v>
      </c>
      <c r="H14">
        <v>0</v>
      </c>
      <c r="I14">
        <v>0</v>
      </c>
      <c r="J14" s="1"/>
      <c r="K14" s="1" t="s">
        <v>340</v>
      </c>
    </row>
    <row r="15" spans="1:11" x14ac:dyDescent="0.25">
      <c r="A15" s="2">
        <v>45839.662083333336</v>
      </c>
      <c r="B15" s="1" t="s">
        <v>349</v>
      </c>
      <c r="C15" s="1" t="s">
        <v>358</v>
      </c>
      <c r="D15" s="1" t="s">
        <v>10</v>
      </c>
      <c r="E15" s="1" t="s">
        <v>17</v>
      </c>
      <c r="F15" s="1" t="s">
        <v>15</v>
      </c>
      <c r="G15">
        <v>3</v>
      </c>
      <c r="H15">
        <v>0</v>
      </c>
      <c r="I15">
        <v>0</v>
      </c>
      <c r="J15" s="1"/>
      <c r="K15" s="1" t="s">
        <v>341</v>
      </c>
    </row>
    <row r="16" spans="1:11" x14ac:dyDescent="0.25">
      <c r="A16" s="2">
        <v>45840.421030092592</v>
      </c>
      <c r="B16" s="1" t="s">
        <v>347</v>
      </c>
      <c r="C16" s="1" t="s">
        <v>359</v>
      </c>
      <c r="D16" s="1" t="s">
        <v>10</v>
      </c>
      <c r="E16" s="1" t="s">
        <v>11</v>
      </c>
      <c r="F16" s="1" t="s">
        <v>18</v>
      </c>
      <c r="G16">
        <v>20</v>
      </c>
      <c r="H16">
        <v>1</v>
      </c>
      <c r="I16">
        <v>0</v>
      </c>
      <c r="J16" s="1"/>
      <c r="K16" s="1" t="s">
        <v>337</v>
      </c>
    </row>
    <row r="17" spans="1:11" x14ac:dyDescent="0.25">
      <c r="A17" s="2">
        <v>45840.421030092592</v>
      </c>
      <c r="B17" s="1" t="s">
        <v>347</v>
      </c>
      <c r="C17" s="1" t="s">
        <v>359</v>
      </c>
      <c r="D17" s="1" t="s">
        <v>10</v>
      </c>
      <c r="E17" s="1" t="s">
        <v>11</v>
      </c>
      <c r="F17" s="1" t="s">
        <v>18</v>
      </c>
      <c r="G17">
        <v>20</v>
      </c>
      <c r="H17">
        <v>1</v>
      </c>
      <c r="I17">
        <v>0</v>
      </c>
      <c r="J17" s="1"/>
      <c r="K17" s="1" t="s">
        <v>340</v>
      </c>
    </row>
    <row r="18" spans="1:11" x14ac:dyDescent="0.25">
      <c r="A18" s="2">
        <v>45840.421030092592</v>
      </c>
      <c r="B18" s="1" t="s">
        <v>347</v>
      </c>
      <c r="C18" s="1" t="s">
        <v>359</v>
      </c>
      <c r="D18" s="1" t="s">
        <v>10</v>
      </c>
      <c r="E18" s="1" t="s">
        <v>11</v>
      </c>
      <c r="F18" s="1" t="s">
        <v>18</v>
      </c>
      <c r="G18">
        <v>20</v>
      </c>
      <c r="H18">
        <v>1</v>
      </c>
      <c r="I18">
        <v>0</v>
      </c>
      <c r="J18" s="1"/>
      <c r="K18" s="1" t="s">
        <v>341</v>
      </c>
    </row>
    <row r="19" spans="1:11" x14ac:dyDescent="0.25">
      <c r="A19" s="2">
        <v>45840.421030092592</v>
      </c>
      <c r="B19" s="1" t="s">
        <v>347</v>
      </c>
      <c r="C19" s="1" t="s">
        <v>359</v>
      </c>
      <c r="D19" s="1" t="s">
        <v>10</v>
      </c>
      <c r="E19" s="1" t="s">
        <v>11</v>
      </c>
      <c r="F19" s="1" t="s">
        <v>18</v>
      </c>
      <c r="G19">
        <v>20</v>
      </c>
      <c r="H19">
        <v>1</v>
      </c>
      <c r="I19">
        <v>0</v>
      </c>
      <c r="J19" s="1"/>
      <c r="K19" s="1" t="s">
        <v>343</v>
      </c>
    </row>
    <row r="20" spans="1:11" x14ac:dyDescent="0.25">
      <c r="A20" s="2">
        <v>45840.421030092592</v>
      </c>
      <c r="B20" s="1" t="s">
        <v>347</v>
      </c>
      <c r="C20" s="1" t="s">
        <v>359</v>
      </c>
      <c r="D20" s="1" t="s">
        <v>10</v>
      </c>
      <c r="E20" s="1" t="s">
        <v>11</v>
      </c>
      <c r="F20" s="1" t="s">
        <v>18</v>
      </c>
      <c r="G20">
        <v>20</v>
      </c>
      <c r="H20">
        <v>1</v>
      </c>
      <c r="I20">
        <v>0</v>
      </c>
      <c r="J20" s="1"/>
      <c r="K20" s="1" t="s">
        <v>344</v>
      </c>
    </row>
    <row r="21" spans="1:11" x14ac:dyDescent="0.25">
      <c r="A21" s="2">
        <v>45840.522962962961</v>
      </c>
      <c r="B21" s="1" t="s">
        <v>350</v>
      </c>
      <c r="C21" s="1" t="s">
        <v>359</v>
      </c>
      <c r="D21" s="1" t="s">
        <v>10</v>
      </c>
      <c r="E21" s="1" t="s">
        <v>11</v>
      </c>
      <c r="F21" s="1" t="s">
        <v>14</v>
      </c>
      <c r="G21">
        <v>0.5</v>
      </c>
      <c r="H21">
        <v>0</v>
      </c>
      <c r="I21">
        <v>0</v>
      </c>
      <c r="J21" s="1"/>
      <c r="K21" s="1" t="s">
        <v>344</v>
      </c>
    </row>
    <row r="22" spans="1:11" x14ac:dyDescent="0.25">
      <c r="A22" s="2">
        <v>45840.525960648149</v>
      </c>
      <c r="B22" s="1" t="s">
        <v>350</v>
      </c>
      <c r="C22" s="1" t="s">
        <v>359</v>
      </c>
      <c r="D22" s="1" t="s">
        <v>10</v>
      </c>
      <c r="E22" s="1" t="s">
        <v>11</v>
      </c>
      <c r="F22" s="1" t="s">
        <v>14</v>
      </c>
      <c r="G22">
        <v>0.5</v>
      </c>
      <c r="H22">
        <v>0</v>
      </c>
      <c r="I22">
        <v>0</v>
      </c>
      <c r="J22" s="1"/>
      <c r="K22" s="1" t="s">
        <v>344</v>
      </c>
    </row>
    <row r="23" spans="1:11" x14ac:dyDescent="0.25">
      <c r="A23" s="2">
        <v>45840.547847222224</v>
      </c>
      <c r="B23" s="1" t="s">
        <v>351</v>
      </c>
      <c r="C23" s="1" t="s">
        <v>359</v>
      </c>
      <c r="D23" s="1" t="s">
        <v>10</v>
      </c>
      <c r="E23" s="1" t="s">
        <v>11</v>
      </c>
      <c r="F23" s="1" t="s">
        <v>12</v>
      </c>
      <c r="G23">
        <v>10.5</v>
      </c>
      <c r="H23">
        <v>0</v>
      </c>
      <c r="I23">
        <v>0</v>
      </c>
      <c r="J23" s="1" t="s">
        <v>19</v>
      </c>
      <c r="K23" s="1" t="s">
        <v>345</v>
      </c>
    </row>
    <row r="24" spans="1:11" x14ac:dyDescent="0.25">
      <c r="A24" s="2">
        <v>45840.574155092596</v>
      </c>
      <c r="B24" s="1" t="s">
        <v>351</v>
      </c>
      <c r="C24" s="1" t="s">
        <v>359</v>
      </c>
      <c r="D24" s="1" t="s">
        <v>10</v>
      </c>
      <c r="E24" s="1" t="s">
        <v>11</v>
      </c>
      <c r="F24" s="1" t="s">
        <v>15</v>
      </c>
      <c r="G24">
        <v>3</v>
      </c>
      <c r="H24">
        <v>0</v>
      </c>
      <c r="I24">
        <v>0</v>
      </c>
      <c r="J24" s="1"/>
      <c r="K24" s="1" t="s">
        <v>341</v>
      </c>
    </row>
    <row r="25" spans="1:11" x14ac:dyDescent="0.25">
      <c r="A25" s="2">
        <v>45840.618310185186</v>
      </c>
      <c r="B25" s="1" t="s">
        <v>348</v>
      </c>
      <c r="C25" s="1" t="s">
        <v>359</v>
      </c>
      <c r="D25" s="1" t="s">
        <v>10</v>
      </c>
      <c r="E25" s="1" t="s">
        <v>11</v>
      </c>
      <c r="F25" s="1" t="s">
        <v>15</v>
      </c>
      <c r="G25">
        <v>3</v>
      </c>
      <c r="H25">
        <v>0</v>
      </c>
      <c r="I25">
        <v>0</v>
      </c>
      <c r="J25" s="1"/>
      <c r="K25" s="1" t="s">
        <v>343</v>
      </c>
    </row>
    <row r="26" spans="1:11" x14ac:dyDescent="0.25">
      <c r="A26" s="2">
        <v>45840.618437500001</v>
      </c>
      <c r="B26" s="1" t="s">
        <v>348</v>
      </c>
      <c r="C26" s="1" t="s">
        <v>359</v>
      </c>
      <c r="D26" s="1" t="s">
        <v>10</v>
      </c>
      <c r="E26" s="1" t="s">
        <v>11</v>
      </c>
      <c r="F26" s="1" t="s">
        <v>14</v>
      </c>
      <c r="G26">
        <v>0.5</v>
      </c>
      <c r="H26">
        <v>0</v>
      </c>
      <c r="I26">
        <v>0</v>
      </c>
      <c r="J26" s="1"/>
      <c r="K26" s="1" t="s">
        <v>344</v>
      </c>
    </row>
    <row r="27" spans="1:11" x14ac:dyDescent="0.25">
      <c r="A27" s="2">
        <v>45840.618495370371</v>
      </c>
      <c r="B27" s="1" t="s">
        <v>348</v>
      </c>
      <c r="C27" s="1" t="s">
        <v>359</v>
      </c>
      <c r="D27" s="1" t="s">
        <v>10</v>
      </c>
      <c r="E27" s="1" t="s">
        <v>11</v>
      </c>
      <c r="F27" s="1" t="s">
        <v>15</v>
      </c>
      <c r="G27">
        <v>3</v>
      </c>
      <c r="H27">
        <v>0</v>
      </c>
      <c r="I27">
        <v>0</v>
      </c>
      <c r="J27" s="1"/>
      <c r="K27" s="1" t="s">
        <v>343</v>
      </c>
    </row>
    <row r="28" spans="1:11" x14ac:dyDescent="0.25">
      <c r="A28" s="2">
        <v>45841.379178240742</v>
      </c>
      <c r="B28" s="1" t="s">
        <v>352</v>
      </c>
      <c r="C28" s="1" t="s">
        <v>360</v>
      </c>
      <c r="D28" s="1" t="s">
        <v>10</v>
      </c>
      <c r="E28" s="1" t="s">
        <v>11</v>
      </c>
      <c r="F28" s="1" t="s">
        <v>14</v>
      </c>
      <c r="G28">
        <v>0.5</v>
      </c>
      <c r="H28">
        <v>0</v>
      </c>
      <c r="I28">
        <v>0</v>
      </c>
      <c r="J28" s="1"/>
      <c r="K28" s="1" t="s">
        <v>344</v>
      </c>
    </row>
    <row r="29" spans="1:11" x14ac:dyDescent="0.25">
      <c r="A29" s="2">
        <v>45841.547372685185</v>
      </c>
      <c r="B29" s="1" t="s">
        <v>351</v>
      </c>
      <c r="C29" s="1" t="s">
        <v>360</v>
      </c>
      <c r="D29" s="1" t="s">
        <v>10</v>
      </c>
      <c r="E29" s="1" t="s">
        <v>11</v>
      </c>
      <c r="F29" s="1" t="s">
        <v>18</v>
      </c>
      <c r="G29">
        <v>20</v>
      </c>
      <c r="H29">
        <v>1</v>
      </c>
      <c r="I29">
        <v>0</v>
      </c>
      <c r="J29" s="1"/>
      <c r="K29" s="1" t="s">
        <v>337</v>
      </c>
    </row>
    <row r="30" spans="1:11" x14ac:dyDescent="0.25">
      <c r="A30" s="2">
        <v>45841.547372685185</v>
      </c>
      <c r="B30" s="1" t="s">
        <v>351</v>
      </c>
      <c r="C30" s="1" t="s">
        <v>360</v>
      </c>
      <c r="D30" s="1" t="s">
        <v>10</v>
      </c>
      <c r="E30" s="1" t="s">
        <v>11</v>
      </c>
      <c r="F30" s="1" t="s">
        <v>18</v>
      </c>
      <c r="G30">
        <v>20</v>
      </c>
      <c r="H30">
        <v>1</v>
      </c>
      <c r="I30">
        <v>0</v>
      </c>
      <c r="J30" s="1"/>
      <c r="K30" s="1" t="s">
        <v>340</v>
      </c>
    </row>
    <row r="31" spans="1:11" x14ac:dyDescent="0.25">
      <c r="A31" s="2">
        <v>45841.613680555558</v>
      </c>
      <c r="B31" s="1" t="s">
        <v>348</v>
      </c>
      <c r="C31" s="1" t="s">
        <v>360</v>
      </c>
      <c r="D31" s="1" t="s">
        <v>20</v>
      </c>
      <c r="E31" s="1" t="s">
        <v>11</v>
      </c>
      <c r="F31" s="1" t="s">
        <v>12</v>
      </c>
      <c r="G31">
        <v>10.5</v>
      </c>
      <c r="H31">
        <v>1</v>
      </c>
      <c r="I31">
        <v>0</v>
      </c>
      <c r="J31" s="1" t="s">
        <v>21</v>
      </c>
      <c r="K31" s="1" t="s">
        <v>337</v>
      </c>
    </row>
    <row r="32" spans="1:11" x14ac:dyDescent="0.25">
      <c r="A32" s="2">
        <v>45841.613680555558</v>
      </c>
      <c r="B32" s="1" t="s">
        <v>348</v>
      </c>
      <c r="C32" s="1" t="s">
        <v>360</v>
      </c>
      <c r="D32" s="1" t="s">
        <v>20</v>
      </c>
      <c r="E32" s="1" t="s">
        <v>11</v>
      </c>
      <c r="F32" s="1" t="s">
        <v>12</v>
      </c>
      <c r="G32">
        <v>10.5</v>
      </c>
      <c r="H32">
        <v>1</v>
      </c>
      <c r="I32">
        <v>0</v>
      </c>
      <c r="J32" s="1" t="s">
        <v>21</v>
      </c>
      <c r="K32" s="1" t="s">
        <v>345</v>
      </c>
    </row>
    <row r="33" spans="1:11" x14ac:dyDescent="0.25">
      <c r="A33" s="2">
        <v>45841.686585648145</v>
      </c>
      <c r="B33" s="1" t="s">
        <v>353</v>
      </c>
      <c r="C33" s="1" t="s">
        <v>360</v>
      </c>
      <c r="D33" s="1" t="s">
        <v>10</v>
      </c>
      <c r="E33" s="1" t="s">
        <v>17</v>
      </c>
      <c r="F33" s="1" t="s">
        <v>15</v>
      </c>
      <c r="G33">
        <v>3</v>
      </c>
      <c r="H33">
        <v>0</v>
      </c>
      <c r="I33">
        <v>0</v>
      </c>
      <c r="J33" s="1"/>
      <c r="K33" s="1" t="s">
        <v>341</v>
      </c>
    </row>
    <row r="34" spans="1:11" x14ac:dyDescent="0.25">
      <c r="A34" s="2">
        <v>45841.686828703707</v>
      </c>
      <c r="B34" s="1" t="s">
        <v>353</v>
      </c>
      <c r="C34" s="1" t="s">
        <v>360</v>
      </c>
      <c r="D34" s="1" t="s">
        <v>10</v>
      </c>
      <c r="E34" s="1" t="s">
        <v>11</v>
      </c>
      <c r="F34" s="1" t="s">
        <v>15</v>
      </c>
      <c r="G34">
        <v>3</v>
      </c>
      <c r="H34">
        <v>0</v>
      </c>
      <c r="I34">
        <v>0</v>
      </c>
      <c r="J34" s="1"/>
      <c r="K34" s="1" t="s">
        <v>342</v>
      </c>
    </row>
    <row r="35" spans="1:11" x14ac:dyDescent="0.25">
      <c r="A35" s="2">
        <v>45842.406180555554</v>
      </c>
      <c r="B35" s="1" t="s">
        <v>352</v>
      </c>
      <c r="C35" s="1" t="s">
        <v>361</v>
      </c>
      <c r="D35" s="1" t="s">
        <v>10</v>
      </c>
      <c r="E35" s="1" t="s">
        <v>11</v>
      </c>
      <c r="F35" s="1" t="s">
        <v>12</v>
      </c>
      <c r="G35">
        <v>10.5</v>
      </c>
      <c r="H35">
        <v>0</v>
      </c>
      <c r="I35">
        <v>0</v>
      </c>
      <c r="J35" s="1"/>
      <c r="K35" s="1" t="s">
        <v>340</v>
      </c>
    </row>
    <row r="36" spans="1:11" x14ac:dyDescent="0.25">
      <c r="A36" s="2">
        <v>45842.409328703703</v>
      </c>
      <c r="B36" s="1" t="s">
        <v>352</v>
      </c>
      <c r="C36" s="1" t="s">
        <v>361</v>
      </c>
      <c r="D36" s="1" t="s">
        <v>20</v>
      </c>
      <c r="E36" s="1" t="s">
        <v>11</v>
      </c>
      <c r="F36" s="1" t="s">
        <v>12</v>
      </c>
      <c r="G36">
        <v>10.5</v>
      </c>
      <c r="H36">
        <v>0</v>
      </c>
      <c r="I36">
        <v>0</v>
      </c>
      <c r="J36" s="1"/>
      <c r="K36" s="1" t="s">
        <v>344</v>
      </c>
    </row>
    <row r="37" spans="1:11" x14ac:dyDescent="0.25">
      <c r="A37" s="2">
        <v>45842.416412037041</v>
      </c>
      <c r="B37" s="1" t="s">
        <v>352</v>
      </c>
      <c r="C37" s="1" t="s">
        <v>361</v>
      </c>
      <c r="D37" s="1" t="s">
        <v>10</v>
      </c>
      <c r="E37" s="1" t="s">
        <v>11</v>
      </c>
      <c r="F37" s="1" t="s">
        <v>15</v>
      </c>
      <c r="G37">
        <v>3</v>
      </c>
      <c r="H37">
        <v>0</v>
      </c>
      <c r="I37">
        <v>0</v>
      </c>
      <c r="J37" s="1"/>
      <c r="K37" s="1" t="s">
        <v>343</v>
      </c>
    </row>
    <row r="38" spans="1:11" x14ac:dyDescent="0.25">
      <c r="A38" s="2">
        <v>45842.425821759258</v>
      </c>
      <c r="B38" s="1" t="s">
        <v>347</v>
      </c>
      <c r="C38" s="1" t="s">
        <v>361</v>
      </c>
      <c r="D38" s="1" t="s">
        <v>10</v>
      </c>
      <c r="E38" s="1" t="s">
        <v>11</v>
      </c>
      <c r="F38" s="1" t="s">
        <v>15</v>
      </c>
      <c r="G38">
        <v>3</v>
      </c>
      <c r="H38">
        <v>0</v>
      </c>
      <c r="I38">
        <v>0</v>
      </c>
      <c r="J38" s="1"/>
      <c r="K38" s="1" t="s">
        <v>342</v>
      </c>
    </row>
    <row r="39" spans="1:11" x14ac:dyDescent="0.25">
      <c r="A39" s="2">
        <v>45842.425995370373</v>
      </c>
      <c r="B39" s="1" t="s">
        <v>347</v>
      </c>
      <c r="C39" s="1" t="s">
        <v>361</v>
      </c>
      <c r="D39" s="1" t="s">
        <v>10</v>
      </c>
      <c r="E39" s="1" t="s">
        <v>11</v>
      </c>
      <c r="F39" s="1" t="s">
        <v>14</v>
      </c>
      <c r="G39">
        <v>0.5</v>
      </c>
      <c r="H39">
        <v>0</v>
      </c>
      <c r="I39">
        <v>0</v>
      </c>
      <c r="J39" s="1"/>
      <c r="K39" s="1" t="s">
        <v>345</v>
      </c>
    </row>
    <row r="40" spans="1:11" x14ac:dyDescent="0.25">
      <c r="A40" s="2">
        <v>45842.466469907406</v>
      </c>
      <c r="B40" s="1" t="s">
        <v>354</v>
      </c>
      <c r="C40" s="1" t="s">
        <v>361</v>
      </c>
      <c r="D40" s="1" t="s">
        <v>10</v>
      </c>
      <c r="E40" s="1" t="s">
        <v>11</v>
      </c>
      <c r="F40" s="1" t="s">
        <v>12</v>
      </c>
      <c r="G40">
        <v>10.5</v>
      </c>
      <c r="H40">
        <v>0</v>
      </c>
      <c r="I40">
        <v>0</v>
      </c>
      <c r="J40" s="1"/>
      <c r="K40" s="1" t="s">
        <v>340</v>
      </c>
    </row>
    <row r="41" spans="1:11" x14ac:dyDescent="0.25">
      <c r="A41" s="2">
        <v>45842.467048611114</v>
      </c>
      <c r="B41" s="1" t="s">
        <v>354</v>
      </c>
      <c r="C41" s="1" t="s">
        <v>361</v>
      </c>
      <c r="D41" s="1" t="s">
        <v>10</v>
      </c>
      <c r="E41" s="1" t="s">
        <v>11</v>
      </c>
      <c r="F41" s="1" t="s">
        <v>12</v>
      </c>
      <c r="G41">
        <v>10.5</v>
      </c>
      <c r="H41">
        <v>0</v>
      </c>
      <c r="I41">
        <v>0</v>
      </c>
      <c r="J41" s="1"/>
      <c r="K41" s="1" t="s">
        <v>340</v>
      </c>
    </row>
    <row r="42" spans="1:11" x14ac:dyDescent="0.25">
      <c r="A42" s="2">
        <v>45842.467141203706</v>
      </c>
      <c r="B42" s="1" t="s">
        <v>354</v>
      </c>
      <c r="C42" s="1" t="s">
        <v>361</v>
      </c>
      <c r="D42" s="1" t="s">
        <v>10</v>
      </c>
      <c r="E42" s="1" t="s">
        <v>11</v>
      </c>
      <c r="F42" s="1" t="s">
        <v>15</v>
      </c>
      <c r="G42">
        <v>3</v>
      </c>
      <c r="H42">
        <v>0</v>
      </c>
      <c r="I42">
        <v>0</v>
      </c>
      <c r="J42" s="1"/>
      <c r="K42" s="1" t="s">
        <v>340</v>
      </c>
    </row>
    <row r="43" spans="1:11" x14ac:dyDescent="0.25">
      <c r="A43" s="2">
        <v>45842.467222222222</v>
      </c>
      <c r="B43" s="1" t="s">
        <v>354</v>
      </c>
      <c r="C43" s="1" t="s">
        <v>361</v>
      </c>
      <c r="D43" s="1" t="s">
        <v>10</v>
      </c>
      <c r="E43" s="1" t="s">
        <v>11</v>
      </c>
      <c r="F43" s="1" t="s">
        <v>14</v>
      </c>
      <c r="G43">
        <v>0.5</v>
      </c>
      <c r="H43">
        <v>0</v>
      </c>
      <c r="I43">
        <v>0</v>
      </c>
      <c r="J43" s="1"/>
      <c r="K43" s="1" t="s">
        <v>342</v>
      </c>
    </row>
    <row r="44" spans="1:11" x14ac:dyDescent="0.25">
      <c r="A44" s="2">
        <v>45842.501469907409</v>
      </c>
      <c r="B44" s="1" t="s">
        <v>350</v>
      </c>
      <c r="C44" s="1" t="s">
        <v>361</v>
      </c>
      <c r="D44" s="1" t="s">
        <v>10</v>
      </c>
      <c r="E44" s="1" t="s">
        <v>11</v>
      </c>
      <c r="F44" s="1" t="s">
        <v>18</v>
      </c>
      <c r="G44">
        <v>20</v>
      </c>
      <c r="H44">
        <v>0</v>
      </c>
      <c r="I44">
        <v>0</v>
      </c>
      <c r="J44" s="1"/>
      <c r="K44" s="1" t="s">
        <v>337</v>
      </c>
    </row>
    <row r="45" spans="1:11" x14ac:dyDescent="0.25">
      <c r="A45" s="2">
        <v>45842.501469907409</v>
      </c>
      <c r="B45" s="1" t="s">
        <v>350</v>
      </c>
      <c r="C45" s="1" t="s">
        <v>361</v>
      </c>
      <c r="D45" s="1" t="s">
        <v>10</v>
      </c>
      <c r="E45" s="1" t="s">
        <v>11</v>
      </c>
      <c r="F45" s="1" t="s">
        <v>18</v>
      </c>
      <c r="G45">
        <v>20</v>
      </c>
      <c r="H45">
        <v>0</v>
      </c>
      <c r="I45">
        <v>0</v>
      </c>
      <c r="J45" s="1"/>
      <c r="K45" s="1" t="s">
        <v>106</v>
      </c>
    </row>
    <row r="46" spans="1:11" x14ac:dyDescent="0.25">
      <c r="A46" s="2">
        <v>45842.501469907409</v>
      </c>
      <c r="B46" s="1" t="s">
        <v>350</v>
      </c>
      <c r="C46" s="1" t="s">
        <v>361</v>
      </c>
      <c r="D46" s="1" t="s">
        <v>10</v>
      </c>
      <c r="E46" s="1" t="s">
        <v>11</v>
      </c>
      <c r="F46" s="1" t="s">
        <v>18</v>
      </c>
      <c r="G46">
        <v>20</v>
      </c>
      <c r="H46">
        <v>0</v>
      </c>
      <c r="I46">
        <v>0</v>
      </c>
      <c r="J46" s="1"/>
      <c r="K46" s="1" t="s">
        <v>343</v>
      </c>
    </row>
    <row r="47" spans="1:11" x14ac:dyDescent="0.25">
      <c r="A47" s="2">
        <v>45842.580081018517</v>
      </c>
      <c r="B47" s="1" t="s">
        <v>351</v>
      </c>
      <c r="C47" s="1" t="s">
        <v>361</v>
      </c>
      <c r="D47" s="1" t="s">
        <v>10</v>
      </c>
      <c r="E47" s="1" t="s">
        <v>11</v>
      </c>
      <c r="F47" s="1" t="s">
        <v>15</v>
      </c>
      <c r="G47">
        <v>3</v>
      </c>
      <c r="H47">
        <v>1</v>
      </c>
      <c r="I47">
        <v>0</v>
      </c>
      <c r="J47" s="1"/>
      <c r="K47" s="1" t="s">
        <v>336</v>
      </c>
    </row>
    <row r="48" spans="1:11" x14ac:dyDescent="0.25">
      <c r="A48" s="2">
        <v>45842.656354166669</v>
      </c>
      <c r="B48" s="1" t="s">
        <v>349</v>
      </c>
      <c r="C48" s="1" t="s">
        <v>361</v>
      </c>
      <c r="D48" s="1" t="s">
        <v>10</v>
      </c>
      <c r="E48" s="1" t="s">
        <v>11</v>
      </c>
      <c r="F48" s="1" t="s">
        <v>15</v>
      </c>
      <c r="G48">
        <v>3</v>
      </c>
      <c r="H48">
        <v>0</v>
      </c>
      <c r="I48">
        <v>0</v>
      </c>
      <c r="J48" s="1"/>
      <c r="K48" s="1" t="s">
        <v>336</v>
      </c>
    </row>
    <row r="49" spans="1:11" x14ac:dyDescent="0.25">
      <c r="A49" s="2">
        <v>45842.665902777779</v>
      </c>
      <c r="B49" s="1" t="s">
        <v>349</v>
      </c>
      <c r="C49" s="1" t="s">
        <v>361</v>
      </c>
      <c r="D49" s="1" t="s">
        <v>10</v>
      </c>
      <c r="E49" s="1" t="s">
        <v>11</v>
      </c>
      <c r="F49" s="1" t="s">
        <v>15</v>
      </c>
      <c r="G49">
        <v>3</v>
      </c>
      <c r="H49">
        <v>1</v>
      </c>
      <c r="I49">
        <v>1</v>
      </c>
      <c r="J49" s="1" t="s">
        <v>22</v>
      </c>
      <c r="K49" s="1" t="s">
        <v>337</v>
      </c>
    </row>
    <row r="50" spans="1:11" x14ac:dyDescent="0.25">
      <c r="A50" s="2">
        <v>45843.444108796299</v>
      </c>
      <c r="B50" s="1" t="s">
        <v>347</v>
      </c>
      <c r="C50" s="1" t="s">
        <v>362</v>
      </c>
      <c r="D50" s="1" t="s">
        <v>10</v>
      </c>
      <c r="E50" s="1" t="s">
        <v>11</v>
      </c>
      <c r="F50" s="1" t="s">
        <v>15</v>
      </c>
      <c r="G50">
        <v>3</v>
      </c>
      <c r="H50">
        <v>0</v>
      </c>
      <c r="I50">
        <v>0</v>
      </c>
      <c r="J50" s="1"/>
      <c r="K50" s="1" t="s">
        <v>342</v>
      </c>
    </row>
    <row r="51" spans="1:11" x14ac:dyDescent="0.25">
      <c r="A51" s="2">
        <v>45843.444189814814</v>
      </c>
      <c r="B51" s="1" t="s">
        <v>347</v>
      </c>
      <c r="C51" s="1" t="s">
        <v>362</v>
      </c>
      <c r="D51" s="1" t="s">
        <v>10</v>
      </c>
      <c r="E51" s="1" t="s">
        <v>11</v>
      </c>
      <c r="F51" s="1" t="s">
        <v>14</v>
      </c>
      <c r="G51">
        <v>0.5</v>
      </c>
      <c r="H51">
        <v>0</v>
      </c>
      <c r="I51">
        <v>0</v>
      </c>
      <c r="J51" s="1" t="s">
        <v>23</v>
      </c>
      <c r="K51" s="1" t="s">
        <v>344</v>
      </c>
    </row>
    <row r="52" spans="1:11" x14ac:dyDescent="0.25">
      <c r="A52" s="2">
        <v>45843.473877314813</v>
      </c>
      <c r="B52" s="1" t="s">
        <v>354</v>
      </c>
      <c r="C52" s="1" t="s">
        <v>362</v>
      </c>
      <c r="D52" s="1" t="s">
        <v>10</v>
      </c>
      <c r="E52" s="1" t="s">
        <v>11</v>
      </c>
      <c r="F52" s="1" t="s">
        <v>14</v>
      </c>
      <c r="G52">
        <v>0.5</v>
      </c>
      <c r="H52">
        <v>0</v>
      </c>
      <c r="I52">
        <v>0</v>
      </c>
      <c r="J52" s="1"/>
      <c r="K52" s="1" t="s">
        <v>344</v>
      </c>
    </row>
    <row r="53" spans="1:11" x14ac:dyDescent="0.25">
      <c r="A53" s="2">
        <v>45843.477094907408</v>
      </c>
      <c r="B53" s="1" t="s">
        <v>354</v>
      </c>
      <c r="C53" s="1" t="s">
        <v>362</v>
      </c>
      <c r="D53" s="1" t="s">
        <v>10</v>
      </c>
      <c r="E53" s="1" t="s">
        <v>11</v>
      </c>
      <c r="F53" s="1" t="s">
        <v>14</v>
      </c>
      <c r="G53">
        <v>0.5</v>
      </c>
      <c r="H53">
        <v>0</v>
      </c>
      <c r="I53">
        <v>0</v>
      </c>
      <c r="J53" s="1"/>
      <c r="K53" s="1" t="s">
        <v>344</v>
      </c>
    </row>
    <row r="54" spans="1:11" x14ac:dyDescent="0.25">
      <c r="A54" s="2">
        <v>45843.492291666669</v>
      </c>
      <c r="B54" s="1" t="s">
        <v>354</v>
      </c>
      <c r="C54" s="1" t="s">
        <v>362</v>
      </c>
      <c r="D54" s="1" t="s">
        <v>10</v>
      </c>
      <c r="E54" s="1" t="s">
        <v>11</v>
      </c>
      <c r="F54" s="1" t="s">
        <v>14</v>
      </c>
      <c r="G54">
        <v>0.5</v>
      </c>
      <c r="H54">
        <v>0</v>
      </c>
      <c r="I54">
        <v>0</v>
      </c>
      <c r="J54" s="1"/>
      <c r="K54" s="1" t="s">
        <v>343</v>
      </c>
    </row>
    <row r="55" spans="1:11" x14ac:dyDescent="0.25">
      <c r="A55" s="2">
        <v>45843.500486111108</v>
      </c>
      <c r="B55" s="1" t="s">
        <v>350</v>
      </c>
      <c r="C55" s="1" t="s">
        <v>362</v>
      </c>
      <c r="D55" s="1" t="s">
        <v>10</v>
      </c>
      <c r="E55" s="1" t="s">
        <v>11</v>
      </c>
      <c r="F55" s="1" t="s">
        <v>12</v>
      </c>
      <c r="G55">
        <v>10.5</v>
      </c>
      <c r="H55">
        <v>0</v>
      </c>
      <c r="I55">
        <v>0</v>
      </c>
      <c r="J55" s="1"/>
      <c r="K55" s="1" t="s">
        <v>340</v>
      </c>
    </row>
    <row r="56" spans="1:11" x14ac:dyDescent="0.25">
      <c r="A56" s="2">
        <v>45846.562685185185</v>
      </c>
      <c r="B56" s="1" t="s">
        <v>351</v>
      </c>
      <c r="C56" s="1" t="s">
        <v>358</v>
      </c>
      <c r="D56" s="1" t="s">
        <v>10</v>
      </c>
      <c r="E56" s="1" t="s">
        <v>11</v>
      </c>
      <c r="F56" s="1" t="s">
        <v>15</v>
      </c>
      <c r="G56">
        <v>3</v>
      </c>
      <c r="H56">
        <v>0</v>
      </c>
      <c r="I56">
        <v>1</v>
      </c>
      <c r="J56" s="1" t="s">
        <v>24</v>
      </c>
      <c r="K56" s="1" t="s">
        <v>336</v>
      </c>
    </row>
    <row r="57" spans="1:11" x14ac:dyDescent="0.25">
      <c r="A57" s="2">
        <v>45846.563252314816</v>
      </c>
      <c r="B57" s="1" t="s">
        <v>351</v>
      </c>
      <c r="C57" s="1" t="s">
        <v>358</v>
      </c>
      <c r="D57" s="1" t="s">
        <v>10</v>
      </c>
      <c r="E57" s="1" t="s">
        <v>11</v>
      </c>
      <c r="F57" s="1" t="s">
        <v>14</v>
      </c>
      <c r="G57">
        <v>0.5</v>
      </c>
      <c r="H57">
        <v>0</v>
      </c>
      <c r="I57">
        <v>0</v>
      </c>
      <c r="J57" s="1"/>
      <c r="K57" s="1" t="s">
        <v>341</v>
      </c>
    </row>
    <row r="58" spans="1:11" x14ac:dyDescent="0.25">
      <c r="A58" s="2">
        <v>45846.574444444443</v>
      </c>
      <c r="B58" s="1" t="s">
        <v>351</v>
      </c>
      <c r="C58" s="1" t="s">
        <v>358</v>
      </c>
      <c r="D58" s="1" t="s">
        <v>10</v>
      </c>
      <c r="E58" s="1" t="s">
        <v>11</v>
      </c>
      <c r="F58" s="1" t="s">
        <v>12</v>
      </c>
      <c r="G58">
        <v>10.5</v>
      </c>
      <c r="H58">
        <v>0</v>
      </c>
      <c r="I58">
        <v>0</v>
      </c>
      <c r="J58" s="1"/>
      <c r="K58" s="1" t="s">
        <v>342</v>
      </c>
    </row>
    <row r="59" spans="1:11" x14ac:dyDescent="0.25">
      <c r="A59" s="2">
        <v>45846.574513888889</v>
      </c>
      <c r="B59" s="1" t="s">
        <v>351</v>
      </c>
      <c r="C59" s="1" t="s">
        <v>358</v>
      </c>
      <c r="D59" s="1" t="s">
        <v>10</v>
      </c>
      <c r="E59" s="1" t="s">
        <v>11</v>
      </c>
      <c r="F59" s="1" t="s">
        <v>15</v>
      </c>
      <c r="G59">
        <v>3</v>
      </c>
      <c r="H59">
        <v>1</v>
      </c>
      <c r="I59">
        <v>0</v>
      </c>
      <c r="J59" s="1"/>
      <c r="K59" s="1" t="s">
        <v>336</v>
      </c>
    </row>
    <row r="60" spans="1:11" x14ac:dyDescent="0.25">
      <c r="A60" s="2">
        <v>45846.598680555559</v>
      </c>
      <c r="B60" s="1" t="s">
        <v>348</v>
      </c>
      <c r="C60" s="1" t="s">
        <v>358</v>
      </c>
      <c r="D60" s="1" t="s">
        <v>10</v>
      </c>
      <c r="E60" s="1" t="s">
        <v>11</v>
      </c>
      <c r="F60" s="1" t="s">
        <v>18</v>
      </c>
      <c r="G60">
        <v>20</v>
      </c>
      <c r="H60">
        <v>1</v>
      </c>
      <c r="I60">
        <v>0</v>
      </c>
      <c r="J60" s="1" t="s">
        <v>25</v>
      </c>
      <c r="K60" s="1" t="s">
        <v>336</v>
      </c>
    </row>
    <row r="61" spans="1:11" x14ac:dyDescent="0.25">
      <c r="A61" s="2">
        <v>45846.609363425923</v>
      </c>
      <c r="B61" s="1" t="s">
        <v>348</v>
      </c>
      <c r="C61" s="1" t="s">
        <v>358</v>
      </c>
      <c r="D61" s="1" t="s">
        <v>10</v>
      </c>
      <c r="E61" s="1" t="s">
        <v>17</v>
      </c>
      <c r="F61" s="1" t="s">
        <v>14</v>
      </c>
      <c r="G61">
        <v>0.5</v>
      </c>
      <c r="H61">
        <v>0</v>
      </c>
      <c r="I61">
        <v>0</v>
      </c>
      <c r="J61" s="1" t="s">
        <v>26</v>
      </c>
      <c r="K61" s="1" t="s">
        <v>345</v>
      </c>
    </row>
    <row r="62" spans="1:11" x14ac:dyDescent="0.25">
      <c r="A62" s="2">
        <v>45846.6096875</v>
      </c>
      <c r="B62" s="1" t="s">
        <v>348</v>
      </c>
      <c r="C62" s="1" t="s">
        <v>358</v>
      </c>
      <c r="D62" s="1" t="s">
        <v>10</v>
      </c>
      <c r="E62" s="1" t="s">
        <v>11</v>
      </c>
      <c r="F62" s="1" t="s">
        <v>12</v>
      </c>
      <c r="G62">
        <v>10.5</v>
      </c>
      <c r="H62">
        <v>0</v>
      </c>
      <c r="I62">
        <v>0</v>
      </c>
      <c r="J62" s="1"/>
      <c r="K62" s="1" t="s">
        <v>340</v>
      </c>
    </row>
    <row r="63" spans="1:11" x14ac:dyDescent="0.25">
      <c r="A63" s="2">
        <v>45846.725983796299</v>
      </c>
      <c r="B63" s="1" t="s">
        <v>355</v>
      </c>
      <c r="C63" s="1" t="s">
        <v>358</v>
      </c>
      <c r="D63" s="1" t="s">
        <v>10</v>
      </c>
      <c r="E63" s="1" t="s">
        <v>17</v>
      </c>
      <c r="F63" s="1" t="s">
        <v>15</v>
      </c>
      <c r="G63">
        <v>3</v>
      </c>
      <c r="H63">
        <v>0</v>
      </c>
      <c r="I63">
        <v>0</v>
      </c>
      <c r="J63" s="1"/>
      <c r="K63" s="1" t="s">
        <v>342</v>
      </c>
    </row>
    <row r="64" spans="1:11" x14ac:dyDescent="0.25">
      <c r="A64" s="2">
        <v>45846.726238425923</v>
      </c>
      <c r="B64" s="1" t="s">
        <v>355</v>
      </c>
      <c r="C64" s="1" t="s">
        <v>358</v>
      </c>
      <c r="D64" s="1" t="s">
        <v>10</v>
      </c>
      <c r="E64" s="1" t="s">
        <v>11</v>
      </c>
      <c r="F64" s="1" t="s">
        <v>14</v>
      </c>
      <c r="G64">
        <v>0.5</v>
      </c>
      <c r="H64">
        <v>0</v>
      </c>
      <c r="I64">
        <v>0</v>
      </c>
      <c r="J64" s="1"/>
      <c r="K64" s="1" t="s">
        <v>345</v>
      </c>
    </row>
    <row r="65" spans="1:11" x14ac:dyDescent="0.25">
      <c r="A65" s="2">
        <v>45846.726446759261</v>
      </c>
      <c r="B65" s="1" t="s">
        <v>355</v>
      </c>
      <c r="C65" s="1" t="s">
        <v>358</v>
      </c>
      <c r="D65" s="1" t="s">
        <v>10</v>
      </c>
      <c r="E65" s="1" t="s">
        <v>11</v>
      </c>
      <c r="F65" s="1" t="s">
        <v>14</v>
      </c>
      <c r="G65">
        <v>0.5</v>
      </c>
      <c r="H65">
        <v>0</v>
      </c>
      <c r="I65">
        <v>0</v>
      </c>
      <c r="J65" s="1"/>
      <c r="K65" s="1" t="s">
        <v>343</v>
      </c>
    </row>
    <row r="66" spans="1:11" x14ac:dyDescent="0.25">
      <c r="A66" s="2">
        <v>45847.504884259259</v>
      </c>
      <c r="B66" s="1" t="s">
        <v>350</v>
      </c>
      <c r="C66" s="1" t="s">
        <v>359</v>
      </c>
      <c r="D66" s="1" t="s">
        <v>10</v>
      </c>
      <c r="E66" s="1" t="s">
        <v>11</v>
      </c>
      <c r="F66" s="1" t="s">
        <v>15</v>
      </c>
      <c r="G66">
        <v>3</v>
      </c>
      <c r="H66">
        <v>0</v>
      </c>
      <c r="I66">
        <v>0</v>
      </c>
      <c r="J66" s="1"/>
      <c r="K66" s="1" t="s">
        <v>106</v>
      </c>
    </row>
    <row r="67" spans="1:11" x14ac:dyDescent="0.25">
      <c r="A67" s="2">
        <v>45847.536076388889</v>
      </c>
      <c r="B67" s="1" t="s">
        <v>350</v>
      </c>
      <c r="C67" s="1" t="s">
        <v>359</v>
      </c>
      <c r="D67" s="1" t="s">
        <v>10</v>
      </c>
      <c r="E67" s="1" t="s">
        <v>27</v>
      </c>
      <c r="F67" s="1" t="s">
        <v>18</v>
      </c>
      <c r="G67">
        <v>20</v>
      </c>
      <c r="H67">
        <v>0</v>
      </c>
      <c r="I67">
        <v>0</v>
      </c>
      <c r="J67" s="1" t="s">
        <v>28</v>
      </c>
      <c r="K67" s="1" t="s">
        <v>343</v>
      </c>
    </row>
    <row r="68" spans="1:11" x14ac:dyDescent="0.25">
      <c r="A68" s="2">
        <v>45847.536076388889</v>
      </c>
      <c r="B68" s="1" t="s">
        <v>350</v>
      </c>
      <c r="C68" s="1" t="s">
        <v>359</v>
      </c>
      <c r="D68" s="1" t="s">
        <v>10</v>
      </c>
      <c r="E68" s="1" t="s">
        <v>27</v>
      </c>
      <c r="F68" s="1" t="s">
        <v>18</v>
      </c>
      <c r="G68">
        <v>20</v>
      </c>
      <c r="H68">
        <v>0</v>
      </c>
      <c r="I68">
        <v>0</v>
      </c>
      <c r="J68" s="1" t="s">
        <v>28</v>
      </c>
      <c r="K68" s="1" t="s">
        <v>344</v>
      </c>
    </row>
    <row r="69" spans="1:11" x14ac:dyDescent="0.25">
      <c r="A69" s="2">
        <v>45847.536076388889</v>
      </c>
      <c r="B69" s="1" t="s">
        <v>350</v>
      </c>
      <c r="C69" s="1" t="s">
        <v>359</v>
      </c>
      <c r="D69" s="1" t="s">
        <v>10</v>
      </c>
      <c r="E69" s="1" t="s">
        <v>27</v>
      </c>
      <c r="F69" s="1" t="s">
        <v>18</v>
      </c>
      <c r="G69">
        <v>20</v>
      </c>
      <c r="H69">
        <v>0</v>
      </c>
      <c r="I69">
        <v>0</v>
      </c>
      <c r="J69" s="1" t="s">
        <v>28</v>
      </c>
      <c r="K69" s="1" t="s">
        <v>345</v>
      </c>
    </row>
    <row r="70" spans="1:11" x14ac:dyDescent="0.25">
      <c r="A70" s="2">
        <v>45847.536643518521</v>
      </c>
      <c r="B70" s="1" t="s">
        <v>350</v>
      </c>
      <c r="C70" s="1" t="s">
        <v>359</v>
      </c>
      <c r="D70" s="1" t="s">
        <v>10</v>
      </c>
      <c r="E70" s="1" t="s">
        <v>17</v>
      </c>
      <c r="F70" s="1" t="s">
        <v>12</v>
      </c>
      <c r="G70">
        <v>10.5</v>
      </c>
      <c r="H70">
        <v>1</v>
      </c>
      <c r="I70">
        <v>0</v>
      </c>
      <c r="J70" s="1" t="s">
        <v>29</v>
      </c>
      <c r="K70" s="1" t="s">
        <v>337</v>
      </c>
    </row>
    <row r="71" spans="1:11" x14ac:dyDescent="0.25">
      <c r="A71" s="2">
        <v>45847.539513888885</v>
      </c>
      <c r="B71" s="1" t="s">
        <v>350</v>
      </c>
      <c r="C71" s="1" t="s">
        <v>359</v>
      </c>
      <c r="D71" s="1" t="s">
        <v>10</v>
      </c>
      <c r="E71" s="1" t="s">
        <v>11</v>
      </c>
      <c r="F71" s="1" t="s">
        <v>14</v>
      </c>
      <c r="G71">
        <v>0.5</v>
      </c>
      <c r="H71">
        <v>0</v>
      </c>
      <c r="I71">
        <v>0</v>
      </c>
      <c r="J71" s="1"/>
      <c r="K71" s="1" t="s">
        <v>345</v>
      </c>
    </row>
    <row r="72" spans="1:11" x14ac:dyDescent="0.25">
      <c r="A72" s="2">
        <v>45847.563287037039</v>
      </c>
      <c r="B72" s="1" t="s">
        <v>351</v>
      </c>
      <c r="C72" s="1" t="s">
        <v>359</v>
      </c>
      <c r="D72" s="1" t="s">
        <v>10</v>
      </c>
      <c r="E72" s="1" t="s">
        <v>11</v>
      </c>
      <c r="F72" s="1" t="s">
        <v>15</v>
      </c>
      <c r="G72">
        <v>3</v>
      </c>
      <c r="H72">
        <v>1</v>
      </c>
      <c r="I72">
        <v>1</v>
      </c>
      <c r="J72" s="1"/>
      <c r="K72" s="1" t="s">
        <v>336</v>
      </c>
    </row>
    <row r="73" spans="1:11" x14ac:dyDescent="0.25">
      <c r="A73" s="2">
        <v>45847.614374999997</v>
      </c>
      <c r="B73" s="1" t="s">
        <v>348</v>
      </c>
      <c r="C73" s="1" t="s">
        <v>359</v>
      </c>
      <c r="D73" s="1" t="s">
        <v>20</v>
      </c>
      <c r="E73" s="1" t="s">
        <v>11</v>
      </c>
      <c r="F73" s="1" t="s">
        <v>15</v>
      </c>
      <c r="G73">
        <v>3</v>
      </c>
      <c r="H73">
        <v>0</v>
      </c>
      <c r="I73">
        <v>0</v>
      </c>
      <c r="J73" s="1"/>
      <c r="K73" s="1" t="s">
        <v>343</v>
      </c>
    </row>
    <row r="74" spans="1:11" x14ac:dyDescent="0.25">
      <c r="A74" s="2">
        <v>45847.614745370367</v>
      </c>
      <c r="B74" s="1" t="s">
        <v>348</v>
      </c>
      <c r="C74" s="1" t="s">
        <v>359</v>
      </c>
      <c r="D74" s="1" t="s">
        <v>10</v>
      </c>
      <c r="E74" s="1" t="s">
        <v>11</v>
      </c>
      <c r="F74" s="1" t="s">
        <v>14</v>
      </c>
      <c r="G74">
        <v>0.5</v>
      </c>
      <c r="H74">
        <v>0</v>
      </c>
      <c r="I74">
        <v>0</v>
      </c>
      <c r="J74" s="1" t="s">
        <v>30</v>
      </c>
      <c r="K74" s="1" t="s">
        <v>345</v>
      </c>
    </row>
    <row r="75" spans="1:11" x14ac:dyDescent="0.25">
      <c r="A75" s="2">
        <v>45847.614872685182</v>
      </c>
      <c r="B75" s="1" t="s">
        <v>348</v>
      </c>
      <c r="C75" s="1" t="s">
        <v>359</v>
      </c>
      <c r="D75" s="1" t="s">
        <v>10</v>
      </c>
      <c r="E75" s="1" t="s">
        <v>11</v>
      </c>
      <c r="F75" s="1" t="s">
        <v>12</v>
      </c>
      <c r="G75">
        <v>10.5</v>
      </c>
      <c r="H75">
        <v>1</v>
      </c>
      <c r="I75">
        <v>0</v>
      </c>
      <c r="J75" s="1"/>
      <c r="K75" s="1" t="s">
        <v>336</v>
      </c>
    </row>
    <row r="76" spans="1:11" x14ac:dyDescent="0.25">
      <c r="A76" s="2">
        <v>45847.624513888892</v>
      </c>
      <c r="B76" s="1" t="s">
        <v>348</v>
      </c>
      <c r="C76" s="1" t="s">
        <v>359</v>
      </c>
      <c r="D76" s="1" t="s">
        <v>10</v>
      </c>
      <c r="E76" s="1" t="s">
        <v>11</v>
      </c>
      <c r="F76" s="1" t="s">
        <v>12</v>
      </c>
      <c r="G76">
        <v>10.5</v>
      </c>
      <c r="H76">
        <v>0</v>
      </c>
      <c r="I76">
        <v>0</v>
      </c>
      <c r="J76" s="1"/>
      <c r="K76" s="1" t="s">
        <v>106</v>
      </c>
    </row>
    <row r="77" spans="1:11" x14ac:dyDescent="0.25">
      <c r="A77" s="2">
        <v>45848.378969907404</v>
      </c>
      <c r="B77" s="1" t="s">
        <v>352</v>
      </c>
      <c r="C77" s="1" t="s">
        <v>360</v>
      </c>
      <c r="D77" s="1" t="s">
        <v>10</v>
      </c>
      <c r="E77" s="1" t="s">
        <v>11</v>
      </c>
      <c r="F77" s="1" t="s">
        <v>14</v>
      </c>
      <c r="G77">
        <v>0.5</v>
      </c>
      <c r="H77">
        <v>0</v>
      </c>
      <c r="I77">
        <v>0</v>
      </c>
      <c r="J77" s="1"/>
      <c r="K77" s="1" t="s">
        <v>344</v>
      </c>
    </row>
    <row r="78" spans="1:11" x14ac:dyDescent="0.25">
      <c r="A78" s="2">
        <v>45848.494791666664</v>
      </c>
      <c r="B78" s="1" t="s">
        <v>354</v>
      </c>
      <c r="C78" s="1" t="s">
        <v>360</v>
      </c>
      <c r="D78" s="1" t="s">
        <v>10</v>
      </c>
      <c r="E78" s="1" t="s">
        <v>11</v>
      </c>
      <c r="F78" s="1" t="s">
        <v>15</v>
      </c>
      <c r="G78">
        <v>3</v>
      </c>
      <c r="H78">
        <v>0</v>
      </c>
      <c r="I78">
        <v>0</v>
      </c>
      <c r="J78" s="1"/>
      <c r="K78" s="1" t="s">
        <v>342</v>
      </c>
    </row>
    <row r="79" spans="1:11" x14ac:dyDescent="0.25">
      <c r="A79" s="2">
        <v>45848.494988425926</v>
      </c>
      <c r="B79" s="1" t="s">
        <v>354</v>
      </c>
      <c r="C79" s="1" t="s">
        <v>360</v>
      </c>
      <c r="D79" s="1" t="s">
        <v>10</v>
      </c>
      <c r="E79" s="1" t="s">
        <v>11</v>
      </c>
      <c r="F79" s="1" t="s">
        <v>12</v>
      </c>
      <c r="G79">
        <v>10.5</v>
      </c>
      <c r="H79">
        <v>0</v>
      </c>
      <c r="I79">
        <v>0</v>
      </c>
      <c r="J79" s="1"/>
      <c r="K79" s="1" t="s">
        <v>342</v>
      </c>
    </row>
    <row r="80" spans="1:11" x14ac:dyDescent="0.25">
      <c r="A80" s="2">
        <v>45848.495243055557</v>
      </c>
      <c r="B80" s="1" t="s">
        <v>354</v>
      </c>
      <c r="C80" s="1" t="s">
        <v>360</v>
      </c>
      <c r="D80" s="1" t="s">
        <v>10</v>
      </c>
      <c r="E80" s="1" t="s">
        <v>11</v>
      </c>
      <c r="F80" s="1" t="s">
        <v>14</v>
      </c>
      <c r="G80">
        <v>0.5</v>
      </c>
      <c r="H80">
        <v>0</v>
      </c>
      <c r="I80">
        <v>0</v>
      </c>
      <c r="J80" s="1"/>
      <c r="K80" s="1" t="s">
        <v>342</v>
      </c>
    </row>
    <row r="81" spans="1:11" x14ac:dyDescent="0.25">
      <c r="A81" s="2">
        <v>45848.512858796297</v>
      </c>
      <c r="B81" s="1" t="s">
        <v>350</v>
      </c>
      <c r="C81" s="1" t="s">
        <v>360</v>
      </c>
      <c r="D81" s="1" t="s">
        <v>10</v>
      </c>
      <c r="E81" s="1" t="s">
        <v>11</v>
      </c>
      <c r="F81" s="1" t="s">
        <v>12</v>
      </c>
      <c r="G81">
        <v>10.5</v>
      </c>
      <c r="H81">
        <v>1</v>
      </c>
      <c r="I81">
        <v>0</v>
      </c>
      <c r="J81" s="1"/>
      <c r="K81" s="1" t="s">
        <v>337</v>
      </c>
    </row>
    <row r="82" spans="1:11" x14ac:dyDescent="0.25">
      <c r="A82" s="2">
        <v>45848.512858796297</v>
      </c>
      <c r="B82" s="1" t="s">
        <v>350</v>
      </c>
      <c r="C82" s="1" t="s">
        <v>360</v>
      </c>
      <c r="D82" s="1" t="s">
        <v>10</v>
      </c>
      <c r="E82" s="1" t="s">
        <v>11</v>
      </c>
      <c r="F82" s="1" t="s">
        <v>12</v>
      </c>
      <c r="G82">
        <v>10.5</v>
      </c>
      <c r="H82">
        <v>1</v>
      </c>
      <c r="I82">
        <v>0</v>
      </c>
      <c r="J82" s="1"/>
      <c r="K82" s="1" t="s">
        <v>340</v>
      </c>
    </row>
    <row r="83" spans="1:11" x14ac:dyDescent="0.25">
      <c r="A83" s="2">
        <v>45848.512858796297</v>
      </c>
      <c r="B83" s="1" t="s">
        <v>350</v>
      </c>
      <c r="C83" s="1" t="s">
        <v>360</v>
      </c>
      <c r="D83" s="1" t="s">
        <v>10</v>
      </c>
      <c r="E83" s="1" t="s">
        <v>11</v>
      </c>
      <c r="F83" s="1" t="s">
        <v>12</v>
      </c>
      <c r="G83">
        <v>10.5</v>
      </c>
      <c r="H83">
        <v>1</v>
      </c>
      <c r="I83">
        <v>0</v>
      </c>
      <c r="J83" s="1"/>
      <c r="K83" s="1" t="s">
        <v>343</v>
      </c>
    </row>
    <row r="84" spans="1:11" x14ac:dyDescent="0.25">
      <c r="A84" s="2">
        <v>45848.513020833336</v>
      </c>
      <c r="B84" s="1" t="s">
        <v>350</v>
      </c>
      <c r="C84" s="1" t="s">
        <v>360</v>
      </c>
      <c r="D84" s="1" t="s">
        <v>10</v>
      </c>
      <c r="E84" s="1" t="s">
        <v>11</v>
      </c>
      <c r="F84" s="1" t="s">
        <v>15</v>
      </c>
      <c r="G84">
        <v>3</v>
      </c>
      <c r="H84">
        <v>0</v>
      </c>
      <c r="I84">
        <v>0</v>
      </c>
      <c r="J84" s="1"/>
      <c r="K84" s="1" t="s">
        <v>341</v>
      </c>
    </row>
    <row r="85" spans="1:11" x14ac:dyDescent="0.25">
      <c r="A85" s="2">
        <v>45848.51935185185</v>
      </c>
      <c r="B85" s="1" t="s">
        <v>350</v>
      </c>
      <c r="C85" s="1" t="s">
        <v>360</v>
      </c>
      <c r="D85" s="1" t="s">
        <v>20</v>
      </c>
      <c r="E85" s="1" t="s">
        <v>11</v>
      </c>
      <c r="F85" s="1" t="s">
        <v>15</v>
      </c>
      <c r="G85">
        <v>3</v>
      </c>
      <c r="H85">
        <v>0</v>
      </c>
      <c r="I85">
        <v>0</v>
      </c>
      <c r="J85" s="1"/>
      <c r="K85" s="1" t="s">
        <v>341</v>
      </c>
    </row>
    <row r="86" spans="1:11" x14ac:dyDescent="0.25">
      <c r="A86" s="2">
        <v>45848.538900462961</v>
      </c>
      <c r="B86" s="1" t="s">
        <v>350</v>
      </c>
      <c r="C86" s="1" t="s">
        <v>360</v>
      </c>
      <c r="D86" s="1" t="s">
        <v>10</v>
      </c>
      <c r="E86" s="1" t="s">
        <v>11</v>
      </c>
      <c r="F86" s="1" t="s">
        <v>14</v>
      </c>
      <c r="G86">
        <v>0.5</v>
      </c>
      <c r="H86">
        <v>0</v>
      </c>
      <c r="I86">
        <v>0</v>
      </c>
      <c r="J86" s="1"/>
      <c r="K86" s="1" t="s">
        <v>341</v>
      </c>
    </row>
    <row r="87" spans="1:11" x14ac:dyDescent="0.25">
      <c r="A87" s="2">
        <v>45848.542928240742</v>
      </c>
      <c r="B87" s="1" t="s">
        <v>351</v>
      </c>
      <c r="C87" s="1" t="s">
        <v>360</v>
      </c>
      <c r="D87" s="1" t="s">
        <v>10</v>
      </c>
      <c r="E87" s="1" t="s">
        <v>11</v>
      </c>
      <c r="F87" s="1" t="s">
        <v>15</v>
      </c>
      <c r="G87">
        <v>3</v>
      </c>
      <c r="H87">
        <v>0</v>
      </c>
      <c r="I87">
        <v>0</v>
      </c>
      <c r="J87" s="1"/>
      <c r="K87" s="1" t="s">
        <v>340</v>
      </c>
    </row>
    <row r="88" spans="1:11" x14ac:dyDescent="0.25">
      <c r="A88" s="2">
        <v>45848.613171296296</v>
      </c>
      <c r="B88" s="1" t="s">
        <v>348</v>
      </c>
      <c r="C88" s="1" t="s">
        <v>360</v>
      </c>
      <c r="D88" s="1" t="s">
        <v>10</v>
      </c>
      <c r="E88" s="1" t="s">
        <v>11</v>
      </c>
      <c r="F88" s="1" t="s">
        <v>15</v>
      </c>
      <c r="G88">
        <v>3</v>
      </c>
      <c r="H88">
        <v>0</v>
      </c>
      <c r="I88">
        <v>0</v>
      </c>
      <c r="J88" s="1"/>
      <c r="K88" s="1" t="s">
        <v>106</v>
      </c>
    </row>
    <row r="89" spans="1:11" x14ac:dyDescent="0.25">
      <c r="A89" s="2">
        <v>45848.747916666667</v>
      </c>
      <c r="B89" s="1" t="s">
        <v>355</v>
      </c>
      <c r="C89" s="1" t="s">
        <v>360</v>
      </c>
      <c r="D89" s="1" t="s">
        <v>20</v>
      </c>
      <c r="E89" s="1" t="s">
        <v>17</v>
      </c>
      <c r="F89" s="1" t="s">
        <v>15</v>
      </c>
      <c r="G89">
        <v>3</v>
      </c>
      <c r="H89">
        <v>1</v>
      </c>
      <c r="I89">
        <v>0</v>
      </c>
      <c r="J89" s="1"/>
      <c r="K89" s="1" t="s">
        <v>336</v>
      </c>
    </row>
    <row r="90" spans="1:11" x14ac:dyDescent="0.25">
      <c r="A90" s="2">
        <v>45848.748032407406</v>
      </c>
      <c r="B90" s="1" t="s">
        <v>355</v>
      </c>
      <c r="C90" s="1" t="s">
        <v>360</v>
      </c>
      <c r="D90" s="1" t="s">
        <v>10</v>
      </c>
      <c r="E90" s="1" t="s">
        <v>11</v>
      </c>
      <c r="F90" s="1" t="s">
        <v>15</v>
      </c>
      <c r="G90">
        <v>3</v>
      </c>
      <c r="H90">
        <v>0</v>
      </c>
      <c r="I90">
        <v>0</v>
      </c>
      <c r="J90" s="1"/>
      <c r="K90" s="1" t="s">
        <v>342</v>
      </c>
    </row>
    <row r="91" spans="1:11" x14ac:dyDescent="0.25">
      <c r="A91" s="2">
        <v>45848.748159722221</v>
      </c>
      <c r="B91" s="1" t="s">
        <v>355</v>
      </c>
      <c r="C91" s="1" t="s">
        <v>360</v>
      </c>
      <c r="D91" s="1" t="s">
        <v>10</v>
      </c>
      <c r="E91" s="1" t="s">
        <v>11</v>
      </c>
      <c r="F91" s="1" t="s">
        <v>14</v>
      </c>
      <c r="G91">
        <v>0.5</v>
      </c>
      <c r="H91">
        <v>0</v>
      </c>
      <c r="I91">
        <v>0</v>
      </c>
      <c r="J91" s="1"/>
      <c r="K91" s="1" t="s">
        <v>343</v>
      </c>
    </row>
    <row r="92" spans="1:11" x14ac:dyDescent="0.25">
      <c r="A92" s="2">
        <v>45848.748229166667</v>
      </c>
      <c r="B92" s="1" t="s">
        <v>355</v>
      </c>
      <c r="C92" s="1" t="s">
        <v>360</v>
      </c>
      <c r="D92" s="1" t="s">
        <v>10</v>
      </c>
      <c r="E92" s="1" t="s">
        <v>11</v>
      </c>
      <c r="F92" s="1" t="s">
        <v>14</v>
      </c>
      <c r="G92">
        <v>0.5</v>
      </c>
      <c r="H92">
        <v>0</v>
      </c>
      <c r="I92">
        <v>0</v>
      </c>
      <c r="J92" s="1"/>
      <c r="K92" s="1" t="s">
        <v>343</v>
      </c>
    </row>
    <row r="93" spans="1:11" x14ac:dyDescent="0.25">
      <c r="A93" s="2">
        <v>45849.519212962965</v>
      </c>
      <c r="B93" s="1" t="s">
        <v>350</v>
      </c>
      <c r="C93" s="1" t="s">
        <v>361</v>
      </c>
      <c r="D93" s="1" t="s">
        <v>10</v>
      </c>
      <c r="E93" s="1" t="s">
        <v>11</v>
      </c>
      <c r="F93" s="1" t="s">
        <v>14</v>
      </c>
      <c r="G93">
        <v>0.5</v>
      </c>
      <c r="H93">
        <v>0</v>
      </c>
      <c r="I93">
        <v>0</v>
      </c>
      <c r="J93" s="1"/>
      <c r="K93" s="1" t="s">
        <v>344</v>
      </c>
    </row>
    <row r="94" spans="1:11" x14ac:dyDescent="0.25">
      <c r="A94" s="2">
        <v>45849.520868055559</v>
      </c>
      <c r="B94" s="1" t="s">
        <v>350</v>
      </c>
      <c r="C94" s="1" t="s">
        <v>361</v>
      </c>
      <c r="D94" s="1" t="s">
        <v>10</v>
      </c>
      <c r="E94" s="1" t="s">
        <v>11</v>
      </c>
      <c r="F94" s="1" t="s">
        <v>15</v>
      </c>
      <c r="G94">
        <v>3</v>
      </c>
      <c r="H94">
        <v>0</v>
      </c>
      <c r="I94">
        <v>0</v>
      </c>
      <c r="J94" s="1" t="s">
        <v>31</v>
      </c>
      <c r="K94" s="1" t="s">
        <v>345</v>
      </c>
    </row>
    <row r="95" spans="1:11" x14ac:dyDescent="0.25">
      <c r="A95" s="2">
        <v>45849.54546296296</v>
      </c>
      <c r="B95" s="1" t="s">
        <v>351</v>
      </c>
      <c r="C95" s="1" t="s">
        <v>361</v>
      </c>
      <c r="D95" s="1" t="s">
        <v>10</v>
      </c>
      <c r="E95" s="1" t="s">
        <v>11</v>
      </c>
      <c r="F95" s="1" t="s">
        <v>15</v>
      </c>
      <c r="G95">
        <v>3</v>
      </c>
      <c r="H95">
        <v>1</v>
      </c>
      <c r="I95">
        <v>0</v>
      </c>
      <c r="J95" s="1"/>
      <c r="K95" s="1" t="s">
        <v>337</v>
      </c>
    </row>
    <row r="96" spans="1:11" x14ac:dyDescent="0.25">
      <c r="A96" s="2">
        <v>45849.54546296296</v>
      </c>
      <c r="B96" s="1" t="s">
        <v>351</v>
      </c>
      <c r="C96" s="1" t="s">
        <v>361</v>
      </c>
      <c r="D96" s="1" t="s">
        <v>10</v>
      </c>
      <c r="E96" s="1" t="s">
        <v>11</v>
      </c>
      <c r="F96" s="1" t="s">
        <v>15</v>
      </c>
      <c r="G96">
        <v>3</v>
      </c>
      <c r="H96">
        <v>1</v>
      </c>
      <c r="I96">
        <v>0</v>
      </c>
      <c r="J96" s="1"/>
      <c r="K96" s="1" t="s">
        <v>340</v>
      </c>
    </row>
    <row r="97" spans="1:11" x14ac:dyDescent="0.25">
      <c r="A97" s="2">
        <v>45849.54546296296</v>
      </c>
      <c r="B97" s="1" t="s">
        <v>351</v>
      </c>
      <c r="C97" s="1" t="s">
        <v>361</v>
      </c>
      <c r="D97" s="1" t="s">
        <v>10</v>
      </c>
      <c r="E97" s="1" t="s">
        <v>11</v>
      </c>
      <c r="F97" s="1" t="s">
        <v>15</v>
      </c>
      <c r="G97">
        <v>3</v>
      </c>
      <c r="H97">
        <v>1</v>
      </c>
      <c r="I97">
        <v>0</v>
      </c>
      <c r="J97" s="1"/>
      <c r="K97" s="1" t="s">
        <v>343</v>
      </c>
    </row>
    <row r="98" spans="1:11" x14ac:dyDescent="0.25">
      <c r="A98" s="2">
        <v>45849.58011574074</v>
      </c>
      <c r="B98" s="1" t="s">
        <v>351</v>
      </c>
      <c r="C98" s="1" t="s">
        <v>361</v>
      </c>
      <c r="D98" s="1" t="s">
        <v>10</v>
      </c>
      <c r="E98" s="1" t="s">
        <v>11</v>
      </c>
      <c r="F98" s="1" t="s">
        <v>12</v>
      </c>
      <c r="G98">
        <v>10.5</v>
      </c>
      <c r="H98">
        <v>1</v>
      </c>
      <c r="I98">
        <v>0</v>
      </c>
      <c r="J98" s="1"/>
      <c r="K98" s="1" t="s">
        <v>336</v>
      </c>
    </row>
    <row r="99" spans="1:11" x14ac:dyDescent="0.25">
      <c r="A99" s="2">
        <v>45849.58011574074</v>
      </c>
      <c r="B99" s="1" t="s">
        <v>351</v>
      </c>
      <c r="C99" s="1" t="s">
        <v>361</v>
      </c>
      <c r="D99" s="1" t="s">
        <v>10</v>
      </c>
      <c r="E99" s="1" t="s">
        <v>11</v>
      </c>
      <c r="F99" s="1" t="s">
        <v>12</v>
      </c>
      <c r="G99">
        <v>10.5</v>
      </c>
      <c r="H99">
        <v>1</v>
      </c>
      <c r="I99">
        <v>0</v>
      </c>
      <c r="J99" s="1"/>
      <c r="K99" s="1" t="s">
        <v>340</v>
      </c>
    </row>
    <row r="100" spans="1:11" x14ac:dyDescent="0.25">
      <c r="A100" s="2">
        <v>45849.622164351851</v>
      </c>
      <c r="B100" s="1" t="s">
        <v>348</v>
      </c>
      <c r="C100" s="1" t="s">
        <v>361</v>
      </c>
      <c r="D100" s="1" t="s">
        <v>10</v>
      </c>
      <c r="E100" s="1" t="s">
        <v>11</v>
      </c>
      <c r="F100" s="1" t="s">
        <v>14</v>
      </c>
      <c r="G100">
        <v>0.5</v>
      </c>
      <c r="H100">
        <v>0</v>
      </c>
      <c r="I100">
        <v>0</v>
      </c>
      <c r="J100" s="1"/>
      <c r="K100" s="1" t="s">
        <v>344</v>
      </c>
    </row>
    <row r="101" spans="1:11" x14ac:dyDescent="0.25">
      <c r="A101" s="2">
        <v>45849.622384259259</v>
      </c>
      <c r="B101" s="1" t="s">
        <v>348</v>
      </c>
      <c r="C101" s="1" t="s">
        <v>361</v>
      </c>
      <c r="D101" s="1" t="s">
        <v>20</v>
      </c>
      <c r="E101" s="1" t="s">
        <v>11</v>
      </c>
      <c r="F101" s="1" t="s">
        <v>15</v>
      </c>
      <c r="G101">
        <v>3</v>
      </c>
      <c r="H101">
        <v>0</v>
      </c>
      <c r="I101">
        <v>0</v>
      </c>
      <c r="J101" s="1"/>
      <c r="K101" s="1" t="s">
        <v>344</v>
      </c>
    </row>
    <row r="102" spans="1:11" x14ac:dyDescent="0.25">
      <c r="A102" s="2">
        <v>45850.391956018517</v>
      </c>
      <c r="B102" s="1" t="s">
        <v>352</v>
      </c>
      <c r="C102" s="1" t="s">
        <v>362</v>
      </c>
      <c r="D102" s="1" t="s">
        <v>10</v>
      </c>
      <c r="E102" s="1" t="s">
        <v>11</v>
      </c>
      <c r="F102" s="1" t="s">
        <v>15</v>
      </c>
      <c r="G102">
        <v>3</v>
      </c>
      <c r="H102">
        <v>0</v>
      </c>
      <c r="I102">
        <v>0</v>
      </c>
      <c r="J102" s="1"/>
      <c r="K102" s="1" t="s">
        <v>341</v>
      </c>
    </row>
    <row r="103" spans="1:11" x14ac:dyDescent="0.25">
      <c r="A103" s="2">
        <v>45850.46733796296</v>
      </c>
      <c r="B103" s="1" t="s">
        <v>354</v>
      </c>
      <c r="C103" s="1" t="s">
        <v>362</v>
      </c>
      <c r="D103" s="1" t="s">
        <v>10</v>
      </c>
      <c r="E103" s="1" t="s">
        <v>11</v>
      </c>
      <c r="F103" s="1" t="s">
        <v>14</v>
      </c>
      <c r="G103">
        <v>0.5</v>
      </c>
      <c r="H103">
        <v>0</v>
      </c>
      <c r="I103">
        <v>0</v>
      </c>
      <c r="J103" s="1"/>
      <c r="K103" s="1" t="s">
        <v>342</v>
      </c>
    </row>
    <row r="104" spans="1:11" x14ac:dyDescent="0.25">
      <c r="A104" s="2">
        <v>45850.467627314814</v>
      </c>
      <c r="B104" s="1" t="s">
        <v>354</v>
      </c>
      <c r="C104" s="1" t="s">
        <v>362</v>
      </c>
      <c r="D104" s="1" t="s">
        <v>10</v>
      </c>
      <c r="E104" s="1" t="s">
        <v>11</v>
      </c>
      <c r="F104" s="1" t="s">
        <v>14</v>
      </c>
      <c r="G104">
        <v>0.5</v>
      </c>
      <c r="H104">
        <v>0</v>
      </c>
      <c r="I104">
        <v>0</v>
      </c>
      <c r="J104" s="1"/>
      <c r="K104" s="1" t="s">
        <v>343</v>
      </c>
    </row>
    <row r="105" spans="1:11" x14ac:dyDescent="0.25">
      <c r="A105" s="2">
        <v>45850.491412037038</v>
      </c>
      <c r="B105" s="1" t="s">
        <v>354</v>
      </c>
      <c r="C105" s="1" t="s">
        <v>362</v>
      </c>
      <c r="D105" s="1" t="s">
        <v>10</v>
      </c>
      <c r="E105" s="1" t="s">
        <v>11</v>
      </c>
      <c r="F105" s="1" t="s">
        <v>15</v>
      </c>
      <c r="G105">
        <v>3</v>
      </c>
      <c r="H105">
        <v>0</v>
      </c>
      <c r="I105">
        <v>0</v>
      </c>
      <c r="J105" s="1"/>
      <c r="K105" s="1" t="s">
        <v>343</v>
      </c>
    </row>
    <row r="106" spans="1:11" x14ac:dyDescent="0.25">
      <c r="A106" s="2">
        <v>45850.496064814812</v>
      </c>
      <c r="B106" s="1" t="s">
        <v>354</v>
      </c>
      <c r="C106" s="1" t="s">
        <v>362</v>
      </c>
      <c r="D106" s="1" t="s">
        <v>10</v>
      </c>
      <c r="E106" s="1" t="s">
        <v>11</v>
      </c>
      <c r="F106" s="1" t="s">
        <v>14</v>
      </c>
      <c r="G106">
        <v>0.5</v>
      </c>
      <c r="H106">
        <v>0</v>
      </c>
      <c r="I106">
        <v>0</v>
      </c>
      <c r="J106" s="1" t="s">
        <v>32</v>
      </c>
      <c r="K106" s="1" t="s">
        <v>345</v>
      </c>
    </row>
    <row r="107" spans="1:11" x14ac:dyDescent="0.25">
      <c r="A107" s="2">
        <v>45853.452025462961</v>
      </c>
      <c r="B107" s="1" t="s">
        <v>347</v>
      </c>
      <c r="C107" s="1" t="s">
        <v>358</v>
      </c>
      <c r="D107" s="1" t="s">
        <v>10</v>
      </c>
      <c r="E107" s="1" t="s">
        <v>11</v>
      </c>
      <c r="F107" s="1" t="s">
        <v>18</v>
      </c>
      <c r="G107">
        <v>20</v>
      </c>
      <c r="H107">
        <v>0</v>
      </c>
      <c r="I107">
        <v>0</v>
      </c>
      <c r="J107" s="1"/>
      <c r="K107" s="1" t="s">
        <v>340</v>
      </c>
    </row>
    <row r="108" spans="1:11" x14ac:dyDescent="0.25">
      <c r="A108" s="2">
        <v>45853.533310185187</v>
      </c>
      <c r="B108" s="1" t="s">
        <v>350</v>
      </c>
      <c r="C108" s="1" t="s">
        <v>358</v>
      </c>
      <c r="D108" s="1" t="s">
        <v>10</v>
      </c>
      <c r="E108" s="1" t="s">
        <v>11</v>
      </c>
      <c r="F108" s="1" t="s">
        <v>14</v>
      </c>
      <c r="G108">
        <v>0.5</v>
      </c>
      <c r="H108">
        <v>0</v>
      </c>
      <c r="I108">
        <v>0</v>
      </c>
      <c r="J108" s="1"/>
      <c r="K108" s="1" t="s">
        <v>342</v>
      </c>
    </row>
    <row r="109" spans="1:11" x14ac:dyDescent="0.25">
      <c r="A109" s="2">
        <v>45853.53434027778</v>
      </c>
      <c r="B109" s="1" t="s">
        <v>350</v>
      </c>
      <c r="C109" s="1" t="s">
        <v>358</v>
      </c>
      <c r="D109" s="1" t="s">
        <v>20</v>
      </c>
      <c r="E109" s="1" t="s">
        <v>11</v>
      </c>
      <c r="F109" s="1" t="s">
        <v>15</v>
      </c>
      <c r="G109">
        <v>3</v>
      </c>
      <c r="H109">
        <v>1</v>
      </c>
      <c r="I109">
        <v>1</v>
      </c>
      <c r="J109" s="1" t="s">
        <v>33</v>
      </c>
      <c r="K109" s="1" t="s">
        <v>336</v>
      </c>
    </row>
    <row r="110" spans="1:11" x14ac:dyDescent="0.25">
      <c r="A110" s="2">
        <v>45853.540659722225</v>
      </c>
      <c r="B110" s="1" t="s">
        <v>350</v>
      </c>
      <c r="C110" s="1" t="s">
        <v>358</v>
      </c>
      <c r="D110" s="1" t="s">
        <v>10</v>
      </c>
      <c r="E110" s="1" t="s">
        <v>11</v>
      </c>
      <c r="F110" s="1" t="s">
        <v>15</v>
      </c>
      <c r="G110">
        <v>3</v>
      </c>
      <c r="H110">
        <v>0</v>
      </c>
      <c r="I110">
        <v>0</v>
      </c>
      <c r="J110" s="1" t="s">
        <v>34</v>
      </c>
      <c r="K110" s="1" t="s">
        <v>341</v>
      </c>
    </row>
    <row r="111" spans="1:11" x14ac:dyDescent="0.25">
      <c r="A111" s="2">
        <v>45853.552604166667</v>
      </c>
      <c r="B111" s="1" t="s">
        <v>351</v>
      </c>
      <c r="C111" s="1" t="s">
        <v>358</v>
      </c>
      <c r="D111" s="1" t="s">
        <v>10</v>
      </c>
      <c r="E111" s="1" t="s">
        <v>11</v>
      </c>
      <c r="F111" s="1" t="s">
        <v>15</v>
      </c>
      <c r="G111">
        <v>3</v>
      </c>
      <c r="H111">
        <v>0</v>
      </c>
      <c r="I111">
        <v>0</v>
      </c>
      <c r="J111" s="1"/>
      <c r="K111" s="1" t="s">
        <v>343</v>
      </c>
    </row>
    <row r="112" spans="1:11" x14ac:dyDescent="0.25">
      <c r="A112" s="2">
        <v>45853.552604166667</v>
      </c>
      <c r="B112" s="1" t="s">
        <v>351</v>
      </c>
      <c r="C112" s="1" t="s">
        <v>358</v>
      </c>
      <c r="D112" s="1" t="s">
        <v>10</v>
      </c>
      <c r="E112" s="1" t="s">
        <v>11</v>
      </c>
      <c r="F112" s="1" t="s">
        <v>15</v>
      </c>
      <c r="G112">
        <v>3</v>
      </c>
      <c r="H112">
        <v>0</v>
      </c>
      <c r="I112">
        <v>0</v>
      </c>
      <c r="J112" s="1"/>
      <c r="K112" s="1" t="s">
        <v>344</v>
      </c>
    </row>
    <row r="113" spans="1:11" x14ac:dyDescent="0.25">
      <c r="A113" s="2">
        <v>45853.562384259261</v>
      </c>
      <c r="B113" s="1" t="s">
        <v>351</v>
      </c>
      <c r="C113" s="1" t="s">
        <v>358</v>
      </c>
      <c r="D113" s="1" t="s">
        <v>10</v>
      </c>
      <c r="E113" s="1" t="s">
        <v>11</v>
      </c>
      <c r="F113" s="1" t="s">
        <v>14</v>
      </c>
      <c r="G113">
        <v>0.5</v>
      </c>
      <c r="H113">
        <v>0</v>
      </c>
      <c r="I113">
        <v>0</v>
      </c>
      <c r="J113" s="1" t="s">
        <v>35</v>
      </c>
      <c r="K113" s="1" t="s">
        <v>345</v>
      </c>
    </row>
    <row r="114" spans="1:11" x14ac:dyDescent="0.25">
      <c r="A114" s="2">
        <v>45853.571261574078</v>
      </c>
      <c r="B114" s="1" t="s">
        <v>351</v>
      </c>
      <c r="C114" s="1" t="s">
        <v>358</v>
      </c>
      <c r="D114" s="1" t="s">
        <v>10</v>
      </c>
      <c r="E114" s="1" t="s">
        <v>11</v>
      </c>
      <c r="F114" s="1" t="s">
        <v>15</v>
      </c>
      <c r="G114">
        <v>3</v>
      </c>
      <c r="H114">
        <v>0</v>
      </c>
      <c r="I114">
        <v>0</v>
      </c>
      <c r="J114" s="1" t="s">
        <v>36</v>
      </c>
      <c r="K114" s="1" t="s">
        <v>336</v>
      </c>
    </row>
    <row r="115" spans="1:11" x14ac:dyDescent="0.25">
      <c r="A115" s="2">
        <v>45853.613055555557</v>
      </c>
      <c r="B115" s="1" t="s">
        <v>348</v>
      </c>
      <c r="C115" s="1" t="s">
        <v>358</v>
      </c>
      <c r="D115" s="1" t="s">
        <v>10</v>
      </c>
      <c r="E115" s="1" t="s">
        <v>11</v>
      </c>
      <c r="F115" s="1" t="s">
        <v>12</v>
      </c>
      <c r="G115">
        <v>10.5</v>
      </c>
      <c r="H115">
        <v>0</v>
      </c>
      <c r="I115">
        <v>0</v>
      </c>
      <c r="J115" s="1"/>
      <c r="K115" s="1" t="s">
        <v>336</v>
      </c>
    </row>
    <row r="116" spans="1:11" x14ac:dyDescent="0.25">
      <c r="A116" s="2">
        <v>45853.613263888888</v>
      </c>
      <c r="B116" s="1" t="s">
        <v>348</v>
      </c>
      <c r="C116" s="1" t="s">
        <v>358</v>
      </c>
      <c r="D116" s="1" t="s">
        <v>10</v>
      </c>
      <c r="E116" s="1" t="s">
        <v>11</v>
      </c>
      <c r="F116" s="1" t="s">
        <v>14</v>
      </c>
      <c r="G116">
        <v>0.5</v>
      </c>
      <c r="H116">
        <v>0</v>
      </c>
      <c r="I116">
        <v>0</v>
      </c>
      <c r="J116" s="1" t="s">
        <v>37</v>
      </c>
      <c r="K116" s="1" t="s">
        <v>345</v>
      </c>
    </row>
    <row r="117" spans="1:11" x14ac:dyDescent="0.25">
      <c r="A117" s="2">
        <v>45853.649282407408</v>
      </c>
      <c r="B117" s="1" t="s">
        <v>349</v>
      </c>
      <c r="C117" s="1" t="s">
        <v>358</v>
      </c>
      <c r="D117" s="1" t="s">
        <v>10</v>
      </c>
      <c r="E117" s="1" t="s">
        <v>11</v>
      </c>
      <c r="F117" s="1" t="s">
        <v>14</v>
      </c>
      <c r="G117">
        <v>0.5</v>
      </c>
      <c r="H117">
        <v>0</v>
      </c>
      <c r="I117">
        <v>0</v>
      </c>
      <c r="J117" s="1"/>
      <c r="K117" s="1" t="s">
        <v>342</v>
      </c>
    </row>
    <row r="118" spans="1:11" x14ac:dyDescent="0.25">
      <c r="A118" s="2">
        <v>45853.649386574078</v>
      </c>
      <c r="B118" s="1" t="s">
        <v>349</v>
      </c>
      <c r="C118" s="1" t="s">
        <v>358</v>
      </c>
      <c r="D118" s="1" t="s">
        <v>10</v>
      </c>
      <c r="E118" s="1" t="s">
        <v>11</v>
      </c>
      <c r="F118" s="1" t="s">
        <v>14</v>
      </c>
      <c r="G118">
        <v>0.5</v>
      </c>
      <c r="H118">
        <v>0</v>
      </c>
      <c r="I118">
        <v>0</v>
      </c>
      <c r="J118" s="1" t="s">
        <v>23</v>
      </c>
      <c r="K118" s="1" t="s">
        <v>345</v>
      </c>
    </row>
    <row r="119" spans="1:11" x14ac:dyDescent="0.25">
      <c r="A119" s="2">
        <v>45853.660717592589</v>
      </c>
      <c r="B119" s="1" t="s">
        <v>349</v>
      </c>
      <c r="C119" s="1" t="s">
        <v>358</v>
      </c>
      <c r="D119" s="1" t="s">
        <v>10</v>
      </c>
      <c r="E119" s="1" t="s">
        <v>11</v>
      </c>
      <c r="F119" s="1" t="s">
        <v>15</v>
      </c>
      <c r="G119">
        <v>3</v>
      </c>
      <c r="H119">
        <v>0</v>
      </c>
      <c r="I119">
        <v>0</v>
      </c>
      <c r="J119" s="1"/>
      <c r="K119" s="1" t="s">
        <v>341</v>
      </c>
    </row>
    <row r="120" spans="1:11" x14ac:dyDescent="0.25">
      <c r="A120" s="2">
        <v>45853.665046296293</v>
      </c>
      <c r="B120" s="1" t="s">
        <v>349</v>
      </c>
      <c r="C120" s="1" t="s">
        <v>358</v>
      </c>
      <c r="D120" s="1" t="s">
        <v>10</v>
      </c>
      <c r="E120" s="1" t="s">
        <v>11</v>
      </c>
      <c r="F120" s="1" t="s">
        <v>14</v>
      </c>
      <c r="G120">
        <v>0.5</v>
      </c>
      <c r="H120">
        <v>0</v>
      </c>
      <c r="I120">
        <v>0</v>
      </c>
      <c r="J120" s="1" t="s">
        <v>35</v>
      </c>
      <c r="K120" s="1" t="s">
        <v>345</v>
      </c>
    </row>
    <row r="121" spans="1:11" x14ac:dyDescent="0.25">
      <c r="A121" s="2">
        <v>45854.429432870369</v>
      </c>
      <c r="B121" s="1" t="s">
        <v>347</v>
      </c>
      <c r="C121" s="1" t="s">
        <v>359</v>
      </c>
      <c r="D121" s="1" t="s">
        <v>20</v>
      </c>
      <c r="E121" s="1" t="s">
        <v>11</v>
      </c>
      <c r="F121" s="1" t="s">
        <v>14</v>
      </c>
      <c r="G121">
        <v>0.5</v>
      </c>
      <c r="H121">
        <v>0</v>
      </c>
      <c r="I121">
        <v>0</v>
      </c>
      <c r="J121" s="1"/>
      <c r="K121" s="1" t="s">
        <v>106</v>
      </c>
    </row>
    <row r="122" spans="1:11" x14ac:dyDescent="0.25">
      <c r="A122" s="2">
        <v>45854.432175925926</v>
      </c>
      <c r="B122" s="1" t="s">
        <v>347</v>
      </c>
      <c r="C122" s="1" t="s">
        <v>359</v>
      </c>
      <c r="D122" s="1" t="s">
        <v>10</v>
      </c>
      <c r="E122" s="1" t="s">
        <v>17</v>
      </c>
      <c r="F122" s="1" t="s">
        <v>14</v>
      </c>
      <c r="G122">
        <v>0.5</v>
      </c>
      <c r="H122">
        <v>0</v>
      </c>
      <c r="I122">
        <v>0</v>
      </c>
      <c r="J122" s="1" t="s">
        <v>38</v>
      </c>
      <c r="K122" s="1" t="s">
        <v>345</v>
      </c>
    </row>
    <row r="123" spans="1:11" x14ac:dyDescent="0.25">
      <c r="A123" s="2">
        <v>45854.477164351854</v>
      </c>
      <c r="B123" s="1" t="s">
        <v>354</v>
      </c>
      <c r="C123" s="1" t="s">
        <v>359</v>
      </c>
      <c r="D123" s="1" t="s">
        <v>10</v>
      </c>
      <c r="E123" s="1" t="s">
        <v>11</v>
      </c>
      <c r="F123" s="1" t="s">
        <v>14</v>
      </c>
      <c r="G123">
        <v>0.5</v>
      </c>
      <c r="H123">
        <v>0</v>
      </c>
      <c r="I123">
        <v>0</v>
      </c>
      <c r="J123" s="1"/>
      <c r="K123" s="1" t="s">
        <v>343</v>
      </c>
    </row>
    <row r="124" spans="1:11" x14ac:dyDescent="0.25">
      <c r="A124" s="2">
        <v>45854.477337962962</v>
      </c>
      <c r="B124" s="1" t="s">
        <v>354</v>
      </c>
      <c r="C124" s="1" t="s">
        <v>359</v>
      </c>
      <c r="D124" s="1" t="s">
        <v>10</v>
      </c>
      <c r="E124" s="1" t="s">
        <v>11</v>
      </c>
      <c r="F124" s="1" t="s">
        <v>14</v>
      </c>
      <c r="G124">
        <v>0.5</v>
      </c>
      <c r="H124">
        <v>0</v>
      </c>
      <c r="I124">
        <v>0</v>
      </c>
      <c r="J124" s="1"/>
      <c r="K124" s="1" t="s">
        <v>341</v>
      </c>
    </row>
    <row r="125" spans="1:11" x14ac:dyDescent="0.25">
      <c r="A125" s="2">
        <v>45854.511678240742</v>
      </c>
      <c r="B125" s="1" t="s">
        <v>350</v>
      </c>
      <c r="C125" s="1" t="s">
        <v>359</v>
      </c>
      <c r="D125" s="1" t="s">
        <v>10</v>
      </c>
      <c r="E125" s="1" t="s">
        <v>11</v>
      </c>
      <c r="F125" s="1" t="s">
        <v>15</v>
      </c>
      <c r="G125">
        <v>3</v>
      </c>
      <c r="H125">
        <v>1</v>
      </c>
      <c r="I125">
        <v>0</v>
      </c>
      <c r="J125" s="1"/>
      <c r="K125" s="1" t="s">
        <v>337</v>
      </c>
    </row>
    <row r="126" spans="1:11" x14ac:dyDescent="0.25">
      <c r="A126" s="2">
        <v>45854.511678240742</v>
      </c>
      <c r="B126" s="1" t="s">
        <v>350</v>
      </c>
      <c r="C126" s="1" t="s">
        <v>359</v>
      </c>
      <c r="D126" s="1" t="s">
        <v>10</v>
      </c>
      <c r="E126" s="1" t="s">
        <v>11</v>
      </c>
      <c r="F126" s="1" t="s">
        <v>15</v>
      </c>
      <c r="G126">
        <v>3</v>
      </c>
      <c r="H126">
        <v>1</v>
      </c>
      <c r="I126">
        <v>0</v>
      </c>
      <c r="J126" s="1"/>
      <c r="K126" s="1" t="s">
        <v>344</v>
      </c>
    </row>
    <row r="127" spans="1:11" x14ac:dyDescent="0.25">
      <c r="A127" s="2">
        <v>45854.513657407406</v>
      </c>
      <c r="B127" s="1" t="s">
        <v>350</v>
      </c>
      <c r="C127" s="1" t="s">
        <v>359</v>
      </c>
      <c r="D127" s="1" t="s">
        <v>10</v>
      </c>
      <c r="E127" s="1" t="s">
        <v>11</v>
      </c>
      <c r="F127" s="1" t="s">
        <v>14</v>
      </c>
      <c r="G127">
        <v>0.5</v>
      </c>
      <c r="H127">
        <v>0</v>
      </c>
      <c r="I127">
        <v>0</v>
      </c>
      <c r="J127" s="1"/>
      <c r="K127" s="1" t="s">
        <v>342</v>
      </c>
    </row>
    <row r="128" spans="1:11" x14ac:dyDescent="0.25">
      <c r="A128" s="2">
        <v>45854.54184027778</v>
      </c>
      <c r="B128" s="1" t="s">
        <v>351</v>
      </c>
      <c r="C128" s="1" t="s">
        <v>359</v>
      </c>
      <c r="D128" s="1" t="s">
        <v>10</v>
      </c>
      <c r="E128" s="1" t="s">
        <v>11</v>
      </c>
      <c r="F128" s="1" t="s">
        <v>12</v>
      </c>
      <c r="G128">
        <v>10.5</v>
      </c>
      <c r="H128">
        <v>1</v>
      </c>
      <c r="I128">
        <v>0</v>
      </c>
      <c r="J128" s="1"/>
      <c r="K128" s="1" t="s">
        <v>336</v>
      </c>
    </row>
    <row r="129" spans="1:11" x14ac:dyDescent="0.25">
      <c r="A129" s="2">
        <v>45854.624340277776</v>
      </c>
      <c r="B129" s="1" t="s">
        <v>348</v>
      </c>
      <c r="C129" s="1" t="s">
        <v>359</v>
      </c>
      <c r="D129" s="1" t="s">
        <v>10</v>
      </c>
      <c r="E129" s="1" t="s">
        <v>11</v>
      </c>
      <c r="F129" s="1" t="s">
        <v>14</v>
      </c>
      <c r="G129">
        <v>0.5</v>
      </c>
      <c r="H129">
        <v>0</v>
      </c>
      <c r="I129">
        <v>0</v>
      </c>
      <c r="J129" s="1"/>
      <c r="K129" s="1" t="s">
        <v>343</v>
      </c>
    </row>
    <row r="130" spans="1:11" x14ac:dyDescent="0.25">
      <c r="A130" s="2">
        <v>45854.637858796297</v>
      </c>
      <c r="B130" s="1" t="s">
        <v>349</v>
      </c>
      <c r="C130" s="1" t="s">
        <v>359</v>
      </c>
      <c r="D130" s="1" t="s">
        <v>10</v>
      </c>
      <c r="E130" s="1" t="s">
        <v>17</v>
      </c>
      <c r="F130" s="1" t="s">
        <v>14</v>
      </c>
      <c r="G130">
        <v>0.5</v>
      </c>
      <c r="H130">
        <v>0</v>
      </c>
      <c r="I130">
        <v>0</v>
      </c>
      <c r="J130" s="1" t="s">
        <v>39</v>
      </c>
      <c r="K130" s="1" t="s">
        <v>344</v>
      </c>
    </row>
    <row r="131" spans="1:11" x14ac:dyDescent="0.25">
      <c r="A131" s="2">
        <v>45854.654016203705</v>
      </c>
      <c r="B131" s="1" t="s">
        <v>349</v>
      </c>
      <c r="C131" s="1" t="s">
        <v>359</v>
      </c>
      <c r="D131" s="1" t="s">
        <v>10</v>
      </c>
      <c r="E131" s="1" t="s">
        <v>17</v>
      </c>
      <c r="F131" s="1" t="s">
        <v>15</v>
      </c>
      <c r="G131">
        <v>3</v>
      </c>
      <c r="H131">
        <v>0</v>
      </c>
      <c r="I131">
        <v>0</v>
      </c>
      <c r="J131" s="1"/>
      <c r="K131" s="1" t="s">
        <v>341</v>
      </c>
    </row>
    <row r="132" spans="1:11" x14ac:dyDescent="0.25">
      <c r="A132" s="2">
        <v>45854.677303240744</v>
      </c>
      <c r="B132" s="1" t="s">
        <v>353</v>
      </c>
      <c r="C132" s="1" t="s">
        <v>359</v>
      </c>
      <c r="D132" s="1" t="s">
        <v>10</v>
      </c>
      <c r="E132" s="1" t="s">
        <v>11</v>
      </c>
      <c r="F132" s="1" t="s">
        <v>14</v>
      </c>
      <c r="G132">
        <v>0.5</v>
      </c>
      <c r="H132">
        <v>0</v>
      </c>
      <c r="I132">
        <v>0</v>
      </c>
      <c r="J132" s="1" t="s">
        <v>40</v>
      </c>
      <c r="K132" s="1" t="s">
        <v>345</v>
      </c>
    </row>
    <row r="133" spans="1:11" x14ac:dyDescent="0.25">
      <c r="A133" s="2">
        <v>45854.690046296295</v>
      </c>
      <c r="B133" s="1" t="s">
        <v>353</v>
      </c>
      <c r="C133" s="1" t="s">
        <v>359</v>
      </c>
      <c r="D133" s="1" t="s">
        <v>10</v>
      </c>
      <c r="E133" s="1" t="s">
        <v>11</v>
      </c>
      <c r="F133" s="1" t="s">
        <v>15</v>
      </c>
      <c r="G133">
        <v>3</v>
      </c>
      <c r="H133">
        <v>0</v>
      </c>
      <c r="I133">
        <v>0</v>
      </c>
      <c r="J133" s="1"/>
      <c r="K133" s="1" t="s">
        <v>341</v>
      </c>
    </row>
    <row r="134" spans="1:11" x14ac:dyDescent="0.25">
      <c r="A134" s="2">
        <v>45854.697511574072</v>
      </c>
      <c r="B134" s="1" t="s">
        <v>353</v>
      </c>
      <c r="C134" s="1" t="s">
        <v>359</v>
      </c>
      <c r="D134" s="1" t="s">
        <v>10</v>
      </c>
      <c r="E134" s="1" t="s">
        <v>11</v>
      </c>
      <c r="F134" s="1" t="s">
        <v>15</v>
      </c>
      <c r="G134">
        <v>3</v>
      </c>
      <c r="H134">
        <v>0</v>
      </c>
      <c r="I134">
        <v>0</v>
      </c>
      <c r="J134" s="1"/>
      <c r="K134" s="1" t="s">
        <v>343</v>
      </c>
    </row>
    <row r="135" spans="1:11" x14ac:dyDescent="0.25">
      <c r="A135" s="2">
        <v>45854.697615740741</v>
      </c>
      <c r="B135" s="1" t="s">
        <v>353</v>
      </c>
      <c r="C135" s="1" t="s">
        <v>359</v>
      </c>
      <c r="D135" s="1" t="s">
        <v>10</v>
      </c>
      <c r="E135" s="1" t="s">
        <v>11</v>
      </c>
      <c r="F135" s="1" t="s">
        <v>15</v>
      </c>
      <c r="G135">
        <v>3</v>
      </c>
      <c r="H135">
        <v>0</v>
      </c>
      <c r="I135">
        <v>0</v>
      </c>
      <c r="J135" s="1"/>
      <c r="K135" s="1" t="s">
        <v>341</v>
      </c>
    </row>
    <row r="136" spans="1:11" x14ac:dyDescent="0.25">
      <c r="A136" s="2">
        <v>45855.409918981481</v>
      </c>
      <c r="B136" s="1" t="s">
        <v>352</v>
      </c>
      <c r="C136" s="1" t="s">
        <v>360</v>
      </c>
      <c r="D136" s="1" t="s">
        <v>10</v>
      </c>
      <c r="E136" s="1" t="s">
        <v>11</v>
      </c>
      <c r="F136" s="1" t="s">
        <v>15</v>
      </c>
      <c r="G136">
        <v>3</v>
      </c>
      <c r="H136">
        <v>0</v>
      </c>
      <c r="I136">
        <v>0</v>
      </c>
      <c r="J136" s="1"/>
      <c r="K136" s="1" t="s">
        <v>343</v>
      </c>
    </row>
    <row r="137" spans="1:11" x14ac:dyDescent="0.25">
      <c r="A137" s="2">
        <v>45855.442743055559</v>
      </c>
      <c r="B137" s="1" t="s">
        <v>347</v>
      </c>
      <c r="C137" s="1" t="s">
        <v>360</v>
      </c>
      <c r="D137" s="1" t="s">
        <v>10</v>
      </c>
      <c r="E137" s="1" t="s">
        <v>11</v>
      </c>
      <c r="F137" s="1" t="s">
        <v>15</v>
      </c>
      <c r="G137">
        <v>3</v>
      </c>
      <c r="H137">
        <v>0</v>
      </c>
      <c r="I137">
        <v>0</v>
      </c>
      <c r="J137" s="1"/>
      <c r="K137" s="1" t="s">
        <v>342</v>
      </c>
    </row>
    <row r="138" spans="1:11" x14ac:dyDescent="0.25">
      <c r="A138" s="2">
        <v>45855.469571759262</v>
      </c>
      <c r="B138" s="1" t="s">
        <v>354</v>
      </c>
      <c r="C138" s="1" t="s">
        <v>360</v>
      </c>
      <c r="D138" s="1" t="s">
        <v>10</v>
      </c>
      <c r="E138" s="1" t="s">
        <v>11</v>
      </c>
      <c r="F138" s="1" t="s">
        <v>12</v>
      </c>
      <c r="G138">
        <v>10.5</v>
      </c>
      <c r="H138">
        <v>1</v>
      </c>
      <c r="I138">
        <v>0</v>
      </c>
      <c r="J138" s="1"/>
      <c r="K138" s="1" t="s">
        <v>336</v>
      </c>
    </row>
    <row r="139" spans="1:11" x14ac:dyDescent="0.25">
      <c r="A139" s="2">
        <v>45855.469756944447</v>
      </c>
      <c r="B139" s="1" t="s">
        <v>354</v>
      </c>
      <c r="C139" s="1" t="s">
        <v>360</v>
      </c>
      <c r="D139" s="1" t="s">
        <v>10</v>
      </c>
      <c r="E139" s="1" t="s">
        <v>11</v>
      </c>
      <c r="F139" s="1" t="s">
        <v>14</v>
      </c>
      <c r="G139">
        <v>0.5</v>
      </c>
      <c r="H139">
        <v>0</v>
      </c>
      <c r="I139">
        <v>0</v>
      </c>
      <c r="J139" s="1"/>
      <c r="K139" s="1" t="s">
        <v>342</v>
      </c>
    </row>
    <row r="140" spans="1:11" x14ac:dyDescent="0.25">
      <c r="A140" s="2">
        <v>45855.471458333333</v>
      </c>
      <c r="B140" s="1" t="s">
        <v>354</v>
      </c>
      <c r="C140" s="1" t="s">
        <v>360</v>
      </c>
      <c r="D140" s="1" t="s">
        <v>20</v>
      </c>
      <c r="E140" s="1" t="s">
        <v>11</v>
      </c>
      <c r="F140" s="1" t="s">
        <v>15</v>
      </c>
      <c r="G140">
        <v>3</v>
      </c>
      <c r="H140">
        <v>0</v>
      </c>
      <c r="I140">
        <v>0</v>
      </c>
      <c r="J140" s="1"/>
      <c r="K140" s="1" t="s">
        <v>345</v>
      </c>
    </row>
    <row r="141" spans="1:11" x14ac:dyDescent="0.25">
      <c r="A141" s="2">
        <v>45855.603032407409</v>
      </c>
      <c r="B141" s="1" t="s">
        <v>348</v>
      </c>
      <c r="C141" s="1" t="s">
        <v>360</v>
      </c>
      <c r="D141" s="1" t="s">
        <v>10</v>
      </c>
      <c r="E141" s="1" t="s">
        <v>11</v>
      </c>
      <c r="F141" s="1" t="s">
        <v>15</v>
      </c>
      <c r="G141">
        <v>3</v>
      </c>
      <c r="H141">
        <v>0</v>
      </c>
      <c r="I141">
        <v>0</v>
      </c>
      <c r="J141" s="1"/>
      <c r="K141" s="1" t="s">
        <v>342</v>
      </c>
    </row>
    <row r="142" spans="1:11" x14ac:dyDescent="0.25">
      <c r="A142" s="2">
        <v>45855.708310185182</v>
      </c>
      <c r="B142" s="1" t="s">
        <v>353</v>
      </c>
      <c r="C142" s="1" t="s">
        <v>360</v>
      </c>
      <c r="D142" s="1" t="s">
        <v>10</v>
      </c>
      <c r="E142" s="1" t="s">
        <v>11</v>
      </c>
      <c r="F142" s="1" t="s">
        <v>15</v>
      </c>
      <c r="G142">
        <v>3</v>
      </c>
      <c r="H142">
        <v>1</v>
      </c>
      <c r="I142">
        <v>0</v>
      </c>
      <c r="J142" s="1" t="s">
        <v>41</v>
      </c>
      <c r="K142" s="1" t="s">
        <v>337</v>
      </c>
    </row>
    <row r="143" spans="1:11" x14ac:dyDescent="0.25">
      <c r="A143" s="2">
        <v>45856.503912037035</v>
      </c>
      <c r="B143" s="1" t="s">
        <v>350</v>
      </c>
      <c r="C143" s="1" t="s">
        <v>361</v>
      </c>
      <c r="D143" s="1" t="s">
        <v>10</v>
      </c>
      <c r="E143" s="1" t="s">
        <v>11</v>
      </c>
      <c r="F143" s="1" t="s">
        <v>12</v>
      </c>
      <c r="G143">
        <v>10.5</v>
      </c>
      <c r="H143">
        <v>0</v>
      </c>
      <c r="I143">
        <v>0</v>
      </c>
      <c r="J143" s="1"/>
      <c r="K143" s="1" t="s">
        <v>340</v>
      </c>
    </row>
    <row r="144" spans="1:11" x14ac:dyDescent="0.25">
      <c r="A144" s="2">
        <v>45856.50440972222</v>
      </c>
      <c r="B144" s="1" t="s">
        <v>350</v>
      </c>
      <c r="C144" s="1" t="s">
        <v>361</v>
      </c>
      <c r="D144" s="1" t="s">
        <v>10</v>
      </c>
      <c r="E144" s="1" t="s">
        <v>11</v>
      </c>
      <c r="F144" s="1" t="s">
        <v>12</v>
      </c>
      <c r="G144">
        <v>10.5</v>
      </c>
      <c r="H144">
        <v>0</v>
      </c>
      <c r="I144">
        <v>0</v>
      </c>
      <c r="J144" s="1" t="s">
        <v>42</v>
      </c>
      <c r="K144" s="1" t="s">
        <v>341</v>
      </c>
    </row>
    <row r="145" spans="1:11" x14ac:dyDescent="0.25">
      <c r="A145" s="2">
        <v>45856.536423611113</v>
      </c>
      <c r="B145" s="1" t="s">
        <v>350</v>
      </c>
      <c r="C145" s="1" t="s">
        <v>361</v>
      </c>
      <c r="D145" s="1" t="s">
        <v>10</v>
      </c>
      <c r="E145" s="1" t="s">
        <v>11</v>
      </c>
      <c r="F145" s="1" t="s">
        <v>18</v>
      </c>
      <c r="G145">
        <v>20</v>
      </c>
      <c r="H145">
        <v>0</v>
      </c>
      <c r="I145">
        <v>0</v>
      </c>
      <c r="J145" s="1" t="s">
        <v>43</v>
      </c>
      <c r="K145" s="1" t="s">
        <v>341</v>
      </c>
    </row>
    <row r="146" spans="1:11" x14ac:dyDescent="0.25">
      <c r="A146" s="2">
        <v>45856.626319444447</v>
      </c>
      <c r="B146" s="1" t="s">
        <v>349</v>
      </c>
      <c r="C146" s="1" t="s">
        <v>361</v>
      </c>
      <c r="D146" s="1" t="s">
        <v>10</v>
      </c>
      <c r="E146" s="1" t="s">
        <v>11</v>
      </c>
      <c r="F146" s="1" t="s">
        <v>15</v>
      </c>
      <c r="G146">
        <v>3</v>
      </c>
      <c r="H146">
        <v>0</v>
      </c>
      <c r="I146">
        <v>0</v>
      </c>
      <c r="J146" s="1" t="s">
        <v>44</v>
      </c>
      <c r="K146" s="1" t="s">
        <v>345</v>
      </c>
    </row>
    <row r="147" spans="1:11" x14ac:dyDescent="0.25">
      <c r="A147" s="2">
        <v>45856.626817129632</v>
      </c>
      <c r="B147" s="1" t="s">
        <v>349</v>
      </c>
      <c r="C147" s="1" t="s">
        <v>361</v>
      </c>
      <c r="D147" s="1" t="s">
        <v>10</v>
      </c>
      <c r="E147" s="1" t="s">
        <v>11</v>
      </c>
      <c r="F147" s="1" t="s">
        <v>14</v>
      </c>
      <c r="G147">
        <v>0.5</v>
      </c>
      <c r="H147">
        <v>0</v>
      </c>
      <c r="I147">
        <v>1</v>
      </c>
      <c r="J147" s="1" t="s">
        <v>45</v>
      </c>
      <c r="K147" s="1" t="s">
        <v>336</v>
      </c>
    </row>
    <row r="148" spans="1:11" x14ac:dyDescent="0.25">
      <c r="A148" s="2">
        <v>45856.643761574072</v>
      </c>
      <c r="B148" s="1" t="s">
        <v>349</v>
      </c>
      <c r="C148" s="1" t="s">
        <v>361</v>
      </c>
      <c r="D148" s="1" t="s">
        <v>10</v>
      </c>
      <c r="E148" s="1" t="s">
        <v>11</v>
      </c>
      <c r="F148" s="1" t="s">
        <v>12</v>
      </c>
      <c r="G148">
        <v>10.5</v>
      </c>
      <c r="H148">
        <v>0</v>
      </c>
      <c r="I148">
        <v>0</v>
      </c>
      <c r="J148" s="1" t="s">
        <v>46</v>
      </c>
      <c r="K148" s="1" t="s">
        <v>343</v>
      </c>
    </row>
    <row r="149" spans="1:11" x14ac:dyDescent="0.25">
      <c r="A149" s="2">
        <v>45856.644097222219</v>
      </c>
      <c r="B149" s="1" t="s">
        <v>349</v>
      </c>
      <c r="C149" s="1" t="s">
        <v>361</v>
      </c>
      <c r="D149" s="1" t="s">
        <v>10</v>
      </c>
      <c r="E149" s="1" t="s">
        <v>17</v>
      </c>
      <c r="F149" s="1" t="s">
        <v>15</v>
      </c>
      <c r="G149">
        <v>3</v>
      </c>
      <c r="H149">
        <v>0</v>
      </c>
      <c r="I149">
        <v>0</v>
      </c>
      <c r="J149" s="1" t="s">
        <v>47</v>
      </c>
      <c r="K149" s="1" t="s">
        <v>341</v>
      </c>
    </row>
    <row r="150" spans="1:11" x14ac:dyDescent="0.25">
      <c r="A150" s="2">
        <v>45856.687349537038</v>
      </c>
      <c r="B150" s="1" t="s">
        <v>353</v>
      </c>
      <c r="C150" s="1" t="s">
        <v>361</v>
      </c>
      <c r="D150" s="1" t="s">
        <v>10</v>
      </c>
      <c r="E150" s="1" t="s">
        <v>27</v>
      </c>
      <c r="F150" s="1" t="s">
        <v>15</v>
      </c>
      <c r="G150">
        <v>3</v>
      </c>
      <c r="H150">
        <v>0</v>
      </c>
      <c r="I150">
        <v>0</v>
      </c>
      <c r="J150" s="1" t="s">
        <v>48</v>
      </c>
      <c r="K150" s="1" t="s">
        <v>341</v>
      </c>
    </row>
    <row r="151" spans="1:11" x14ac:dyDescent="0.25">
      <c r="A151" s="2">
        <v>45857.469606481478</v>
      </c>
      <c r="B151" s="1" t="s">
        <v>354</v>
      </c>
      <c r="C151" s="1" t="s">
        <v>362</v>
      </c>
      <c r="D151" s="1" t="s">
        <v>10</v>
      </c>
      <c r="E151" s="1" t="s">
        <v>17</v>
      </c>
      <c r="F151" s="1" t="s">
        <v>12</v>
      </c>
      <c r="G151">
        <v>10.5</v>
      </c>
      <c r="H151">
        <v>1</v>
      </c>
      <c r="I151">
        <v>0</v>
      </c>
      <c r="J151" s="1"/>
      <c r="K151" s="1" t="s">
        <v>340</v>
      </c>
    </row>
    <row r="152" spans="1:11" x14ac:dyDescent="0.25">
      <c r="A152" s="2">
        <v>45860.515173611115</v>
      </c>
      <c r="B152" s="1" t="s">
        <v>350</v>
      </c>
      <c r="C152" s="1" t="s">
        <v>358</v>
      </c>
      <c r="D152" s="1" t="s">
        <v>10</v>
      </c>
      <c r="E152" s="1" t="s">
        <v>11</v>
      </c>
      <c r="F152" s="1" t="s">
        <v>15</v>
      </c>
      <c r="G152">
        <v>3</v>
      </c>
      <c r="H152">
        <v>0</v>
      </c>
      <c r="I152">
        <v>0</v>
      </c>
      <c r="J152" s="1"/>
      <c r="K152" s="1" t="s">
        <v>343</v>
      </c>
    </row>
    <row r="153" spans="1:11" x14ac:dyDescent="0.25">
      <c r="A153" s="2">
        <v>45860.515335648146</v>
      </c>
      <c r="B153" s="1" t="s">
        <v>350</v>
      </c>
      <c r="C153" s="1" t="s">
        <v>358</v>
      </c>
      <c r="D153" s="1" t="s">
        <v>10</v>
      </c>
      <c r="E153" s="1" t="s">
        <v>11</v>
      </c>
      <c r="F153" s="1" t="s">
        <v>15</v>
      </c>
      <c r="G153">
        <v>3</v>
      </c>
      <c r="H153">
        <v>0</v>
      </c>
      <c r="I153">
        <v>0</v>
      </c>
      <c r="J153" s="1"/>
      <c r="K153" s="1" t="s">
        <v>344</v>
      </c>
    </row>
    <row r="154" spans="1:11" x14ac:dyDescent="0.25">
      <c r="A154" s="2">
        <v>45860.542638888888</v>
      </c>
      <c r="B154" s="1" t="s">
        <v>351</v>
      </c>
      <c r="C154" s="1" t="s">
        <v>358</v>
      </c>
      <c r="D154" s="1" t="s">
        <v>10</v>
      </c>
      <c r="E154" s="1" t="s">
        <v>11</v>
      </c>
      <c r="F154" s="1" t="s">
        <v>12</v>
      </c>
      <c r="G154">
        <v>10.5</v>
      </c>
      <c r="H154">
        <v>1</v>
      </c>
      <c r="I154">
        <v>0</v>
      </c>
      <c r="J154" s="1"/>
      <c r="K154" s="1" t="s">
        <v>337</v>
      </c>
    </row>
    <row r="155" spans="1:11" x14ac:dyDescent="0.25">
      <c r="A155" s="2">
        <v>45860.594328703701</v>
      </c>
      <c r="B155" s="1" t="s">
        <v>348</v>
      </c>
      <c r="C155" s="1" t="s">
        <v>358</v>
      </c>
      <c r="D155" s="1" t="s">
        <v>10</v>
      </c>
      <c r="E155" s="1" t="s">
        <v>11</v>
      </c>
      <c r="F155" s="1" t="s">
        <v>14</v>
      </c>
      <c r="G155">
        <v>0.5</v>
      </c>
      <c r="H155">
        <v>0</v>
      </c>
      <c r="I155">
        <v>0</v>
      </c>
      <c r="J155" s="1"/>
      <c r="K155" s="1" t="s">
        <v>106</v>
      </c>
    </row>
    <row r="156" spans="1:11" x14ac:dyDescent="0.25">
      <c r="A156" s="2">
        <v>45860.594421296293</v>
      </c>
      <c r="B156" s="1" t="s">
        <v>348</v>
      </c>
      <c r="C156" s="1" t="s">
        <v>358</v>
      </c>
      <c r="D156" s="1" t="s">
        <v>10</v>
      </c>
      <c r="E156" s="1" t="s">
        <v>11</v>
      </c>
      <c r="F156" s="1" t="s">
        <v>15</v>
      </c>
      <c r="G156">
        <v>3</v>
      </c>
      <c r="H156">
        <v>1</v>
      </c>
      <c r="I156">
        <v>0</v>
      </c>
      <c r="J156" s="1"/>
      <c r="K156" s="1" t="s">
        <v>106</v>
      </c>
    </row>
    <row r="157" spans="1:11" x14ac:dyDescent="0.25">
      <c r="A157" s="2">
        <v>45860.594525462962</v>
      </c>
      <c r="B157" s="1" t="s">
        <v>348</v>
      </c>
      <c r="C157" s="1" t="s">
        <v>358</v>
      </c>
      <c r="D157" s="1" t="s">
        <v>10</v>
      </c>
      <c r="E157" s="1" t="s">
        <v>11</v>
      </c>
      <c r="F157" s="1" t="s">
        <v>15</v>
      </c>
      <c r="G157">
        <v>3</v>
      </c>
      <c r="H157">
        <v>0</v>
      </c>
      <c r="I157">
        <v>0</v>
      </c>
      <c r="J157" s="1"/>
      <c r="K157" s="1" t="s">
        <v>340</v>
      </c>
    </row>
    <row r="158" spans="1:11" x14ac:dyDescent="0.25">
      <c r="A158" s="2">
        <v>45860.613159722219</v>
      </c>
      <c r="B158" s="1" t="s">
        <v>348</v>
      </c>
      <c r="C158" s="1" t="s">
        <v>358</v>
      </c>
      <c r="D158" s="1" t="s">
        <v>10</v>
      </c>
      <c r="E158" s="1" t="s">
        <v>11</v>
      </c>
      <c r="F158" s="1" t="s">
        <v>18</v>
      </c>
      <c r="G158">
        <v>20</v>
      </c>
      <c r="H158">
        <v>0</v>
      </c>
      <c r="I158">
        <v>0</v>
      </c>
      <c r="J158" s="1"/>
      <c r="K158" s="1" t="s">
        <v>106</v>
      </c>
    </row>
    <row r="159" spans="1:11" x14ac:dyDescent="0.25">
      <c r="A159" s="2">
        <v>45860.72861111111</v>
      </c>
      <c r="B159" s="1" t="s">
        <v>355</v>
      </c>
      <c r="C159" s="1" t="s">
        <v>358</v>
      </c>
      <c r="D159" s="1" t="s">
        <v>10</v>
      </c>
      <c r="E159" s="1" t="s">
        <v>11</v>
      </c>
      <c r="F159" s="1" t="s">
        <v>15</v>
      </c>
      <c r="G159">
        <v>3</v>
      </c>
      <c r="H159">
        <v>0</v>
      </c>
      <c r="I159">
        <v>0</v>
      </c>
      <c r="J159" s="1"/>
      <c r="K159" s="1" t="s">
        <v>340</v>
      </c>
    </row>
    <row r="160" spans="1:11" x14ac:dyDescent="0.25">
      <c r="A160" s="2">
        <v>45860.728726851848</v>
      </c>
      <c r="B160" s="1" t="s">
        <v>355</v>
      </c>
      <c r="C160" s="1" t="s">
        <v>358</v>
      </c>
      <c r="D160" s="1" t="s">
        <v>10</v>
      </c>
      <c r="E160" s="1" t="s">
        <v>11</v>
      </c>
      <c r="F160" s="1" t="s">
        <v>15</v>
      </c>
      <c r="G160">
        <v>3</v>
      </c>
      <c r="H160">
        <v>0</v>
      </c>
      <c r="I160">
        <v>0</v>
      </c>
      <c r="J160" s="1"/>
      <c r="K160" s="1" t="s">
        <v>340</v>
      </c>
    </row>
    <row r="161" spans="1:11" x14ac:dyDescent="0.25">
      <c r="A161" s="2">
        <v>45860.728912037041</v>
      </c>
      <c r="B161" s="1" t="s">
        <v>355</v>
      </c>
      <c r="C161" s="1" t="s">
        <v>358</v>
      </c>
      <c r="D161" s="1" t="s">
        <v>10</v>
      </c>
      <c r="E161" s="1" t="s">
        <v>11</v>
      </c>
      <c r="F161" s="1" t="s">
        <v>15</v>
      </c>
      <c r="G161">
        <v>3</v>
      </c>
      <c r="H161">
        <v>1</v>
      </c>
      <c r="I161">
        <v>0</v>
      </c>
      <c r="J161" s="1"/>
      <c r="K161" s="1" t="s">
        <v>336</v>
      </c>
    </row>
    <row r="162" spans="1:11" x14ac:dyDescent="0.25">
      <c r="A162" s="2">
        <v>45860.729097222225</v>
      </c>
      <c r="B162" s="1" t="s">
        <v>355</v>
      </c>
      <c r="C162" s="1" t="s">
        <v>358</v>
      </c>
      <c r="D162" s="1" t="s">
        <v>10</v>
      </c>
      <c r="E162" s="1" t="s">
        <v>11</v>
      </c>
      <c r="F162" s="1" t="s">
        <v>15</v>
      </c>
      <c r="G162">
        <v>3</v>
      </c>
      <c r="H162">
        <v>0</v>
      </c>
      <c r="I162">
        <v>0</v>
      </c>
      <c r="J162" s="1"/>
      <c r="K162" s="1" t="s">
        <v>342</v>
      </c>
    </row>
    <row r="163" spans="1:11" x14ac:dyDescent="0.25">
      <c r="A163" s="2">
        <v>45860.72928240741</v>
      </c>
      <c r="B163" s="1" t="s">
        <v>355</v>
      </c>
      <c r="C163" s="1" t="s">
        <v>358</v>
      </c>
      <c r="D163" s="1" t="s">
        <v>10</v>
      </c>
      <c r="E163" s="1" t="s">
        <v>11</v>
      </c>
      <c r="F163" s="1" t="s">
        <v>14</v>
      </c>
      <c r="G163">
        <v>0.5</v>
      </c>
      <c r="H163">
        <v>0</v>
      </c>
      <c r="I163">
        <v>0</v>
      </c>
      <c r="J163" s="1"/>
      <c r="K163" s="1" t="s">
        <v>343</v>
      </c>
    </row>
    <row r="164" spans="1:11" x14ac:dyDescent="0.25">
      <c r="A164" s="2">
        <v>45860.729467592595</v>
      </c>
      <c r="B164" s="1" t="s">
        <v>355</v>
      </c>
      <c r="C164" s="1" t="s">
        <v>358</v>
      </c>
      <c r="D164" s="1" t="s">
        <v>10</v>
      </c>
      <c r="E164" s="1" t="s">
        <v>11</v>
      </c>
      <c r="F164" s="1" t="s">
        <v>14</v>
      </c>
      <c r="G164">
        <v>0.5</v>
      </c>
      <c r="H164">
        <v>0</v>
      </c>
      <c r="I164">
        <v>0</v>
      </c>
      <c r="J164" s="1"/>
      <c r="K164" s="1" t="s">
        <v>344</v>
      </c>
    </row>
    <row r="165" spans="1:11" x14ac:dyDescent="0.25">
      <c r="A165" s="2">
        <v>45861.452638888892</v>
      </c>
      <c r="B165" s="1" t="s">
        <v>347</v>
      </c>
      <c r="C165" s="1" t="s">
        <v>359</v>
      </c>
      <c r="D165" s="1" t="s">
        <v>10</v>
      </c>
      <c r="E165" s="1" t="s">
        <v>11</v>
      </c>
      <c r="F165" s="1" t="s">
        <v>14</v>
      </c>
      <c r="G165">
        <v>0.5</v>
      </c>
      <c r="H165">
        <v>0</v>
      </c>
      <c r="I165">
        <v>0</v>
      </c>
      <c r="J165" s="1" t="s">
        <v>49</v>
      </c>
      <c r="K165" s="1" t="s">
        <v>343</v>
      </c>
    </row>
    <row r="166" spans="1:11" x14ac:dyDescent="0.25">
      <c r="A166" s="2">
        <v>45861.452847222223</v>
      </c>
      <c r="B166" s="1" t="s">
        <v>347</v>
      </c>
      <c r="C166" s="1" t="s">
        <v>359</v>
      </c>
      <c r="D166" s="1" t="s">
        <v>10</v>
      </c>
      <c r="E166" s="1" t="s">
        <v>11</v>
      </c>
      <c r="F166" s="1" t="s">
        <v>14</v>
      </c>
      <c r="G166">
        <v>0.5</v>
      </c>
      <c r="H166">
        <v>0</v>
      </c>
      <c r="I166">
        <v>0</v>
      </c>
      <c r="J166" s="1" t="s">
        <v>49</v>
      </c>
      <c r="K166" s="1" t="s">
        <v>343</v>
      </c>
    </row>
    <row r="167" spans="1:11" x14ac:dyDescent="0.25">
      <c r="A167" s="2">
        <v>45862.389016203706</v>
      </c>
      <c r="B167" s="1" t="s">
        <v>352</v>
      </c>
      <c r="C167" s="1" t="s">
        <v>360</v>
      </c>
      <c r="D167" s="1" t="s">
        <v>20</v>
      </c>
      <c r="E167" s="1" t="s">
        <v>11</v>
      </c>
      <c r="F167" s="1" t="s">
        <v>15</v>
      </c>
      <c r="G167">
        <v>3</v>
      </c>
      <c r="H167">
        <v>0</v>
      </c>
      <c r="I167">
        <v>0</v>
      </c>
      <c r="J167" s="1" t="s">
        <v>50</v>
      </c>
      <c r="K167" s="1" t="s">
        <v>336</v>
      </c>
    </row>
    <row r="168" spans="1:11" x14ac:dyDescent="0.25">
      <c r="A168" s="2">
        <v>45862.522256944445</v>
      </c>
      <c r="B168" s="1" t="s">
        <v>350</v>
      </c>
      <c r="C168" s="1" t="s">
        <v>360</v>
      </c>
      <c r="D168" s="1" t="s">
        <v>10</v>
      </c>
      <c r="E168" s="1" t="s">
        <v>11</v>
      </c>
      <c r="F168" s="1" t="s">
        <v>18</v>
      </c>
      <c r="G168">
        <v>20</v>
      </c>
      <c r="H168">
        <v>0</v>
      </c>
      <c r="I168">
        <v>0</v>
      </c>
      <c r="J168" s="1"/>
      <c r="K168" s="1" t="s">
        <v>340</v>
      </c>
    </row>
    <row r="169" spans="1:11" x14ac:dyDescent="0.25">
      <c r="A169" s="2">
        <v>45862.554050925923</v>
      </c>
      <c r="B169" s="1" t="s">
        <v>351</v>
      </c>
      <c r="C169" s="1" t="s">
        <v>360</v>
      </c>
      <c r="D169" s="1" t="s">
        <v>10</v>
      </c>
      <c r="E169" s="1" t="s">
        <v>11</v>
      </c>
      <c r="F169" s="1" t="s">
        <v>12</v>
      </c>
      <c r="G169">
        <v>10.5</v>
      </c>
      <c r="H169">
        <v>0</v>
      </c>
      <c r="I169">
        <v>0</v>
      </c>
      <c r="J169" s="1" t="s">
        <v>51</v>
      </c>
      <c r="K169" s="1" t="s">
        <v>343</v>
      </c>
    </row>
    <row r="170" spans="1:11" x14ac:dyDescent="0.25">
      <c r="A170" s="2">
        <v>45862.571655092594</v>
      </c>
      <c r="B170" s="1" t="s">
        <v>351</v>
      </c>
      <c r="C170" s="1" t="s">
        <v>360</v>
      </c>
      <c r="D170" s="1" t="s">
        <v>10</v>
      </c>
      <c r="E170" s="1" t="s">
        <v>11</v>
      </c>
      <c r="F170" s="1" t="s">
        <v>14</v>
      </c>
      <c r="G170">
        <v>0.5</v>
      </c>
      <c r="H170">
        <v>0</v>
      </c>
      <c r="I170">
        <v>0</v>
      </c>
      <c r="J170" s="1" t="s">
        <v>52</v>
      </c>
      <c r="K170" s="1" t="s">
        <v>344</v>
      </c>
    </row>
    <row r="171" spans="1:11" x14ac:dyDescent="0.25">
      <c r="A171" s="2">
        <v>45862.581250000003</v>
      </c>
      <c r="B171" s="1" t="s">
        <v>351</v>
      </c>
      <c r="C171" s="1" t="s">
        <v>360</v>
      </c>
      <c r="D171" s="1" t="s">
        <v>10</v>
      </c>
      <c r="E171" s="1" t="s">
        <v>11</v>
      </c>
      <c r="F171" s="1" t="s">
        <v>14</v>
      </c>
      <c r="G171">
        <v>0.5</v>
      </c>
      <c r="H171">
        <v>0</v>
      </c>
      <c r="I171">
        <v>0</v>
      </c>
      <c r="J171" s="1"/>
      <c r="K171" s="1" t="s">
        <v>344</v>
      </c>
    </row>
    <row r="172" spans="1:11" x14ac:dyDescent="0.25">
      <c r="A172" s="2">
        <v>45863.517430555556</v>
      </c>
      <c r="B172" s="1" t="s">
        <v>350</v>
      </c>
      <c r="C172" s="1" t="s">
        <v>361</v>
      </c>
      <c r="D172" s="1" t="s">
        <v>10</v>
      </c>
      <c r="E172" s="1" t="s">
        <v>11</v>
      </c>
      <c r="F172" s="1" t="s">
        <v>15</v>
      </c>
      <c r="G172">
        <v>3</v>
      </c>
      <c r="H172">
        <v>0</v>
      </c>
      <c r="I172">
        <v>0</v>
      </c>
      <c r="J172" s="1"/>
      <c r="K172" s="1" t="s">
        <v>341</v>
      </c>
    </row>
    <row r="173" spans="1:11" x14ac:dyDescent="0.25">
      <c r="A173" s="2">
        <v>45863.517523148148</v>
      </c>
      <c r="B173" s="1" t="s">
        <v>350</v>
      </c>
      <c r="C173" s="1" t="s">
        <v>361</v>
      </c>
      <c r="D173" s="1" t="s">
        <v>10</v>
      </c>
      <c r="E173" s="1" t="s">
        <v>11</v>
      </c>
      <c r="F173" s="1" t="s">
        <v>15</v>
      </c>
      <c r="G173">
        <v>3</v>
      </c>
      <c r="H173">
        <v>0</v>
      </c>
      <c r="I173">
        <v>0</v>
      </c>
      <c r="J173" s="1"/>
      <c r="K173" s="1" t="s">
        <v>341</v>
      </c>
    </row>
    <row r="174" spans="1:11" x14ac:dyDescent="0.25">
      <c r="A174" s="2">
        <v>45863.542650462965</v>
      </c>
      <c r="B174" s="1" t="s">
        <v>351</v>
      </c>
      <c r="C174" s="1" t="s">
        <v>361</v>
      </c>
      <c r="D174" s="1" t="s">
        <v>10</v>
      </c>
      <c r="E174" s="1" t="s">
        <v>11</v>
      </c>
      <c r="F174" s="1" t="s">
        <v>14</v>
      </c>
      <c r="G174">
        <v>0.5</v>
      </c>
      <c r="H174">
        <v>0</v>
      </c>
      <c r="I174">
        <v>0</v>
      </c>
      <c r="J174" s="1"/>
      <c r="K174" s="1" t="s">
        <v>343</v>
      </c>
    </row>
    <row r="175" spans="1:11" x14ac:dyDescent="0.25">
      <c r="A175" s="2">
        <v>45863.542858796296</v>
      </c>
      <c r="B175" s="1" t="s">
        <v>351</v>
      </c>
      <c r="C175" s="1" t="s">
        <v>361</v>
      </c>
      <c r="D175" s="1" t="s">
        <v>10</v>
      </c>
      <c r="E175" s="1" t="s">
        <v>11</v>
      </c>
      <c r="F175" s="1" t="s">
        <v>18</v>
      </c>
      <c r="G175">
        <v>20</v>
      </c>
      <c r="H175">
        <v>0</v>
      </c>
      <c r="I175">
        <v>0</v>
      </c>
      <c r="J175" s="1"/>
      <c r="K175" s="1" t="s">
        <v>340</v>
      </c>
    </row>
    <row r="176" spans="1:11" x14ac:dyDescent="0.25">
      <c r="A176" s="2">
        <v>45863.542858796296</v>
      </c>
      <c r="B176" s="1" t="s">
        <v>351</v>
      </c>
      <c r="C176" s="1" t="s">
        <v>361</v>
      </c>
      <c r="D176" s="1" t="s">
        <v>10</v>
      </c>
      <c r="E176" s="1" t="s">
        <v>11</v>
      </c>
      <c r="F176" s="1" t="s">
        <v>18</v>
      </c>
      <c r="G176">
        <v>20</v>
      </c>
      <c r="H176">
        <v>0</v>
      </c>
      <c r="I176">
        <v>0</v>
      </c>
      <c r="J176" s="1"/>
      <c r="K176" s="1" t="s">
        <v>343</v>
      </c>
    </row>
    <row r="177" spans="1:11" x14ac:dyDescent="0.25">
      <c r="A177" s="2">
        <v>45863.606921296298</v>
      </c>
      <c r="B177" s="1" t="s">
        <v>348</v>
      </c>
      <c r="C177" s="1" t="s">
        <v>361</v>
      </c>
      <c r="D177" s="1" t="s">
        <v>10</v>
      </c>
      <c r="E177" s="1" t="s">
        <v>11</v>
      </c>
      <c r="F177" s="1" t="s">
        <v>18</v>
      </c>
      <c r="G177">
        <v>20</v>
      </c>
      <c r="H177">
        <v>1</v>
      </c>
      <c r="I177">
        <v>0</v>
      </c>
      <c r="J177" s="1"/>
      <c r="K177" s="1" t="s">
        <v>336</v>
      </c>
    </row>
    <row r="178" spans="1:11" x14ac:dyDescent="0.25">
      <c r="A178" s="2">
        <v>45863.606921296298</v>
      </c>
      <c r="B178" s="1" t="s">
        <v>348</v>
      </c>
      <c r="C178" s="1" t="s">
        <v>361</v>
      </c>
      <c r="D178" s="1" t="s">
        <v>10</v>
      </c>
      <c r="E178" s="1" t="s">
        <v>11</v>
      </c>
      <c r="F178" s="1" t="s">
        <v>18</v>
      </c>
      <c r="G178">
        <v>20</v>
      </c>
      <c r="H178">
        <v>1</v>
      </c>
      <c r="I178">
        <v>0</v>
      </c>
      <c r="J178" s="1"/>
      <c r="K178" s="1" t="s">
        <v>340</v>
      </c>
    </row>
    <row r="179" spans="1:11" x14ac:dyDescent="0.25">
      <c r="A179" s="2">
        <v>45863.606921296298</v>
      </c>
      <c r="B179" s="1" t="s">
        <v>348</v>
      </c>
      <c r="C179" s="1" t="s">
        <v>361</v>
      </c>
      <c r="D179" s="1" t="s">
        <v>10</v>
      </c>
      <c r="E179" s="1" t="s">
        <v>11</v>
      </c>
      <c r="F179" s="1" t="s">
        <v>18</v>
      </c>
      <c r="G179">
        <v>20</v>
      </c>
      <c r="H179">
        <v>1</v>
      </c>
      <c r="I179">
        <v>0</v>
      </c>
      <c r="J179" s="1"/>
      <c r="K179" s="1" t="s">
        <v>106</v>
      </c>
    </row>
    <row r="180" spans="1:11" x14ac:dyDescent="0.25">
      <c r="A180" s="2">
        <v>45863.606921296298</v>
      </c>
      <c r="B180" s="1" t="s">
        <v>348</v>
      </c>
      <c r="C180" s="1" t="s">
        <v>361</v>
      </c>
      <c r="D180" s="1" t="s">
        <v>10</v>
      </c>
      <c r="E180" s="1" t="s">
        <v>11</v>
      </c>
      <c r="F180" s="1" t="s">
        <v>18</v>
      </c>
      <c r="G180">
        <v>20</v>
      </c>
      <c r="H180">
        <v>1</v>
      </c>
      <c r="I180">
        <v>0</v>
      </c>
      <c r="J180" s="1"/>
      <c r="K180" s="1" t="s">
        <v>343</v>
      </c>
    </row>
    <row r="181" spans="1:11" x14ac:dyDescent="0.25">
      <c r="A181" s="2">
        <v>45863.60796296296</v>
      </c>
      <c r="B181" s="1" t="s">
        <v>348</v>
      </c>
      <c r="C181" s="1" t="s">
        <v>361</v>
      </c>
      <c r="D181" s="1" t="s">
        <v>10</v>
      </c>
      <c r="E181" s="1" t="s">
        <v>11</v>
      </c>
      <c r="F181" s="1" t="s">
        <v>12</v>
      </c>
      <c r="G181">
        <v>10.5</v>
      </c>
      <c r="H181">
        <v>1</v>
      </c>
      <c r="I181">
        <v>0</v>
      </c>
      <c r="J181" s="1" t="s">
        <v>53</v>
      </c>
      <c r="K181" s="1" t="s">
        <v>336</v>
      </c>
    </row>
    <row r="182" spans="1:11" x14ac:dyDescent="0.25">
      <c r="A182" s="2">
        <v>45863.608113425929</v>
      </c>
      <c r="B182" s="1" t="s">
        <v>348</v>
      </c>
      <c r="C182" s="1" t="s">
        <v>361</v>
      </c>
      <c r="D182" s="1" t="s">
        <v>10</v>
      </c>
      <c r="E182" s="1" t="s">
        <v>11</v>
      </c>
      <c r="F182" s="1" t="s">
        <v>14</v>
      </c>
      <c r="G182">
        <v>0.5</v>
      </c>
      <c r="H182">
        <v>0</v>
      </c>
      <c r="I182">
        <v>0</v>
      </c>
      <c r="J182" s="1"/>
      <c r="K182" s="1" t="s">
        <v>344</v>
      </c>
    </row>
    <row r="183" spans="1:11" x14ac:dyDescent="0.25">
      <c r="A183" s="2">
        <v>45863.608344907407</v>
      </c>
      <c r="B183" s="1" t="s">
        <v>348</v>
      </c>
      <c r="C183" s="1" t="s">
        <v>361</v>
      </c>
      <c r="D183" s="1" t="s">
        <v>10</v>
      </c>
      <c r="E183" s="1" t="s">
        <v>11</v>
      </c>
      <c r="F183" s="1" t="s">
        <v>15</v>
      </c>
      <c r="G183">
        <v>3</v>
      </c>
      <c r="H183">
        <v>1</v>
      </c>
      <c r="I183">
        <v>0</v>
      </c>
      <c r="J183" s="1"/>
      <c r="K183" s="1" t="s">
        <v>336</v>
      </c>
    </row>
    <row r="184" spans="1:11" x14ac:dyDescent="0.25">
      <c r="A184" s="2">
        <v>45863.625648148147</v>
      </c>
      <c r="B184" s="1" t="s">
        <v>349</v>
      </c>
      <c r="C184" s="1" t="s">
        <v>361</v>
      </c>
      <c r="D184" s="1" t="s">
        <v>20</v>
      </c>
      <c r="E184" s="1" t="s">
        <v>11</v>
      </c>
      <c r="F184" s="1" t="s">
        <v>15</v>
      </c>
      <c r="G184">
        <v>3</v>
      </c>
      <c r="H184">
        <v>0</v>
      </c>
      <c r="I184">
        <v>0</v>
      </c>
      <c r="J184" s="1"/>
      <c r="K184" s="1" t="s">
        <v>336</v>
      </c>
    </row>
    <row r="185" spans="1:11" x14ac:dyDescent="0.25">
      <c r="A185" s="2">
        <v>45863.675254629627</v>
      </c>
      <c r="B185" s="1" t="s">
        <v>353</v>
      </c>
      <c r="C185" s="1" t="s">
        <v>361</v>
      </c>
      <c r="D185" s="1" t="s">
        <v>10</v>
      </c>
      <c r="E185" s="1" t="s">
        <v>11</v>
      </c>
      <c r="F185" s="1" t="s">
        <v>15</v>
      </c>
      <c r="G185">
        <v>3</v>
      </c>
      <c r="H185">
        <v>0</v>
      </c>
      <c r="I185">
        <v>0</v>
      </c>
      <c r="J185" s="1"/>
      <c r="K185" s="1" t="s">
        <v>340</v>
      </c>
    </row>
    <row r="186" spans="1:11" x14ac:dyDescent="0.25">
      <c r="A186" s="2">
        <v>45863.737685185188</v>
      </c>
      <c r="B186" s="1" t="s">
        <v>355</v>
      </c>
      <c r="C186" s="1" t="s">
        <v>361</v>
      </c>
      <c r="D186" s="1" t="s">
        <v>10</v>
      </c>
      <c r="E186" s="1" t="s">
        <v>11</v>
      </c>
      <c r="F186" s="1" t="s">
        <v>15</v>
      </c>
      <c r="G186">
        <v>3</v>
      </c>
      <c r="H186">
        <v>0</v>
      </c>
      <c r="I186">
        <v>0</v>
      </c>
      <c r="J186" s="1"/>
      <c r="K186" s="1" t="s">
        <v>340</v>
      </c>
    </row>
    <row r="187" spans="1:11" x14ac:dyDescent="0.25">
      <c r="A187" s="2">
        <v>45863.737847222219</v>
      </c>
      <c r="B187" s="1" t="s">
        <v>355</v>
      </c>
      <c r="C187" s="1" t="s">
        <v>361</v>
      </c>
      <c r="D187" s="1" t="s">
        <v>10</v>
      </c>
      <c r="E187" s="1" t="s">
        <v>11</v>
      </c>
      <c r="F187" s="1" t="s">
        <v>15</v>
      </c>
      <c r="G187">
        <v>3</v>
      </c>
      <c r="H187">
        <v>0</v>
      </c>
      <c r="I187">
        <v>0</v>
      </c>
      <c r="J187" s="1"/>
      <c r="K187" s="1" t="s">
        <v>341</v>
      </c>
    </row>
    <row r="188" spans="1:11" x14ac:dyDescent="0.25">
      <c r="A188" s="2">
        <v>45863.737939814811</v>
      </c>
      <c r="B188" s="1" t="s">
        <v>355</v>
      </c>
      <c r="C188" s="1" t="s">
        <v>361</v>
      </c>
      <c r="D188" s="1" t="s">
        <v>10</v>
      </c>
      <c r="E188" s="1" t="s">
        <v>11</v>
      </c>
      <c r="F188" s="1" t="s">
        <v>14</v>
      </c>
      <c r="G188">
        <v>0.5</v>
      </c>
      <c r="H188">
        <v>0</v>
      </c>
      <c r="I188">
        <v>0</v>
      </c>
      <c r="J188" s="1"/>
      <c r="K188" s="1" t="s">
        <v>344</v>
      </c>
    </row>
    <row r="189" spans="1:11" x14ac:dyDescent="0.25">
      <c r="A189" s="2">
        <v>45863.738043981481</v>
      </c>
      <c r="B189" s="1" t="s">
        <v>355</v>
      </c>
      <c r="C189" s="1" t="s">
        <v>361</v>
      </c>
      <c r="D189" s="1" t="s">
        <v>10</v>
      </c>
      <c r="E189" s="1" t="s">
        <v>11</v>
      </c>
      <c r="F189" s="1" t="s">
        <v>14</v>
      </c>
      <c r="G189">
        <v>0.5</v>
      </c>
      <c r="H189">
        <v>0</v>
      </c>
      <c r="I189">
        <v>0</v>
      </c>
      <c r="J189" s="1"/>
      <c r="K189" s="1" t="s">
        <v>343</v>
      </c>
    </row>
    <row r="190" spans="1:11" x14ac:dyDescent="0.25">
      <c r="A190" s="2">
        <v>45863.738217592596</v>
      </c>
      <c r="B190" s="1" t="s">
        <v>355</v>
      </c>
      <c r="C190" s="1" t="s">
        <v>361</v>
      </c>
      <c r="D190" s="1" t="s">
        <v>10</v>
      </c>
      <c r="E190" s="1" t="s">
        <v>11</v>
      </c>
      <c r="F190" s="1" t="s">
        <v>14</v>
      </c>
      <c r="G190">
        <v>0.5</v>
      </c>
      <c r="H190">
        <v>0</v>
      </c>
      <c r="I190">
        <v>0</v>
      </c>
      <c r="J190" s="1"/>
      <c r="K190" s="1" t="s">
        <v>345</v>
      </c>
    </row>
    <row r="191" spans="1:11" x14ac:dyDescent="0.25">
      <c r="A191" s="2">
        <v>45864.449259259258</v>
      </c>
      <c r="B191" s="1" t="s">
        <v>347</v>
      </c>
      <c r="C191" s="1" t="s">
        <v>362</v>
      </c>
      <c r="D191" s="1" t="s">
        <v>10</v>
      </c>
      <c r="E191" s="1" t="s">
        <v>11</v>
      </c>
      <c r="F191" s="1" t="s">
        <v>18</v>
      </c>
      <c r="G191">
        <v>20</v>
      </c>
      <c r="H191">
        <v>1</v>
      </c>
      <c r="I191">
        <v>0</v>
      </c>
      <c r="J191" s="1"/>
      <c r="K191" s="1" t="s">
        <v>337</v>
      </c>
    </row>
    <row r="192" spans="1:11" x14ac:dyDescent="0.25">
      <c r="A192" s="2">
        <v>45864.449259259258</v>
      </c>
      <c r="B192" s="1" t="s">
        <v>347</v>
      </c>
      <c r="C192" s="1" t="s">
        <v>362</v>
      </c>
      <c r="D192" s="1" t="s">
        <v>10</v>
      </c>
      <c r="E192" s="1" t="s">
        <v>11</v>
      </c>
      <c r="F192" s="1" t="s">
        <v>18</v>
      </c>
      <c r="G192">
        <v>20</v>
      </c>
      <c r="H192">
        <v>1</v>
      </c>
      <c r="I192">
        <v>0</v>
      </c>
      <c r="J192" s="1"/>
      <c r="K192" s="1" t="s">
        <v>340</v>
      </c>
    </row>
    <row r="193" spans="1:11" x14ac:dyDescent="0.25">
      <c r="A193" s="2">
        <v>45864.449259259258</v>
      </c>
      <c r="B193" s="1" t="s">
        <v>347</v>
      </c>
      <c r="C193" s="1" t="s">
        <v>362</v>
      </c>
      <c r="D193" s="1" t="s">
        <v>10</v>
      </c>
      <c r="E193" s="1" t="s">
        <v>11</v>
      </c>
      <c r="F193" s="1" t="s">
        <v>18</v>
      </c>
      <c r="G193">
        <v>20</v>
      </c>
      <c r="H193">
        <v>1</v>
      </c>
      <c r="I193">
        <v>0</v>
      </c>
      <c r="J193" s="1"/>
      <c r="K193" s="1" t="s">
        <v>343</v>
      </c>
    </row>
    <row r="194" spans="1:11" x14ac:dyDescent="0.25">
      <c r="A194" s="2">
        <v>45864.450266203705</v>
      </c>
      <c r="B194" s="1" t="s">
        <v>347</v>
      </c>
      <c r="C194" s="1" t="s">
        <v>362</v>
      </c>
      <c r="D194" s="1" t="s">
        <v>10</v>
      </c>
      <c r="E194" s="1" t="s">
        <v>11</v>
      </c>
      <c r="F194" s="1" t="s">
        <v>14</v>
      </c>
      <c r="G194">
        <v>0.5</v>
      </c>
      <c r="H194">
        <v>0</v>
      </c>
      <c r="I194">
        <v>0</v>
      </c>
      <c r="J194" s="1"/>
      <c r="K194" s="1" t="s">
        <v>343</v>
      </c>
    </row>
    <row r="195" spans="1:11" x14ac:dyDescent="0.25">
      <c r="A195" s="2">
        <v>45864.450428240743</v>
      </c>
      <c r="B195" s="1" t="s">
        <v>347</v>
      </c>
      <c r="C195" s="1" t="s">
        <v>362</v>
      </c>
      <c r="D195" s="1" t="s">
        <v>10</v>
      </c>
      <c r="E195" s="1" t="s">
        <v>11</v>
      </c>
      <c r="F195" s="1" t="s">
        <v>14</v>
      </c>
      <c r="G195">
        <v>0.5</v>
      </c>
      <c r="H195">
        <v>0</v>
      </c>
      <c r="I195">
        <v>0</v>
      </c>
      <c r="J195" s="1"/>
      <c r="K195" s="1" t="s">
        <v>343</v>
      </c>
    </row>
    <row r="196" spans="1:11" x14ac:dyDescent="0.25">
      <c r="A196" s="2">
        <v>45867.557280092595</v>
      </c>
      <c r="B196" s="1" t="s">
        <v>351</v>
      </c>
      <c r="C196" s="1" t="s">
        <v>358</v>
      </c>
      <c r="D196" s="1" t="s">
        <v>10</v>
      </c>
      <c r="E196" s="1" t="s">
        <v>11</v>
      </c>
      <c r="F196" s="1" t="s">
        <v>14</v>
      </c>
      <c r="G196">
        <v>0.5</v>
      </c>
      <c r="H196">
        <v>0</v>
      </c>
      <c r="I196">
        <v>0</v>
      </c>
      <c r="J196" s="1"/>
      <c r="K196" s="1" t="s">
        <v>344</v>
      </c>
    </row>
    <row r="197" spans="1:11" x14ac:dyDescent="0.25">
      <c r="A197" s="2">
        <v>45867.585775462961</v>
      </c>
      <c r="B197" s="1" t="s">
        <v>348</v>
      </c>
      <c r="C197" s="1" t="s">
        <v>358</v>
      </c>
      <c r="D197" s="1" t="s">
        <v>10</v>
      </c>
      <c r="E197" s="1" t="s">
        <v>11</v>
      </c>
      <c r="F197" s="1" t="s">
        <v>15</v>
      </c>
      <c r="G197">
        <v>3</v>
      </c>
      <c r="H197">
        <v>0</v>
      </c>
      <c r="I197">
        <v>0</v>
      </c>
      <c r="J197" s="1"/>
      <c r="K197" s="1" t="s">
        <v>106</v>
      </c>
    </row>
    <row r="198" spans="1:11" x14ac:dyDescent="0.25">
      <c r="A198" s="2">
        <v>45867.585844907408</v>
      </c>
      <c r="B198" s="1" t="s">
        <v>348</v>
      </c>
      <c r="C198" s="1" t="s">
        <v>358</v>
      </c>
      <c r="D198" s="1" t="s">
        <v>10</v>
      </c>
      <c r="E198" s="1" t="s">
        <v>11</v>
      </c>
      <c r="F198" s="1" t="s">
        <v>15</v>
      </c>
      <c r="G198">
        <v>3</v>
      </c>
      <c r="H198">
        <v>0</v>
      </c>
      <c r="I198">
        <v>0</v>
      </c>
      <c r="J198" s="1"/>
      <c r="K198" s="1" t="s">
        <v>336</v>
      </c>
    </row>
    <row r="199" spans="1:11" x14ac:dyDescent="0.25">
      <c r="A199" s="2">
        <v>45867.612881944442</v>
      </c>
      <c r="B199" s="1" t="s">
        <v>348</v>
      </c>
      <c r="C199" s="1" t="s">
        <v>358</v>
      </c>
      <c r="D199" s="1" t="s">
        <v>10</v>
      </c>
      <c r="E199" s="1" t="s">
        <v>11</v>
      </c>
      <c r="F199" s="1" t="s">
        <v>15</v>
      </c>
      <c r="G199">
        <v>3</v>
      </c>
      <c r="H199">
        <v>0</v>
      </c>
      <c r="I199">
        <v>0</v>
      </c>
      <c r="J199" s="1"/>
      <c r="K199" s="1" t="s">
        <v>341</v>
      </c>
    </row>
    <row r="200" spans="1:11" x14ac:dyDescent="0.25">
      <c r="A200" s="2">
        <v>45868.460266203707</v>
      </c>
      <c r="B200" s="1" t="s">
        <v>354</v>
      </c>
      <c r="C200" s="1" t="s">
        <v>359</v>
      </c>
      <c r="D200" s="1" t="s">
        <v>10</v>
      </c>
      <c r="E200" s="1" t="s">
        <v>11</v>
      </c>
      <c r="F200" s="1" t="s">
        <v>14</v>
      </c>
      <c r="G200">
        <v>0.5</v>
      </c>
      <c r="H200">
        <v>0</v>
      </c>
      <c r="I200">
        <v>0</v>
      </c>
      <c r="J200" s="1" t="s">
        <v>54</v>
      </c>
      <c r="K200" s="1" t="s">
        <v>345</v>
      </c>
    </row>
    <row r="201" spans="1:11" x14ac:dyDescent="0.25">
      <c r="A201" s="2">
        <v>45868.530289351853</v>
      </c>
      <c r="B201" s="1" t="s">
        <v>350</v>
      </c>
      <c r="C201" s="1" t="s">
        <v>359</v>
      </c>
      <c r="D201" s="1" t="s">
        <v>10</v>
      </c>
      <c r="E201" s="1" t="s">
        <v>11</v>
      </c>
      <c r="F201" s="1" t="s">
        <v>12</v>
      </c>
      <c r="G201">
        <v>10.5</v>
      </c>
      <c r="H201">
        <v>1</v>
      </c>
      <c r="I201">
        <v>0</v>
      </c>
      <c r="J201" s="1"/>
      <c r="K201" s="1" t="s">
        <v>336</v>
      </c>
    </row>
    <row r="202" spans="1:11" x14ac:dyDescent="0.25">
      <c r="A202" s="2">
        <v>45868.530497685184</v>
      </c>
      <c r="B202" s="1" t="s">
        <v>350</v>
      </c>
      <c r="C202" s="1" t="s">
        <v>359</v>
      </c>
      <c r="D202" s="1" t="s">
        <v>10</v>
      </c>
      <c r="E202" s="1" t="s">
        <v>11</v>
      </c>
      <c r="F202" s="1" t="s">
        <v>12</v>
      </c>
      <c r="G202">
        <v>10.5</v>
      </c>
      <c r="H202">
        <v>1</v>
      </c>
      <c r="I202">
        <v>1</v>
      </c>
      <c r="J202" s="1"/>
      <c r="K202" s="1" t="s">
        <v>337</v>
      </c>
    </row>
    <row r="203" spans="1:11" x14ac:dyDescent="0.25">
      <c r="A203" s="2">
        <v>45868.530717592592</v>
      </c>
      <c r="B203" s="1" t="s">
        <v>350</v>
      </c>
      <c r="C203" s="1" t="s">
        <v>359</v>
      </c>
      <c r="D203" s="1" t="s">
        <v>10</v>
      </c>
      <c r="E203" s="1" t="s">
        <v>11</v>
      </c>
      <c r="F203" s="1" t="s">
        <v>15</v>
      </c>
      <c r="G203">
        <v>3</v>
      </c>
      <c r="H203">
        <v>0</v>
      </c>
      <c r="I203">
        <v>0</v>
      </c>
      <c r="J203" s="1"/>
      <c r="K203" s="1" t="s">
        <v>345</v>
      </c>
    </row>
    <row r="204" spans="1:11" x14ac:dyDescent="0.25">
      <c r="A204" s="2">
        <v>45868.544606481482</v>
      </c>
      <c r="B204" s="1" t="s">
        <v>351</v>
      </c>
      <c r="C204" s="1" t="s">
        <v>359</v>
      </c>
      <c r="D204" s="1" t="s">
        <v>10</v>
      </c>
      <c r="E204" s="1" t="s">
        <v>11</v>
      </c>
      <c r="F204" s="1" t="s">
        <v>12</v>
      </c>
      <c r="G204">
        <v>10.5</v>
      </c>
      <c r="H204">
        <v>1</v>
      </c>
      <c r="I204">
        <v>0</v>
      </c>
      <c r="J204" s="1"/>
      <c r="K204" s="1" t="s">
        <v>336</v>
      </c>
    </row>
    <row r="205" spans="1:11" x14ac:dyDescent="0.25">
      <c r="A205" s="2">
        <v>45868.557326388887</v>
      </c>
      <c r="B205" s="1" t="s">
        <v>351</v>
      </c>
      <c r="C205" s="1" t="s">
        <v>359</v>
      </c>
      <c r="D205" s="1" t="s">
        <v>10</v>
      </c>
      <c r="E205" s="1" t="s">
        <v>11</v>
      </c>
      <c r="F205" s="1" t="s">
        <v>12</v>
      </c>
      <c r="G205">
        <v>10.5</v>
      </c>
      <c r="H205">
        <v>0</v>
      </c>
      <c r="I205">
        <v>0</v>
      </c>
      <c r="J205" s="1"/>
      <c r="K205" s="1" t="s">
        <v>336</v>
      </c>
    </row>
    <row r="206" spans="1:11" x14ac:dyDescent="0.25">
      <c r="A206" s="2">
        <v>45868.557326388887</v>
      </c>
      <c r="B206" s="1" t="s">
        <v>351</v>
      </c>
      <c r="C206" s="1" t="s">
        <v>359</v>
      </c>
      <c r="D206" s="1" t="s">
        <v>10</v>
      </c>
      <c r="E206" s="1" t="s">
        <v>11</v>
      </c>
      <c r="F206" s="1" t="s">
        <v>12</v>
      </c>
      <c r="G206">
        <v>10.5</v>
      </c>
      <c r="H206">
        <v>0</v>
      </c>
      <c r="I206">
        <v>0</v>
      </c>
      <c r="J206" s="1"/>
      <c r="K206" s="1" t="s">
        <v>106</v>
      </c>
    </row>
    <row r="207" spans="1:11" x14ac:dyDescent="0.25">
      <c r="A207" s="2">
        <v>45868.744814814818</v>
      </c>
      <c r="B207" s="1" t="s">
        <v>355</v>
      </c>
      <c r="C207" s="1" t="s">
        <v>359</v>
      </c>
      <c r="D207" s="1" t="s">
        <v>10</v>
      </c>
      <c r="E207" s="1" t="s">
        <v>11</v>
      </c>
      <c r="F207" s="1" t="s">
        <v>15</v>
      </c>
      <c r="G207">
        <v>3</v>
      </c>
      <c r="H207">
        <v>0</v>
      </c>
      <c r="I207">
        <v>0</v>
      </c>
      <c r="J207" s="1"/>
      <c r="K207" s="1" t="s">
        <v>340</v>
      </c>
    </row>
    <row r="208" spans="1:11" x14ac:dyDescent="0.25">
      <c r="A208" s="2">
        <v>45868.74795138889</v>
      </c>
      <c r="B208" s="1" t="s">
        <v>355</v>
      </c>
      <c r="C208" s="1" t="s">
        <v>359</v>
      </c>
      <c r="D208" s="1" t="s">
        <v>10</v>
      </c>
      <c r="E208" s="1" t="s">
        <v>11</v>
      </c>
      <c r="F208" s="1" t="s">
        <v>14</v>
      </c>
      <c r="G208">
        <v>0.5</v>
      </c>
      <c r="H208">
        <v>0</v>
      </c>
      <c r="I208">
        <v>0</v>
      </c>
      <c r="J208" s="1"/>
      <c r="K208" s="1" t="s">
        <v>344</v>
      </c>
    </row>
    <row r="209" spans="1:11" x14ac:dyDescent="0.25">
      <c r="A209" s="2">
        <v>45868.748182870368</v>
      </c>
      <c r="B209" s="1" t="s">
        <v>355</v>
      </c>
      <c r="C209" s="1" t="s">
        <v>359</v>
      </c>
      <c r="D209" s="1" t="s">
        <v>10</v>
      </c>
      <c r="E209" s="1" t="s">
        <v>11</v>
      </c>
      <c r="F209" s="1" t="s">
        <v>15</v>
      </c>
      <c r="G209">
        <v>3</v>
      </c>
      <c r="H209">
        <v>0</v>
      </c>
      <c r="I209">
        <v>0</v>
      </c>
      <c r="J209" s="1"/>
      <c r="K209" s="1" t="s">
        <v>106</v>
      </c>
    </row>
    <row r="210" spans="1:11" x14ac:dyDescent="0.25">
      <c r="A210" s="2">
        <v>45868.748298611114</v>
      </c>
      <c r="B210" s="1" t="s">
        <v>355</v>
      </c>
      <c r="C210" s="1" t="s">
        <v>359</v>
      </c>
      <c r="D210" s="1" t="s">
        <v>10</v>
      </c>
      <c r="E210" s="1" t="s">
        <v>11</v>
      </c>
      <c r="F210" s="1" t="s">
        <v>14</v>
      </c>
      <c r="G210">
        <v>0.5</v>
      </c>
      <c r="H210">
        <v>0</v>
      </c>
      <c r="I210">
        <v>0</v>
      </c>
      <c r="J210" s="1"/>
      <c r="K210" s="1" t="s">
        <v>344</v>
      </c>
    </row>
    <row r="211" spans="1:11" x14ac:dyDescent="0.25">
      <c r="A211" s="2">
        <v>45868.748530092591</v>
      </c>
      <c r="B211" s="1" t="s">
        <v>355</v>
      </c>
      <c r="C211" s="1" t="s">
        <v>359</v>
      </c>
      <c r="D211" s="1" t="s">
        <v>10</v>
      </c>
      <c r="E211" s="1" t="s">
        <v>11</v>
      </c>
      <c r="F211" s="1" t="s">
        <v>14</v>
      </c>
      <c r="G211">
        <v>0.5</v>
      </c>
      <c r="H211">
        <v>0</v>
      </c>
      <c r="I211">
        <v>0</v>
      </c>
      <c r="J211" s="1"/>
      <c r="K211" s="1" t="s">
        <v>342</v>
      </c>
    </row>
    <row r="212" spans="1:11" x14ac:dyDescent="0.25">
      <c r="A212" s="2">
        <v>45868.749097222222</v>
      </c>
      <c r="B212" s="1" t="s">
        <v>355</v>
      </c>
      <c r="C212" s="1" t="s">
        <v>359</v>
      </c>
      <c r="D212" s="1" t="s">
        <v>10</v>
      </c>
      <c r="E212" s="1" t="s">
        <v>11</v>
      </c>
      <c r="F212" s="1" t="s">
        <v>14</v>
      </c>
      <c r="G212">
        <v>0.5</v>
      </c>
      <c r="H212">
        <v>0</v>
      </c>
      <c r="I212">
        <v>0</v>
      </c>
      <c r="J212" s="1"/>
      <c r="K212" s="1" t="s">
        <v>343</v>
      </c>
    </row>
    <row r="213" spans="1:11" x14ac:dyDescent="0.25">
      <c r="A213" s="2">
        <v>45869.544999999998</v>
      </c>
      <c r="B213" s="1" t="s">
        <v>351</v>
      </c>
      <c r="C213" s="1" t="s">
        <v>360</v>
      </c>
      <c r="D213" s="1" t="s">
        <v>10</v>
      </c>
      <c r="E213" s="1" t="s">
        <v>11</v>
      </c>
      <c r="F213" s="1" t="s">
        <v>15</v>
      </c>
      <c r="G213">
        <v>3</v>
      </c>
      <c r="H213">
        <v>1</v>
      </c>
      <c r="I213">
        <v>0</v>
      </c>
      <c r="J213" s="1"/>
      <c r="K213" s="1" t="s">
        <v>337</v>
      </c>
    </row>
    <row r="214" spans="1:11" x14ac:dyDescent="0.25">
      <c r="A214" s="2">
        <v>45869.60052083333</v>
      </c>
      <c r="B214" s="1" t="s">
        <v>348</v>
      </c>
      <c r="C214" s="1" t="s">
        <v>360</v>
      </c>
      <c r="D214" s="1" t="s">
        <v>10</v>
      </c>
      <c r="E214" s="1" t="s">
        <v>11</v>
      </c>
      <c r="F214" s="1" t="s">
        <v>15</v>
      </c>
      <c r="G214">
        <v>3</v>
      </c>
      <c r="H214">
        <v>0</v>
      </c>
      <c r="I214">
        <v>0</v>
      </c>
      <c r="J214" s="1" t="s">
        <v>55</v>
      </c>
      <c r="K214" s="1" t="s">
        <v>345</v>
      </c>
    </row>
    <row r="215" spans="1:11" x14ac:dyDescent="0.25">
      <c r="A215" s="2">
        <v>45869.600694444445</v>
      </c>
      <c r="B215" s="1" t="s">
        <v>348</v>
      </c>
      <c r="C215" s="1" t="s">
        <v>360</v>
      </c>
      <c r="D215" s="1" t="s">
        <v>10</v>
      </c>
      <c r="E215" s="1" t="s">
        <v>11</v>
      </c>
      <c r="F215" s="1" t="s">
        <v>12</v>
      </c>
      <c r="G215">
        <v>10.5</v>
      </c>
      <c r="H215">
        <v>1</v>
      </c>
      <c r="I215">
        <v>0</v>
      </c>
      <c r="J215" s="1"/>
      <c r="K215" s="1" t="s">
        <v>336</v>
      </c>
    </row>
    <row r="216" spans="1:11" x14ac:dyDescent="0.25">
      <c r="A216" s="2">
        <v>45869.600694444445</v>
      </c>
      <c r="B216" s="1" t="s">
        <v>348</v>
      </c>
      <c r="C216" s="1" t="s">
        <v>360</v>
      </c>
      <c r="D216" s="1" t="s">
        <v>10</v>
      </c>
      <c r="E216" s="1" t="s">
        <v>11</v>
      </c>
      <c r="F216" s="1" t="s">
        <v>12</v>
      </c>
      <c r="G216">
        <v>10.5</v>
      </c>
      <c r="H216">
        <v>1</v>
      </c>
      <c r="I216">
        <v>0</v>
      </c>
      <c r="J216" s="1"/>
      <c r="K216" s="1" t="s">
        <v>106</v>
      </c>
    </row>
    <row r="217" spans="1:11" x14ac:dyDescent="0.25">
      <c r="A217" s="2">
        <v>45869.616226851853</v>
      </c>
      <c r="B217" s="1" t="s">
        <v>348</v>
      </c>
      <c r="C217" s="1" t="s">
        <v>360</v>
      </c>
      <c r="D217" s="1" t="s">
        <v>10</v>
      </c>
      <c r="E217" s="1" t="s">
        <v>11</v>
      </c>
      <c r="F217" s="1" t="s">
        <v>14</v>
      </c>
      <c r="G217">
        <v>0.5</v>
      </c>
      <c r="H217">
        <v>0</v>
      </c>
      <c r="I217">
        <v>0</v>
      </c>
      <c r="J217" s="1" t="s">
        <v>56</v>
      </c>
      <c r="K217" s="1" t="s">
        <v>344</v>
      </c>
    </row>
    <row r="218" spans="1:11" x14ac:dyDescent="0.25">
      <c r="A218" s="2">
        <v>45874.430798611109</v>
      </c>
      <c r="B218" s="1" t="s">
        <v>347</v>
      </c>
      <c r="C218" s="1" t="s">
        <v>358</v>
      </c>
      <c r="D218" s="1" t="s">
        <v>10</v>
      </c>
      <c r="E218" s="1" t="s">
        <v>11</v>
      </c>
      <c r="F218" s="1" t="s">
        <v>14</v>
      </c>
      <c r="G218">
        <v>0.5</v>
      </c>
      <c r="H218">
        <v>0</v>
      </c>
      <c r="I218">
        <v>0</v>
      </c>
      <c r="J218" s="1"/>
      <c r="K218" s="1" t="s">
        <v>344</v>
      </c>
    </row>
    <row r="219" spans="1:11" x14ac:dyDescent="0.25">
      <c r="A219" s="2">
        <v>45874.430937500001</v>
      </c>
      <c r="B219" s="1" t="s">
        <v>347</v>
      </c>
      <c r="C219" s="1" t="s">
        <v>358</v>
      </c>
      <c r="D219" s="1" t="s">
        <v>10</v>
      </c>
      <c r="E219" s="1" t="s">
        <v>11</v>
      </c>
      <c r="F219" s="1" t="s">
        <v>12</v>
      </c>
      <c r="G219">
        <v>10.5</v>
      </c>
      <c r="H219">
        <v>0</v>
      </c>
      <c r="I219">
        <v>0</v>
      </c>
      <c r="J219" s="1"/>
      <c r="K219" s="1" t="s">
        <v>342</v>
      </c>
    </row>
    <row r="220" spans="1:11" x14ac:dyDescent="0.25">
      <c r="A220" s="2">
        <v>45874.465381944443</v>
      </c>
      <c r="B220" s="1" t="s">
        <v>354</v>
      </c>
      <c r="C220" s="1" t="s">
        <v>358</v>
      </c>
      <c r="D220" s="1" t="s">
        <v>10</v>
      </c>
      <c r="E220" s="1" t="s">
        <v>11</v>
      </c>
      <c r="F220" s="1" t="s">
        <v>12</v>
      </c>
      <c r="G220">
        <v>10.5</v>
      </c>
      <c r="H220">
        <v>1</v>
      </c>
      <c r="I220">
        <v>1</v>
      </c>
      <c r="J220" s="1" t="s">
        <v>57</v>
      </c>
      <c r="K220" s="1" t="s">
        <v>337</v>
      </c>
    </row>
    <row r="221" spans="1:11" x14ac:dyDescent="0.25">
      <c r="A221" s="2">
        <v>45874.466724537036</v>
      </c>
      <c r="B221" s="1" t="s">
        <v>354</v>
      </c>
      <c r="C221" s="1" t="s">
        <v>358</v>
      </c>
      <c r="D221" s="1" t="s">
        <v>10</v>
      </c>
      <c r="E221" s="1" t="s">
        <v>11</v>
      </c>
      <c r="F221" s="1" t="s">
        <v>18</v>
      </c>
      <c r="G221">
        <v>20</v>
      </c>
      <c r="H221">
        <v>0</v>
      </c>
      <c r="I221">
        <v>0</v>
      </c>
      <c r="J221" s="1" t="s">
        <v>58</v>
      </c>
      <c r="K221" s="1" t="s">
        <v>336</v>
      </c>
    </row>
    <row r="222" spans="1:11" x14ac:dyDescent="0.25">
      <c r="A222" s="2">
        <v>45874.466724537036</v>
      </c>
      <c r="B222" s="1" t="s">
        <v>354</v>
      </c>
      <c r="C222" s="1" t="s">
        <v>358</v>
      </c>
      <c r="D222" s="1" t="s">
        <v>10</v>
      </c>
      <c r="E222" s="1" t="s">
        <v>11</v>
      </c>
      <c r="F222" s="1" t="s">
        <v>18</v>
      </c>
      <c r="G222">
        <v>20</v>
      </c>
      <c r="H222">
        <v>0</v>
      </c>
      <c r="I222">
        <v>0</v>
      </c>
      <c r="J222" s="1" t="s">
        <v>58</v>
      </c>
      <c r="K222" s="1" t="s">
        <v>344</v>
      </c>
    </row>
    <row r="223" spans="1:11" x14ac:dyDescent="0.25">
      <c r="A223" s="2">
        <v>45874.48</v>
      </c>
      <c r="B223" s="1" t="s">
        <v>354</v>
      </c>
      <c r="C223" s="1" t="s">
        <v>358</v>
      </c>
      <c r="D223" s="1" t="s">
        <v>20</v>
      </c>
      <c r="E223" s="1" t="s">
        <v>11</v>
      </c>
      <c r="F223" s="1" t="s">
        <v>15</v>
      </c>
      <c r="G223">
        <v>3</v>
      </c>
      <c r="H223">
        <v>0</v>
      </c>
      <c r="I223">
        <v>0</v>
      </c>
      <c r="J223" s="1"/>
      <c r="K223" s="1" t="s">
        <v>343</v>
      </c>
    </row>
    <row r="224" spans="1:11" x14ac:dyDescent="0.25">
      <c r="A224" s="2">
        <v>45874.502800925926</v>
      </c>
      <c r="B224" s="1" t="s">
        <v>350</v>
      </c>
      <c r="C224" s="1" t="s">
        <v>358</v>
      </c>
      <c r="D224" s="1" t="s">
        <v>20</v>
      </c>
      <c r="E224" s="1" t="s">
        <v>11</v>
      </c>
      <c r="F224" s="1" t="s">
        <v>15</v>
      </c>
      <c r="G224">
        <v>3</v>
      </c>
      <c r="H224">
        <v>0</v>
      </c>
      <c r="I224">
        <v>0</v>
      </c>
      <c r="J224" s="1" t="s">
        <v>59</v>
      </c>
      <c r="K224" s="1" t="s">
        <v>337</v>
      </c>
    </row>
    <row r="225" spans="1:11" x14ac:dyDescent="0.25">
      <c r="A225" s="2">
        <v>45874.502800925926</v>
      </c>
      <c r="B225" s="1" t="s">
        <v>350</v>
      </c>
      <c r="C225" s="1" t="s">
        <v>358</v>
      </c>
      <c r="D225" s="1" t="s">
        <v>20</v>
      </c>
      <c r="E225" s="1" t="s">
        <v>11</v>
      </c>
      <c r="F225" s="1" t="s">
        <v>15</v>
      </c>
      <c r="G225">
        <v>3</v>
      </c>
      <c r="H225">
        <v>0</v>
      </c>
      <c r="I225">
        <v>0</v>
      </c>
      <c r="J225" s="1" t="s">
        <v>59</v>
      </c>
      <c r="K225" s="1" t="s">
        <v>344</v>
      </c>
    </row>
    <row r="226" spans="1:11" x14ac:dyDescent="0.25">
      <c r="A226" s="2">
        <v>45874.525243055556</v>
      </c>
      <c r="B226" s="1" t="s">
        <v>350</v>
      </c>
      <c r="C226" s="1" t="s">
        <v>358</v>
      </c>
      <c r="D226" s="1" t="s">
        <v>10</v>
      </c>
      <c r="E226" s="1" t="s">
        <v>27</v>
      </c>
      <c r="F226" s="1" t="s">
        <v>12</v>
      </c>
      <c r="G226">
        <v>10.5</v>
      </c>
      <c r="H226">
        <v>0</v>
      </c>
      <c r="I226">
        <v>0</v>
      </c>
      <c r="J226" s="1" t="s">
        <v>60</v>
      </c>
      <c r="K226" s="1" t="s">
        <v>345</v>
      </c>
    </row>
    <row r="227" spans="1:11" x14ac:dyDescent="0.25">
      <c r="A227" s="2">
        <v>45874.535046296296</v>
      </c>
      <c r="B227" s="1" t="s">
        <v>350</v>
      </c>
      <c r="C227" s="1" t="s">
        <v>358</v>
      </c>
      <c r="D227" s="1" t="s">
        <v>10</v>
      </c>
      <c r="E227" s="1" t="s">
        <v>11</v>
      </c>
      <c r="F227" s="1" t="s">
        <v>18</v>
      </c>
      <c r="G227">
        <v>20</v>
      </c>
      <c r="H227">
        <v>0</v>
      </c>
      <c r="I227">
        <v>0</v>
      </c>
      <c r="J227" s="1" t="s">
        <v>61</v>
      </c>
      <c r="K227" s="1" t="s">
        <v>340</v>
      </c>
    </row>
    <row r="228" spans="1:11" x14ac:dyDescent="0.25">
      <c r="A228" s="2">
        <v>45874.535358796296</v>
      </c>
      <c r="B228" s="1" t="s">
        <v>350</v>
      </c>
      <c r="C228" s="1" t="s">
        <v>358</v>
      </c>
      <c r="D228" s="1" t="s">
        <v>10</v>
      </c>
      <c r="E228" s="1" t="s">
        <v>11</v>
      </c>
      <c r="F228" s="1" t="s">
        <v>14</v>
      </c>
      <c r="G228">
        <v>0.5</v>
      </c>
      <c r="H228">
        <v>0</v>
      </c>
      <c r="I228">
        <v>0</v>
      </c>
      <c r="J228" s="1"/>
      <c r="K228" s="1" t="s">
        <v>344</v>
      </c>
    </row>
    <row r="229" spans="1:11" x14ac:dyDescent="0.25">
      <c r="A229" s="2">
        <v>45874.552175925928</v>
      </c>
      <c r="B229" s="1" t="s">
        <v>351</v>
      </c>
      <c r="C229" s="1" t="s">
        <v>358</v>
      </c>
      <c r="D229" s="1" t="s">
        <v>10</v>
      </c>
      <c r="E229" s="1" t="s">
        <v>11</v>
      </c>
      <c r="F229" s="1" t="s">
        <v>15</v>
      </c>
      <c r="G229">
        <v>3</v>
      </c>
      <c r="H229">
        <v>0</v>
      </c>
      <c r="I229">
        <v>0</v>
      </c>
      <c r="J229" s="1"/>
      <c r="K229" s="1" t="s">
        <v>340</v>
      </c>
    </row>
    <row r="230" spans="1:11" x14ac:dyDescent="0.25">
      <c r="A230" s="2">
        <v>45874.552222222221</v>
      </c>
      <c r="B230" s="1" t="s">
        <v>351</v>
      </c>
      <c r="C230" s="1" t="s">
        <v>358</v>
      </c>
      <c r="D230" s="1" t="s">
        <v>10</v>
      </c>
      <c r="E230" s="1" t="s">
        <v>11</v>
      </c>
      <c r="F230" s="1" t="s">
        <v>15</v>
      </c>
      <c r="G230">
        <v>3</v>
      </c>
      <c r="H230">
        <v>0</v>
      </c>
      <c r="I230">
        <v>0</v>
      </c>
      <c r="J230" s="1"/>
      <c r="K230" s="1" t="s">
        <v>340</v>
      </c>
    </row>
    <row r="231" spans="1:11" x14ac:dyDescent="0.25">
      <c r="A231" s="2">
        <v>45874.55841435185</v>
      </c>
      <c r="B231" s="1" t="s">
        <v>351</v>
      </c>
      <c r="C231" s="1" t="s">
        <v>358</v>
      </c>
      <c r="D231" s="1" t="s">
        <v>10</v>
      </c>
      <c r="E231" s="1" t="s">
        <v>11</v>
      </c>
      <c r="F231" s="1" t="s">
        <v>14</v>
      </c>
      <c r="G231">
        <v>0.5</v>
      </c>
      <c r="H231">
        <v>0</v>
      </c>
      <c r="I231">
        <v>0</v>
      </c>
      <c r="J231" s="1" t="s">
        <v>62</v>
      </c>
      <c r="K231" s="1" t="s">
        <v>345</v>
      </c>
    </row>
    <row r="232" spans="1:11" x14ac:dyDescent="0.25">
      <c r="A232" s="2">
        <v>45874.558472222219</v>
      </c>
      <c r="B232" s="1" t="s">
        <v>351</v>
      </c>
      <c r="C232" s="1" t="s">
        <v>358</v>
      </c>
      <c r="D232" s="1" t="s">
        <v>10</v>
      </c>
      <c r="E232" s="1" t="s">
        <v>11</v>
      </c>
      <c r="F232" s="1" t="s">
        <v>14</v>
      </c>
      <c r="G232">
        <v>0.5</v>
      </c>
      <c r="H232">
        <v>0</v>
      </c>
      <c r="I232">
        <v>0</v>
      </c>
      <c r="J232" s="1"/>
      <c r="K232" s="1" t="s">
        <v>106</v>
      </c>
    </row>
    <row r="233" spans="1:11" x14ac:dyDescent="0.25">
      <c r="A233" s="2">
        <v>45874.576041666667</v>
      </c>
      <c r="B233" s="1" t="s">
        <v>351</v>
      </c>
      <c r="C233" s="1" t="s">
        <v>358</v>
      </c>
      <c r="D233" s="1" t="s">
        <v>10</v>
      </c>
      <c r="E233" s="1" t="s">
        <v>11</v>
      </c>
      <c r="F233" s="1" t="s">
        <v>14</v>
      </c>
      <c r="G233">
        <v>0.5</v>
      </c>
      <c r="H233">
        <v>0</v>
      </c>
      <c r="I233">
        <v>0</v>
      </c>
      <c r="J233" s="1" t="s">
        <v>64</v>
      </c>
      <c r="K233" s="1" t="s">
        <v>345</v>
      </c>
    </row>
    <row r="234" spans="1:11" x14ac:dyDescent="0.25">
      <c r="A234" s="2">
        <v>45874.590370370373</v>
      </c>
      <c r="B234" s="1" t="s">
        <v>348</v>
      </c>
      <c r="C234" s="1" t="s">
        <v>358</v>
      </c>
      <c r="D234" s="1" t="s">
        <v>10</v>
      </c>
      <c r="E234" s="1" t="s">
        <v>11</v>
      </c>
      <c r="F234" s="1" t="s">
        <v>15</v>
      </c>
      <c r="G234">
        <v>3</v>
      </c>
      <c r="H234">
        <v>0</v>
      </c>
      <c r="I234">
        <v>0</v>
      </c>
      <c r="J234" s="1" t="s">
        <v>65</v>
      </c>
      <c r="K234" s="1" t="s">
        <v>345</v>
      </c>
    </row>
    <row r="235" spans="1:11" x14ac:dyDescent="0.25">
      <c r="A235" s="2">
        <v>45874.616770833331</v>
      </c>
      <c r="B235" s="1" t="s">
        <v>348</v>
      </c>
      <c r="C235" s="1" t="s">
        <v>358</v>
      </c>
      <c r="D235" s="1" t="s">
        <v>10</v>
      </c>
      <c r="E235" s="1" t="s">
        <v>11</v>
      </c>
      <c r="F235" s="1" t="s">
        <v>18</v>
      </c>
      <c r="G235">
        <v>20</v>
      </c>
      <c r="H235">
        <v>1</v>
      </c>
      <c r="I235">
        <v>0</v>
      </c>
      <c r="J235" s="1" t="s">
        <v>66</v>
      </c>
      <c r="K235" s="1" t="s">
        <v>336</v>
      </c>
    </row>
    <row r="236" spans="1:11" x14ac:dyDescent="0.25">
      <c r="A236" s="2">
        <v>45874.616770833331</v>
      </c>
      <c r="B236" s="1" t="s">
        <v>348</v>
      </c>
      <c r="C236" s="1" t="s">
        <v>358</v>
      </c>
      <c r="D236" s="1" t="s">
        <v>10</v>
      </c>
      <c r="E236" s="1" t="s">
        <v>11</v>
      </c>
      <c r="F236" s="1" t="s">
        <v>18</v>
      </c>
      <c r="G236">
        <v>20</v>
      </c>
      <c r="H236">
        <v>1</v>
      </c>
      <c r="I236">
        <v>0</v>
      </c>
      <c r="J236" s="1" t="s">
        <v>66</v>
      </c>
      <c r="K236" s="1" t="s">
        <v>345</v>
      </c>
    </row>
    <row r="237" spans="1:11" x14ac:dyDescent="0.25">
      <c r="A237" s="2">
        <v>45874.62023148148</v>
      </c>
      <c r="B237" s="1" t="s">
        <v>348</v>
      </c>
      <c r="C237" s="1" t="s">
        <v>358</v>
      </c>
      <c r="D237" s="1" t="s">
        <v>10</v>
      </c>
      <c r="E237" s="1" t="s">
        <v>11</v>
      </c>
      <c r="F237" s="1" t="s">
        <v>12</v>
      </c>
      <c r="G237">
        <v>10.5</v>
      </c>
      <c r="H237">
        <v>0</v>
      </c>
      <c r="I237">
        <v>0</v>
      </c>
      <c r="J237" s="1"/>
      <c r="K237" s="1" t="s">
        <v>340</v>
      </c>
    </row>
    <row r="238" spans="1:11" x14ac:dyDescent="0.25">
      <c r="A238" s="2">
        <v>45874.743773148148</v>
      </c>
      <c r="B238" s="1" t="s">
        <v>355</v>
      </c>
      <c r="C238" s="1" t="s">
        <v>358</v>
      </c>
      <c r="D238" s="1" t="s">
        <v>10</v>
      </c>
      <c r="E238" s="1" t="s">
        <v>11</v>
      </c>
      <c r="F238" s="1" t="s">
        <v>15</v>
      </c>
      <c r="G238">
        <v>3</v>
      </c>
      <c r="H238">
        <v>0</v>
      </c>
      <c r="I238">
        <v>0</v>
      </c>
      <c r="J238" s="1"/>
      <c r="K238" s="1" t="s">
        <v>340</v>
      </c>
    </row>
    <row r="239" spans="1:11" x14ac:dyDescent="0.25">
      <c r="A239" s="2">
        <v>45874.743842592594</v>
      </c>
      <c r="B239" s="1" t="s">
        <v>355</v>
      </c>
      <c r="C239" s="1" t="s">
        <v>358</v>
      </c>
      <c r="D239" s="1" t="s">
        <v>10</v>
      </c>
      <c r="E239" s="1" t="s">
        <v>11</v>
      </c>
      <c r="F239" s="1" t="s">
        <v>15</v>
      </c>
      <c r="G239">
        <v>3</v>
      </c>
      <c r="H239">
        <v>0</v>
      </c>
      <c r="I239">
        <v>0</v>
      </c>
      <c r="J239" s="1"/>
      <c r="K239" s="1" t="s">
        <v>340</v>
      </c>
    </row>
    <row r="240" spans="1:11" x14ac:dyDescent="0.25">
      <c r="A240" s="2">
        <v>45874.743981481479</v>
      </c>
      <c r="B240" s="1" t="s">
        <v>355</v>
      </c>
      <c r="C240" s="1" t="s">
        <v>358</v>
      </c>
      <c r="D240" s="1" t="s">
        <v>10</v>
      </c>
      <c r="E240" s="1" t="s">
        <v>11</v>
      </c>
      <c r="F240" s="1" t="s">
        <v>15</v>
      </c>
      <c r="G240">
        <v>3</v>
      </c>
      <c r="H240">
        <v>1</v>
      </c>
      <c r="I240">
        <v>0</v>
      </c>
      <c r="J240" s="1"/>
      <c r="K240" s="1" t="s">
        <v>336</v>
      </c>
    </row>
    <row r="241" spans="1:11" x14ac:dyDescent="0.25">
      <c r="A241" s="2">
        <v>45874.744108796294</v>
      </c>
      <c r="B241" s="1" t="s">
        <v>355</v>
      </c>
      <c r="C241" s="1" t="s">
        <v>358</v>
      </c>
      <c r="D241" s="1" t="s">
        <v>10</v>
      </c>
      <c r="E241" s="1" t="s">
        <v>11</v>
      </c>
      <c r="F241" s="1" t="s">
        <v>15</v>
      </c>
      <c r="G241">
        <v>3</v>
      </c>
      <c r="H241">
        <v>0</v>
      </c>
      <c r="I241">
        <v>0</v>
      </c>
      <c r="J241" s="1"/>
      <c r="K241" s="1" t="s">
        <v>343</v>
      </c>
    </row>
    <row r="242" spans="1:11" x14ac:dyDescent="0.25">
      <c r="A242" s="2">
        <v>45874.744212962964</v>
      </c>
      <c r="B242" s="1" t="s">
        <v>355</v>
      </c>
      <c r="C242" s="1" t="s">
        <v>358</v>
      </c>
      <c r="D242" s="1" t="s">
        <v>10</v>
      </c>
      <c r="E242" s="1" t="s">
        <v>11</v>
      </c>
      <c r="F242" s="1" t="s">
        <v>15</v>
      </c>
      <c r="G242">
        <v>3</v>
      </c>
      <c r="H242">
        <v>0</v>
      </c>
      <c r="I242">
        <v>0</v>
      </c>
      <c r="J242" s="1"/>
      <c r="K242" s="1" t="s">
        <v>341</v>
      </c>
    </row>
    <row r="243" spans="1:11" x14ac:dyDescent="0.25">
      <c r="A243" s="2">
        <v>45874.744409722225</v>
      </c>
      <c r="B243" s="1" t="s">
        <v>355</v>
      </c>
      <c r="C243" s="1" t="s">
        <v>358</v>
      </c>
      <c r="D243" s="1" t="s">
        <v>10</v>
      </c>
      <c r="E243" s="1" t="s">
        <v>11</v>
      </c>
      <c r="F243" s="1" t="s">
        <v>14</v>
      </c>
      <c r="G243">
        <v>0.5</v>
      </c>
      <c r="H243">
        <v>0</v>
      </c>
      <c r="I243">
        <v>0</v>
      </c>
      <c r="J243" s="1"/>
      <c r="K243" s="1" t="s">
        <v>344</v>
      </c>
    </row>
    <row r="244" spans="1:11" x14ac:dyDescent="0.25">
      <c r="A244" s="2">
        <v>45875.414363425924</v>
      </c>
      <c r="B244" s="1" t="s">
        <v>352</v>
      </c>
      <c r="C244" s="1" t="s">
        <v>359</v>
      </c>
      <c r="D244" s="1" t="s">
        <v>20</v>
      </c>
      <c r="E244" s="1" t="s">
        <v>11</v>
      </c>
      <c r="F244" s="1" t="s">
        <v>15</v>
      </c>
      <c r="G244">
        <v>3</v>
      </c>
      <c r="H244">
        <v>0</v>
      </c>
      <c r="I244">
        <v>0</v>
      </c>
      <c r="J244" s="1" t="s">
        <v>67</v>
      </c>
      <c r="K244" s="1" t="s">
        <v>345</v>
      </c>
    </row>
    <row r="245" spans="1:11" x14ac:dyDescent="0.25">
      <c r="A245" s="2">
        <v>45875.425682870373</v>
      </c>
      <c r="B245" s="1" t="s">
        <v>347</v>
      </c>
      <c r="C245" s="1" t="s">
        <v>359</v>
      </c>
      <c r="D245" s="1" t="s">
        <v>10</v>
      </c>
      <c r="E245" s="1" t="s">
        <v>11</v>
      </c>
      <c r="F245" s="1" t="s">
        <v>15</v>
      </c>
      <c r="G245">
        <v>3</v>
      </c>
      <c r="H245">
        <v>0</v>
      </c>
      <c r="I245">
        <v>0</v>
      </c>
      <c r="J245" s="1"/>
      <c r="K245" s="1" t="s">
        <v>341</v>
      </c>
    </row>
    <row r="246" spans="1:11" x14ac:dyDescent="0.25">
      <c r="A246" s="2">
        <v>45875.500324074077</v>
      </c>
      <c r="B246" s="1" t="s">
        <v>350</v>
      </c>
      <c r="C246" s="1" t="s">
        <v>359</v>
      </c>
      <c r="D246" s="1" t="s">
        <v>10</v>
      </c>
      <c r="E246" s="1" t="s">
        <v>11</v>
      </c>
      <c r="F246" s="1" t="s">
        <v>15</v>
      </c>
      <c r="G246">
        <v>3</v>
      </c>
      <c r="H246">
        <v>0</v>
      </c>
      <c r="I246">
        <v>0</v>
      </c>
      <c r="J246" s="1"/>
      <c r="K246" s="1" t="s">
        <v>341</v>
      </c>
    </row>
    <row r="247" spans="1:11" x14ac:dyDescent="0.25">
      <c r="A247" s="2">
        <v>45875.681307870371</v>
      </c>
      <c r="B247" s="1" t="s">
        <v>353</v>
      </c>
      <c r="C247" s="1" t="s">
        <v>359</v>
      </c>
      <c r="D247" s="1" t="s">
        <v>10</v>
      </c>
      <c r="E247" s="1" t="s">
        <v>11</v>
      </c>
      <c r="F247" s="1" t="s">
        <v>15</v>
      </c>
      <c r="G247">
        <v>3</v>
      </c>
      <c r="H247">
        <v>0</v>
      </c>
      <c r="I247">
        <v>0</v>
      </c>
      <c r="J247" s="1"/>
      <c r="K247" s="1" t="s">
        <v>341</v>
      </c>
    </row>
    <row r="248" spans="1:11" x14ac:dyDescent="0.25">
      <c r="A248" s="2">
        <v>45875.681423611109</v>
      </c>
      <c r="B248" s="1" t="s">
        <v>353</v>
      </c>
      <c r="C248" s="1" t="s">
        <v>359</v>
      </c>
      <c r="D248" s="1" t="s">
        <v>10</v>
      </c>
      <c r="E248" s="1" t="s">
        <v>11</v>
      </c>
      <c r="F248" s="1" t="s">
        <v>14</v>
      </c>
      <c r="G248">
        <v>0.5</v>
      </c>
      <c r="H248">
        <v>0</v>
      </c>
      <c r="I248">
        <v>0</v>
      </c>
      <c r="J248" s="1"/>
      <c r="K248" s="1" t="s">
        <v>344</v>
      </c>
    </row>
    <row r="249" spans="1:11" x14ac:dyDescent="0.25">
      <c r="A249" s="2">
        <v>45875.681585648148</v>
      </c>
      <c r="B249" s="1" t="s">
        <v>353</v>
      </c>
      <c r="C249" s="1" t="s">
        <v>359</v>
      </c>
      <c r="D249" s="1" t="s">
        <v>10</v>
      </c>
      <c r="E249" s="1" t="s">
        <v>11</v>
      </c>
      <c r="F249" s="1" t="s">
        <v>14</v>
      </c>
      <c r="G249">
        <v>0.5</v>
      </c>
      <c r="H249">
        <v>0</v>
      </c>
      <c r="I249">
        <v>0</v>
      </c>
      <c r="J249" s="1"/>
      <c r="K249" s="1" t="s">
        <v>343</v>
      </c>
    </row>
    <row r="250" spans="1:11" x14ac:dyDescent="0.25">
      <c r="A250" s="2">
        <v>45875.681712962964</v>
      </c>
      <c r="B250" s="1" t="s">
        <v>353</v>
      </c>
      <c r="C250" s="1" t="s">
        <v>359</v>
      </c>
      <c r="D250" s="1" t="s">
        <v>20</v>
      </c>
      <c r="E250" s="1" t="s">
        <v>11</v>
      </c>
      <c r="F250" s="1" t="s">
        <v>14</v>
      </c>
      <c r="G250">
        <v>0.5</v>
      </c>
      <c r="H250">
        <v>0</v>
      </c>
      <c r="I250">
        <v>0</v>
      </c>
      <c r="J250" s="1"/>
      <c r="K250" s="1" t="s">
        <v>343</v>
      </c>
    </row>
    <row r="251" spans="1:11" x14ac:dyDescent="0.25">
      <c r="A251" s="2">
        <v>45875.681863425925</v>
      </c>
      <c r="B251" s="1" t="s">
        <v>353</v>
      </c>
      <c r="C251" s="1" t="s">
        <v>359</v>
      </c>
      <c r="D251" s="1" t="s">
        <v>10</v>
      </c>
      <c r="E251" s="1" t="s">
        <v>11</v>
      </c>
      <c r="F251" s="1" t="s">
        <v>14</v>
      </c>
      <c r="G251">
        <v>0.5</v>
      </c>
      <c r="H251">
        <v>0</v>
      </c>
      <c r="I251">
        <v>0</v>
      </c>
      <c r="J251" s="1"/>
      <c r="K251" s="1" t="s">
        <v>343</v>
      </c>
    </row>
    <row r="252" spans="1:11" x14ac:dyDescent="0.25">
      <c r="A252" s="2">
        <v>45875.732152777775</v>
      </c>
      <c r="B252" s="1" t="s">
        <v>355</v>
      </c>
      <c r="C252" s="1" t="s">
        <v>359</v>
      </c>
      <c r="D252" s="1" t="s">
        <v>10</v>
      </c>
      <c r="E252" s="1" t="s">
        <v>11</v>
      </c>
      <c r="F252" s="1" t="s">
        <v>14</v>
      </c>
      <c r="G252">
        <v>0.5</v>
      </c>
      <c r="H252">
        <v>0</v>
      </c>
      <c r="I252">
        <v>0</v>
      </c>
      <c r="J252" s="1"/>
      <c r="K252" s="1" t="s">
        <v>344</v>
      </c>
    </row>
    <row r="253" spans="1:11" x14ac:dyDescent="0.25">
      <c r="A253" s="2">
        <v>45875.732233796298</v>
      </c>
      <c r="B253" s="1" t="s">
        <v>355</v>
      </c>
      <c r="C253" s="1" t="s">
        <v>359</v>
      </c>
      <c r="D253" s="1" t="s">
        <v>10</v>
      </c>
      <c r="E253" s="1" t="s">
        <v>11</v>
      </c>
      <c r="F253" s="1" t="s">
        <v>14</v>
      </c>
      <c r="G253">
        <v>0.5</v>
      </c>
      <c r="H253">
        <v>0</v>
      </c>
      <c r="I253">
        <v>0</v>
      </c>
      <c r="J253" s="1"/>
      <c r="K253" s="1" t="s">
        <v>344</v>
      </c>
    </row>
    <row r="254" spans="1:11" x14ac:dyDescent="0.25">
      <c r="A254" s="2">
        <v>45876.542094907411</v>
      </c>
      <c r="B254" s="1" t="s">
        <v>351</v>
      </c>
      <c r="C254" s="1" t="s">
        <v>360</v>
      </c>
      <c r="D254" s="1" t="s">
        <v>10</v>
      </c>
      <c r="E254" s="1" t="s">
        <v>11</v>
      </c>
      <c r="F254" s="1" t="s">
        <v>18</v>
      </c>
      <c r="G254">
        <v>20</v>
      </c>
      <c r="H254">
        <v>0</v>
      </c>
      <c r="I254">
        <v>0</v>
      </c>
      <c r="J254" s="1"/>
      <c r="K254" s="1" t="s">
        <v>340</v>
      </c>
    </row>
    <row r="255" spans="1:11" x14ac:dyDescent="0.25">
      <c r="A255" s="2">
        <v>45876.599629629629</v>
      </c>
      <c r="B255" s="1" t="s">
        <v>348</v>
      </c>
      <c r="C255" s="1" t="s">
        <v>360</v>
      </c>
      <c r="D255" s="1" t="s">
        <v>10</v>
      </c>
      <c r="E255" s="1" t="s">
        <v>11</v>
      </c>
      <c r="F255" s="1" t="s">
        <v>12</v>
      </c>
      <c r="G255">
        <v>10.5</v>
      </c>
      <c r="H255">
        <v>0</v>
      </c>
      <c r="I255">
        <v>1</v>
      </c>
      <c r="J255" s="1"/>
      <c r="K255" s="1" t="s">
        <v>337</v>
      </c>
    </row>
    <row r="256" spans="1:11" x14ac:dyDescent="0.25">
      <c r="A256" s="2">
        <v>45876.599872685183</v>
      </c>
      <c r="B256" s="1" t="s">
        <v>348</v>
      </c>
      <c r="C256" s="1" t="s">
        <v>360</v>
      </c>
      <c r="D256" s="1" t="s">
        <v>10</v>
      </c>
      <c r="E256" s="1" t="s">
        <v>11</v>
      </c>
      <c r="F256" s="1" t="s">
        <v>18</v>
      </c>
      <c r="G256">
        <v>20</v>
      </c>
      <c r="H256">
        <v>0</v>
      </c>
      <c r="I256">
        <v>0</v>
      </c>
      <c r="J256" s="1"/>
      <c r="K256" s="1" t="s">
        <v>340</v>
      </c>
    </row>
    <row r="257" spans="1:11" x14ac:dyDescent="0.25">
      <c r="A257" s="2">
        <v>45877.496712962966</v>
      </c>
      <c r="B257" s="1" t="s">
        <v>354</v>
      </c>
      <c r="C257" s="1" t="s">
        <v>361</v>
      </c>
      <c r="D257" s="1" t="s">
        <v>10</v>
      </c>
      <c r="E257" s="1" t="s">
        <v>11</v>
      </c>
      <c r="F257" s="1" t="s">
        <v>18</v>
      </c>
      <c r="G257">
        <v>20</v>
      </c>
      <c r="H257">
        <v>0</v>
      </c>
      <c r="I257">
        <v>0</v>
      </c>
      <c r="J257" s="1"/>
      <c r="K257" s="1" t="s">
        <v>340</v>
      </c>
    </row>
    <row r="258" spans="1:11" x14ac:dyDescent="0.25">
      <c r="A258" s="2">
        <v>45877.496712962966</v>
      </c>
      <c r="B258" s="1" t="s">
        <v>354</v>
      </c>
      <c r="C258" s="1" t="s">
        <v>361</v>
      </c>
      <c r="D258" s="1" t="s">
        <v>10</v>
      </c>
      <c r="E258" s="1" t="s">
        <v>11</v>
      </c>
      <c r="F258" s="1" t="s">
        <v>18</v>
      </c>
      <c r="G258">
        <v>20</v>
      </c>
      <c r="H258">
        <v>0</v>
      </c>
      <c r="I258">
        <v>0</v>
      </c>
      <c r="J258" s="1"/>
      <c r="K258" s="1" t="s">
        <v>343</v>
      </c>
    </row>
    <row r="259" spans="1:11" x14ac:dyDescent="0.25">
      <c r="A259" s="2">
        <v>45877.496840277781</v>
      </c>
      <c r="B259" s="1" t="s">
        <v>354</v>
      </c>
      <c r="C259" s="1" t="s">
        <v>361</v>
      </c>
      <c r="D259" s="1" t="s">
        <v>10</v>
      </c>
      <c r="E259" s="1" t="s">
        <v>11</v>
      </c>
      <c r="F259" s="1" t="s">
        <v>12</v>
      </c>
      <c r="G259">
        <v>10.5</v>
      </c>
      <c r="H259">
        <v>0</v>
      </c>
      <c r="I259">
        <v>0</v>
      </c>
      <c r="J259" s="1"/>
      <c r="K259" s="1" t="s">
        <v>342</v>
      </c>
    </row>
    <row r="260" spans="1:11" x14ac:dyDescent="0.25">
      <c r="A260" s="2">
        <v>45877.496979166666</v>
      </c>
      <c r="B260" s="1" t="s">
        <v>354</v>
      </c>
      <c r="C260" s="1" t="s">
        <v>361</v>
      </c>
      <c r="D260" s="1" t="s">
        <v>10</v>
      </c>
      <c r="E260" s="1" t="s">
        <v>11</v>
      </c>
      <c r="F260" s="1" t="s">
        <v>14</v>
      </c>
      <c r="G260">
        <v>0.5</v>
      </c>
      <c r="H260">
        <v>0</v>
      </c>
      <c r="I260">
        <v>0</v>
      </c>
      <c r="J260" s="1"/>
      <c r="K260" s="1" t="s">
        <v>336</v>
      </c>
    </row>
    <row r="261" spans="1:11" x14ac:dyDescent="0.25">
      <c r="A261" s="2">
        <v>45877.544791666667</v>
      </c>
      <c r="B261" s="1" t="s">
        <v>351</v>
      </c>
      <c r="C261" s="1" t="s">
        <v>361</v>
      </c>
      <c r="D261" s="1" t="s">
        <v>10</v>
      </c>
      <c r="E261" s="1" t="s">
        <v>11</v>
      </c>
      <c r="F261" s="1" t="s">
        <v>18</v>
      </c>
      <c r="G261">
        <v>20</v>
      </c>
      <c r="H261">
        <v>0</v>
      </c>
      <c r="I261">
        <v>0</v>
      </c>
      <c r="J261" s="1"/>
      <c r="K261" s="1" t="s">
        <v>340</v>
      </c>
    </row>
    <row r="262" spans="1:11" x14ac:dyDescent="0.25">
      <c r="A262" s="2">
        <v>45877.5780787037</v>
      </c>
      <c r="B262" s="1" t="s">
        <v>351</v>
      </c>
      <c r="C262" s="1" t="s">
        <v>361</v>
      </c>
      <c r="D262" s="1" t="s">
        <v>10</v>
      </c>
      <c r="E262" s="1" t="s">
        <v>11</v>
      </c>
      <c r="F262" s="1" t="s">
        <v>18</v>
      </c>
      <c r="G262">
        <v>20</v>
      </c>
      <c r="H262">
        <v>1</v>
      </c>
      <c r="I262">
        <v>0</v>
      </c>
      <c r="J262" s="1"/>
      <c r="K262" s="1" t="s">
        <v>336</v>
      </c>
    </row>
    <row r="263" spans="1:11" x14ac:dyDescent="0.25">
      <c r="A263" s="2">
        <v>45877.5780787037</v>
      </c>
      <c r="B263" s="1" t="s">
        <v>351</v>
      </c>
      <c r="C263" s="1" t="s">
        <v>361</v>
      </c>
      <c r="D263" s="1" t="s">
        <v>10</v>
      </c>
      <c r="E263" s="1" t="s">
        <v>11</v>
      </c>
      <c r="F263" s="1" t="s">
        <v>18</v>
      </c>
      <c r="G263">
        <v>20</v>
      </c>
      <c r="H263">
        <v>1</v>
      </c>
      <c r="I263">
        <v>0</v>
      </c>
      <c r="J263" s="1"/>
      <c r="K263" s="1" t="s">
        <v>340</v>
      </c>
    </row>
    <row r="264" spans="1:11" x14ac:dyDescent="0.25">
      <c r="A264" s="2">
        <v>45877.578333333331</v>
      </c>
      <c r="B264" s="1" t="s">
        <v>351</v>
      </c>
      <c r="C264" s="1" t="s">
        <v>361</v>
      </c>
      <c r="D264" s="1" t="s">
        <v>10</v>
      </c>
      <c r="E264" s="1" t="s">
        <v>11</v>
      </c>
      <c r="F264" s="1" t="s">
        <v>18</v>
      </c>
      <c r="G264">
        <v>20</v>
      </c>
      <c r="H264">
        <v>1</v>
      </c>
      <c r="I264">
        <v>0</v>
      </c>
      <c r="J264" s="1"/>
      <c r="K264" s="1" t="s">
        <v>336</v>
      </c>
    </row>
    <row r="265" spans="1:11" x14ac:dyDescent="0.25">
      <c r="A265" s="2">
        <v>45877.604548611111</v>
      </c>
      <c r="B265" s="1" t="s">
        <v>348</v>
      </c>
      <c r="C265" s="1" t="s">
        <v>361</v>
      </c>
      <c r="D265" s="1" t="s">
        <v>10</v>
      </c>
      <c r="E265" s="1" t="s">
        <v>11</v>
      </c>
      <c r="F265" s="1" t="s">
        <v>15</v>
      </c>
      <c r="G265">
        <v>3</v>
      </c>
      <c r="H265">
        <v>0</v>
      </c>
      <c r="I265">
        <v>0</v>
      </c>
      <c r="J265" s="1"/>
      <c r="K265" s="1" t="s">
        <v>343</v>
      </c>
    </row>
    <row r="266" spans="1:11" x14ac:dyDescent="0.25">
      <c r="A266" s="2">
        <v>45877.604791666665</v>
      </c>
      <c r="B266" s="1" t="s">
        <v>348</v>
      </c>
      <c r="C266" s="1" t="s">
        <v>361</v>
      </c>
      <c r="D266" s="1" t="s">
        <v>10</v>
      </c>
      <c r="E266" s="1" t="s">
        <v>17</v>
      </c>
      <c r="F266" s="1" t="s">
        <v>15</v>
      </c>
      <c r="G266">
        <v>3</v>
      </c>
      <c r="H266">
        <v>0</v>
      </c>
      <c r="I266">
        <v>0</v>
      </c>
      <c r="J266" s="1"/>
      <c r="K266" s="1" t="s">
        <v>343</v>
      </c>
    </row>
    <row r="267" spans="1:11" x14ac:dyDescent="0.25">
      <c r="A267" s="2">
        <v>45878.407071759262</v>
      </c>
      <c r="B267" s="1" t="s">
        <v>352</v>
      </c>
      <c r="C267" s="1" t="s">
        <v>362</v>
      </c>
      <c r="D267" s="1" t="s">
        <v>10</v>
      </c>
      <c r="E267" s="1" t="s">
        <v>11</v>
      </c>
      <c r="F267" s="1" t="s">
        <v>15</v>
      </c>
      <c r="G267">
        <v>3</v>
      </c>
      <c r="H267">
        <v>0</v>
      </c>
      <c r="I267">
        <v>0</v>
      </c>
      <c r="J267" s="1" t="s">
        <v>69</v>
      </c>
      <c r="K267" s="1" t="s">
        <v>342</v>
      </c>
    </row>
    <row r="268" spans="1:11" x14ac:dyDescent="0.25">
      <c r="A268" s="2">
        <v>45878.40766203704</v>
      </c>
      <c r="B268" s="1" t="s">
        <v>352</v>
      </c>
      <c r="C268" s="1" t="s">
        <v>362</v>
      </c>
      <c r="D268" s="1" t="s">
        <v>10</v>
      </c>
      <c r="E268" s="1" t="s">
        <v>11</v>
      </c>
      <c r="F268" s="1" t="s">
        <v>15</v>
      </c>
      <c r="G268">
        <v>3</v>
      </c>
      <c r="H268">
        <v>1</v>
      </c>
      <c r="I268">
        <v>0</v>
      </c>
      <c r="J268" s="1"/>
      <c r="K268" s="1" t="s">
        <v>337</v>
      </c>
    </row>
    <row r="269" spans="1:11" x14ac:dyDescent="0.25">
      <c r="A269" s="2">
        <v>45878.48164351852</v>
      </c>
      <c r="B269" s="1" t="s">
        <v>354</v>
      </c>
      <c r="C269" s="1" t="s">
        <v>362</v>
      </c>
      <c r="D269" s="1" t="s">
        <v>10</v>
      </c>
      <c r="E269" s="1" t="s">
        <v>11</v>
      </c>
      <c r="F269" s="1" t="s">
        <v>12</v>
      </c>
      <c r="G269">
        <v>10.5</v>
      </c>
      <c r="H269">
        <v>0</v>
      </c>
      <c r="I269">
        <v>0</v>
      </c>
      <c r="J269" s="1" t="s">
        <v>70</v>
      </c>
      <c r="K269" s="1" t="s">
        <v>342</v>
      </c>
    </row>
    <row r="270" spans="1:11" x14ac:dyDescent="0.25">
      <c r="A270" s="2">
        <v>45880.496527777781</v>
      </c>
      <c r="B270" s="1" t="s">
        <v>354</v>
      </c>
      <c r="C270" s="1" t="s">
        <v>363</v>
      </c>
      <c r="D270" s="1" t="s">
        <v>20</v>
      </c>
      <c r="E270" s="1" t="s">
        <v>11</v>
      </c>
      <c r="F270" s="1" t="s">
        <v>15</v>
      </c>
      <c r="G270">
        <v>3</v>
      </c>
      <c r="H270">
        <v>0</v>
      </c>
      <c r="I270">
        <v>0</v>
      </c>
      <c r="J270" s="1"/>
      <c r="K270" s="1" t="s">
        <v>344</v>
      </c>
    </row>
    <row r="271" spans="1:11" x14ac:dyDescent="0.25">
      <c r="A271" s="2">
        <v>45880.496979166666</v>
      </c>
      <c r="B271" s="1" t="s">
        <v>354</v>
      </c>
      <c r="C271" s="1" t="s">
        <v>363</v>
      </c>
      <c r="D271" s="1" t="s">
        <v>20</v>
      </c>
      <c r="E271" s="1" t="s">
        <v>11</v>
      </c>
      <c r="F271" s="1" t="s">
        <v>15</v>
      </c>
      <c r="G271">
        <v>3</v>
      </c>
      <c r="H271">
        <v>0</v>
      </c>
      <c r="I271">
        <v>0</v>
      </c>
      <c r="J271" s="1" t="s">
        <v>71</v>
      </c>
      <c r="K271" s="1" t="s">
        <v>344</v>
      </c>
    </row>
    <row r="272" spans="1:11" x14ac:dyDescent="0.25">
      <c r="A272" s="2">
        <v>45880.499456018515</v>
      </c>
      <c r="B272" s="1" t="s">
        <v>354</v>
      </c>
      <c r="C272" s="1" t="s">
        <v>363</v>
      </c>
      <c r="D272" s="1" t="s">
        <v>10</v>
      </c>
      <c r="E272" s="1" t="s">
        <v>11</v>
      </c>
      <c r="F272" s="1" t="s">
        <v>15</v>
      </c>
      <c r="G272">
        <v>3</v>
      </c>
      <c r="H272">
        <v>0</v>
      </c>
      <c r="I272">
        <v>0</v>
      </c>
      <c r="J272" s="1"/>
      <c r="K272" s="1" t="s">
        <v>340</v>
      </c>
    </row>
    <row r="273" spans="1:11" x14ac:dyDescent="0.25">
      <c r="A273" s="2">
        <v>45880.55678240741</v>
      </c>
      <c r="B273" s="1" t="s">
        <v>351</v>
      </c>
      <c r="C273" s="1" t="s">
        <v>363</v>
      </c>
      <c r="D273" s="1" t="s">
        <v>10</v>
      </c>
      <c r="E273" s="1" t="s">
        <v>17</v>
      </c>
      <c r="F273" s="1" t="s">
        <v>15</v>
      </c>
      <c r="G273">
        <v>3</v>
      </c>
      <c r="H273">
        <v>0</v>
      </c>
      <c r="I273">
        <v>0</v>
      </c>
      <c r="J273" s="1"/>
      <c r="K273" s="1" t="s">
        <v>342</v>
      </c>
    </row>
    <row r="274" spans="1:11" x14ac:dyDescent="0.25">
      <c r="A274" s="2">
        <v>45880.556944444441</v>
      </c>
      <c r="B274" s="1" t="s">
        <v>351</v>
      </c>
      <c r="C274" s="1" t="s">
        <v>363</v>
      </c>
      <c r="D274" s="1" t="s">
        <v>10</v>
      </c>
      <c r="E274" s="1" t="s">
        <v>11</v>
      </c>
      <c r="F274" s="1" t="s">
        <v>12</v>
      </c>
      <c r="G274">
        <v>10.5</v>
      </c>
      <c r="H274">
        <v>0</v>
      </c>
      <c r="I274">
        <v>0</v>
      </c>
      <c r="J274" s="1"/>
      <c r="K274" s="1" t="s">
        <v>340</v>
      </c>
    </row>
    <row r="275" spans="1:11" x14ac:dyDescent="0.25">
      <c r="A275" s="2">
        <v>45880.572245370371</v>
      </c>
      <c r="B275" s="1" t="s">
        <v>351</v>
      </c>
      <c r="C275" s="1" t="s">
        <v>363</v>
      </c>
      <c r="D275" s="1" t="s">
        <v>10</v>
      </c>
      <c r="E275" s="1" t="s">
        <v>11</v>
      </c>
      <c r="F275" s="1" t="s">
        <v>14</v>
      </c>
      <c r="G275">
        <v>0.5</v>
      </c>
      <c r="H275">
        <v>0</v>
      </c>
      <c r="I275">
        <v>0</v>
      </c>
      <c r="J275" s="1"/>
      <c r="K275" s="1" t="s">
        <v>344</v>
      </c>
    </row>
    <row r="276" spans="1:11" x14ac:dyDescent="0.25">
      <c r="A276" s="2">
        <v>45880.572777777779</v>
      </c>
      <c r="B276" s="1" t="s">
        <v>351</v>
      </c>
      <c r="C276" s="1" t="s">
        <v>363</v>
      </c>
      <c r="D276" s="1" t="s">
        <v>10</v>
      </c>
      <c r="E276" s="1" t="s">
        <v>17</v>
      </c>
      <c r="F276" s="1" t="s">
        <v>14</v>
      </c>
      <c r="G276">
        <v>0.5</v>
      </c>
      <c r="H276">
        <v>0</v>
      </c>
      <c r="I276">
        <v>0</v>
      </c>
      <c r="J276" s="1"/>
      <c r="K276" s="1" t="s">
        <v>342</v>
      </c>
    </row>
    <row r="277" spans="1:11" x14ac:dyDescent="0.25">
      <c r="A277" s="2">
        <v>45880.613310185188</v>
      </c>
      <c r="B277" s="1" t="s">
        <v>348</v>
      </c>
      <c r="C277" s="1" t="s">
        <v>363</v>
      </c>
      <c r="D277" s="1" t="s">
        <v>10</v>
      </c>
      <c r="E277" s="1" t="s">
        <v>17</v>
      </c>
      <c r="F277" s="1" t="s">
        <v>12</v>
      </c>
      <c r="G277">
        <v>10.5</v>
      </c>
      <c r="H277">
        <v>0</v>
      </c>
      <c r="I277">
        <v>0</v>
      </c>
      <c r="J277" s="1"/>
      <c r="K277" s="1" t="s">
        <v>340</v>
      </c>
    </row>
    <row r="278" spans="1:11" x14ac:dyDescent="0.25">
      <c r="A278" s="2">
        <v>45880.61347222222</v>
      </c>
      <c r="B278" s="1" t="s">
        <v>348</v>
      </c>
      <c r="C278" s="1" t="s">
        <v>363</v>
      </c>
      <c r="D278" s="1" t="s">
        <v>10</v>
      </c>
      <c r="E278" s="1" t="s">
        <v>11</v>
      </c>
      <c r="F278" s="1" t="s">
        <v>15</v>
      </c>
      <c r="G278">
        <v>3</v>
      </c>
      <c r="H278">
        <v>1</v>
      </c>
      <c r="I278">
        <v>0</v>
      </c>
      <c r="J278" s="1"/>
      <c r="K278" s="1" t="s">
        <v>336</v>
      </c>
    </row>
    <row r="279" spans="1:11" x14ac:dyDescent="0.25">
      <c r="A279" s="2">
        <v>45880.634837962964</v>
      </c>
      <c r="B279" s="1" t="s">
        <v>349</v>
      </c>
      <c r="C279" s="1" t="s">
        <v>363</v>
      </c>
      <c r="D279" s="1" t="s">
        <v>10</v>
      </c>
      <c r="E279" s="1" t="s">
        <v>11</v>
      </c>
      <c r="F279" s="1" t="s">
        <v>15</v>
      </c>
      <c r="G279">
        <v>3</v>
      </c>
      <c r="H279">
        <v>1</v>
      </c>
      <c r="I279">
        <v>0</v>
      </c>
      <c r="J279" s="1"/>
      <c r="K279" s="1" t="s">
        <v>336</v>
      </c>
    </row>
    <row r="280" spans="1:11" x14ac:dyDescent="0.25">
      <c r="A280" s="2">
        <v>45880.670868055553</v>
      </c>
      <c r="B280" s="1" t="s">
        <v>353</v>
      </c>
      <c r="C280" s="1" t="s">
        <v>363</v>
      </c>
      <c r="D280" s="1" t="s">
        <v>20</v>
      </c>
      <c r="E280" s="1" t="s">
        <v>11</v>
      </c>
      <c r="F280" s="1" t="s">
        <v>12</v>
      </c>
      <c r="G280">
        <v>10.5</v>
      </c>
      <c r="H280">
        <v>1</v>
      </c>
      <c r="I280">
        <v>1</v>
      </c>
      <c r="J280" s="1"/>
      <c r="K280" s="1" t="s">
        <v>336</v>
      </c>
    </row>
    <row r="281" spans="1:11" x14ac:dyDescent="0.25">
      <c r="A281" s="2">
        <v>45880.686990740738</v>
      </c>
      <c r="B281" s="1" t="s">
        <v>353</v>
      </c>
      <c r="C281" s="1" t="s">
        <v>363</v>
      </c>
      <c r="D281" s="1" t="s">
        <v>10</v>
      </c>
      <c r="E281" s="1" t="s">
        <v>11</v>
      </c>
      <c r="F281" s="1" t="s">
        <v>15</v>
      </c>
      <c r="G281">
        <v>3</v>
      </c>
      <c r="H281">
        <v>1</v>
      </c>
      <c r="I281">
        <v>0</v>
      </c>
      <c r="J281" s="1"/>
      <c r="K281" s="1" t="s">
        <v>336</v>
      </c>
    </row>
    <row r="282" spans="1:11" x14ac:dyDescent="0.25">
      <c r="A282" s="2">
        <v>45880.686990740738</v>
      </c>
      <c r="B282" s="1" t="s">
        <v>353</v>
      </c>
      <c r="C282" s="1" t="s">
        <v>363</v>
      </c>
      <c r="D282" s="1" t="s">
        <v>10</v>
      </c>
      <c r="E282" s="1" t="s">
        <v>11</v>
      </c>
      <c r="F282" s="1" t="s">
        <v>15</v>
      </c>
      <c r="G282">
        <v>3</v>
      </c>
      <c r="H282">
        <v>1</v>
      </c>
      <c r="I282">
        <v>0</v>
      </c>
      <c r="J282" s="1"/>
      <c r="K282" s="1" t="s">
        <v>340</v>
      </c>
    </row>
    <row r="283" spans="1:11" x14ac:dyDescent="0.25">
      <c r="A283" s="2">
        <v>45880.6871875</v>
      </c>
      <c r="B283" s="1" t="s">
        <v>353</v>
      </c>
      <c r="C283" s="1" t="s">
        <v>363</v>
      </c>
      <c r="D283" s="1" t="s">
        <v>10</v>
      </c>
      <c r="E283" s="1" t="s">
        <v>11</v>
      </c>
      <c r="F283" s="1" t="s">
        <v>14</v>
      </c>
      <c r="G283">
        <v>0.5</v>
      </c>
      <c r="H283">
        <v>0</v>
      </c>
      <c r="I283">
        <v>0</v>
      </c>
      <c r="J283" s="1"/>
      <c r="K283" s="1" t="s">
        <v>344</v>
      </c>
    </row>
    <row r="284" spans="1:11" x14ac:dyDescent="0.25">
      <c r="A284" s="2">
        <v>45882.499988425923</v>
      </c>
      <c r="B284" s="1" t="s">
        <v>354</v>
      </c>
      <c r="C284" s="1" t="s">
        <v>359</v>
      </c>
      <c r="D284" s="1" t="s">
        <v>10</v>
      </c>
      <c r="E284" s="1" t="s">
        <v>11</v>
      </c>
      <c r="F284" s="1" t="s">
        <v>12</v>
      </c>
      <c r="G284">
        <v>10.5</v>
      </c>
      <c r="H284">
        <v>0</v>
      </c>
      <c r="I284">
        <v>0</v>
      </c>
      <c r="J284" s="1"/>
      <c r="K284" s="1" t="s">
        <v>337</v>
      </c>
    </row>
    <row r="285" spans="1:11" x14ac:dyDescent="0.25">
      <c r="A285" s="2">
        <v>45882.524826388886</v>
      </c>
      <c r="B285" s="1" t="s">
        <v>350</v>
      </c>
      <c r="C285" s="1" t="s">
        <v>359</v>
      </c>
      <c r="D285" s="1" t="s">
        <v>10</v>
      </c>
      <c r="E285" s="1" t="s">
        <v>17</v>
      </c>
      <c r="F285" s="1" t="s">
        <v>18</v>
      </c>
      <c r="G285">
        <v>20</v>
      </c>
      <c r="H285">
        <v>0</v>
      </c>
      <c r="I285">
        <v>0</v>
      </c>
      <c r="J285" s="1" t="s">
        <v>72</v>
      </c>
      <c r="K285" s="1" t="s">
        <v>342</v>
      </c>
    </row>
    <row r="286" spans="1:11" x14ac:dyDescent="0.25">
      <c r="A286" s="2">
        <v>45882.587627314817</v>
      </c>
      <c r="B286" s="1" t="s">
        <v>348</v>
      </c>
      <c r="C286" s="1" t="s">
        <v>359</v>
      </c>
      <c r="D286" s="1" t="s">
        <v>10</v>
      </c>
      <c r="E286" s="1" t="s">
        <v>17</v>
      </c>
      <c r="F286" s="1" t="s">
        <v>15</v>
      </c>
      <c r="G286">
        <v>3</v>
      </c>
      <c r="H286">
        <v>0</v>
      </c>
      <c r="I286">
        <v>0</v>
      </c>
      <c r="J286" s="1"/>
      <c r="K286" s="1" t="s">
        <v>342</v>
      </c>
    </row>
    <row r="287" spans="1:11" x14ac:dyDescent="0.25">
      <c r="A287" s="2">
        <v>45882.611076388886</v>
      </c>
      <c r="B287" s="1" t="s">
        <v>348</v>
      </c>
      <c r="C287" s="1" t="s">
        <v>359</v>
      </c>
      <c r="D287" s="1" t="s">
        <v>10</v>
      </c>
      <c r="E287" s="1" t="s">
        <v>17</v>
      </c>
      <c r="F287" s="1" t="s">
        <v>15</v>
      </c>
      <c r="G287">
        <v>3</v>
      </c>
      <c r="H287">
        <v>0</v>
      </c>
      <c r="I287">
        <v>0</v>
      </c>
      <c r="J287" s="1"/>
      <c r="K287" s="1" t="s">
        <v>341</v>
      </c>
    </row>
    <row r="288" spans="1:11" x14ac:dyDescent="0.25">
      <c r="A288" s="2">
        <v>45882.611134259256</v>
      </c>
      <c r="B288" s="1" t="s">
        <v>348</v>
      </c>
      <c r="C288" s="1" t="s">
        <v>359</v>
      </c>
      <c r="D288" s="1" t="s">
        <v>10</v>
      </c>
      <c r="E288" s="1" t="s">
        <v>17</v>
      </c>
      <c r="F288" s="1" t="s">
        <v>15</v>
      </c>
      <c r="G288">
        <v>3</v>
      </c>
      <c r="H288">
        <v>0</v>
      </c>
      <c r="I288">
        <v>0</v>
      </c>
      <c r="J288" s="1"/>
      <c r="K288" s="1" t="s">
        <v>341</v>
      </c>
    </row>
    <row r="289" spans="1:11" x14ac:dyDescent="0.25">
      <c r="A289" s="2">
        <v>45882.660509259258</v>
      </c>
      <c r="B289" s="1" t="s">
        <v>349</v>
      </c>
      <c r="C289" s="1" t="s">
        <v>359</v>
      </c>
      <c r="D289" s="1" t="s">
        <v>10</v>
      </c>
      <c r="E289" s="1" t="s">
        <v>11</v>
      </c>
      <c r="F289" s="1" t="s">
        <v>15</v>
      </c>
      <c r="G289">
        <v>3</v>
      </c>
      <c r="H289">
        <v>0</v>
      </c>
      <c r="I289">
        <v>0</v>
      </c>
      <c r="J289" s="1"/>
      <c r="K289" s="1" t="s">
        <v>343</v>
      </c>
    </row>
    <row r="290" spans="1:11" x14ac:dyDescent="0.25">
      <c r="A290" s="2">
        <v>45882.66070601852</v>
      </c>
      <c r="B290" s="1" t="s">
        <v>349</v>
      </c>
      <c r="C290" s="1" t="s">
        <v>359</v>
      </c>
      <c r="D290" s="1" t="s">
        <v>10</v>
      </c>
      <c r="E290" s="1" t="s">
        <v>11</v>
      </c>
      <c r="F290" s="1" t="s">
        <v>15</v>
      </c>
      <c r="G290">
        <v>3</v>
      </c>
      <c r="H290">
        <v>0</v>
      </c>
      <c r="I290">
        <v>0</v>
      </c>
      <c r="J290" s="1"/>
      <c r="K290" s="1" t="s">
        <v>336</v>
      </c>
    </row>
    <row r="291" spans="1:11" x14ac:dyDescent="0.25">
      <c r="A291" s="2">
        <v>45883.386284722219</v>
      </c>
      <c r="B291" s="1" t="s">
        <v>352</v>
      </c>
      <c r="C291" s="1" t="s">
        <v>360</v>
      </c>
      <c r="D291" s="1" t="s">
        <v>10</v>
      </c>
      <c r="E291" s="1" t="s">
        <v>11</v>
      </c>
      <c r="F291" s="1" t="s">
        <v>12</v>
      </c>
      <c r="G291">
        <v>10.5</v>
      </c>
      <c r="H291">
        <v>0</v>
      </c>
      <c r="I291">
        <v>0</v>
      </c>
      <c r="J291" s="1"/>
      <c r="K291" s="1" t="s">
        <v>340</v>
      </c>
    </row>
    <row r="292" spans="1:11" x14ac:dyDescent="0.25">
      <c r="A292" s="2">
        <v>45883.386284722219</v>
      </c>
      <c r="B292" s="1" t="s">
        <v>352</v>
      </c>
      <c r="C292" s="1" t="s">
        <v>360</v>
      </c>
      <c r="D292" s="1" t="s">
        <v>10</v>
      </c>
      <c r="E292" s="1" t="s">
        <v>11</v>
      </c>
      <c r="F292" s="1" t="s">
        <v>12</v>
      </c>
      <c r="G292">
        <v>10.5</v>
      </c>
      <c r="H292">
        <v>0</v>
      </c>
      <c r="I292">
        <v>0</v>
      </c>
      <c r="J292" s="1"/>
      <c r="K292" s="1" t="s">
        <v>341</v>
      </c>
    </row>
    <row r="293" spans="1:11" x14ac:dyDescent="0.25">
      <c r="A293" s="2">
        <v>45883.386284722219</v>
      </c>
      <c r="B293" s="1" t="s">
        <v>352</v>
      </c>
      <c r="C293" s="1" t="s">
        <v>360</v>
      </c>
      <c r="D293" s="1" t="s">
        <v>10</v>
      </c>
      <c r="E293" s="1" t="s">
        <v>11</v>
      </c>
      <c r="F293" s="1" t="s">
        <v>12</v>
      </c>
      <c r="G293">
        <v>10.5</v>
      </c>
      <c r="H293">
        <v>0</v>
      </c>
      <c r="I293">
        <v>0</v>
      </c>
      <c r="J293" s="1"/>
      <c r="K293" s="1" t="s">
        <v>343</v>
      </c>
    </row>
    <row r="294" spans="1:11" x14ac:dyDescent="0.25">
      <c r="A294" s="2">
        <v>45883.422199074077</v>
      </c>
      <c r="B294" s="1" t="s">
        <v>347</v>
      </c>
      <c r="C294" s="1" t="s">
        <v>360</v>
      </c>
      <c r="D294" s="1" t="s">
        <v>10</v>
      </c>
      <c r="E294" s="1" t="s">
        <v>11</v>
      </c>
      <c r="F294" s="1" t="s">
        <v>12</v>
      </c>
      <c r="G294">
        <v>10.5</v>
      </c>
      <c r="H294">
        <v>1</v>
      </c>
      <c r="I294">
        <v>0</v>
      </c>
      <c r="J294" s="1"/>
      <c r="K294" s="1" t="s">
        <v>336</v>
      </c>
    </row>
    <row r="295" spans="1:11" x14ac:dyDescent="0.25">
      <c r="A295" s="2">
        <v>45883.442233796297</v>
      </c>
      <c r="B295" s="1" t="s">
        <v>347</v>
      </c>
      <c r="C295" s="1" t="s">
        <v>360</v>
      </c>
      <c r="D295" s="1" t="s">
        <v>10</v>
      </c>
      <c r="E295" s="1" t="s">
        <v>11</v>
      </c>
      <c r="F295" s="1" t="s">
        <v>15</v>
      </c>
      <c r="G295">
        <v>3</v>
      </c>
      <c r="H295">
        <v>0</v>
      </c>
      <c r="I295">
        <v>0</v>
      </c>
      <c r="J295" s="1"/>
      <c r="K295" s="1" t="s">
        <v>106</v>
      </c>
    </row>
    <row r="296" spans="1:11" x14ac:dyDescent="0.25">
      <c r="A296" s="2">
        <v>45883.504131944443</v>
      </c>
      <c r="B296" s="1" t="s">
        <v>350</v>
      </c>
      <c r="C296" s="1" t="s">
        <v>360</v>
      </c>
      <c r="D296" s="1" t="s">
        <v>10</v>
      </c>
      <c r="E296" s="1" t="s">
        <v>11</v>
      </c>
      <c r="F296" s="1" t="s">
        <v>15</v>
      </c>
      <c r="G296">
        <v>3</v>
      </c>
      <c r="H296">
        <v>0</v>
      </c>
      <c r="I296">
        <v>0</v>
      </c>
      <c r="J296" s="1" t="s">
        <v>73</v>
      </c>
      <c r="K296" s="1" t="s">
        <v>345</v>
      </c>
    </row>
    <row r="297" spans="1:11" x14ac:dyDescent="0.25">
      <c r="A297" s="2">
        <v>45883.535474537035</v>
      </c>
      <c r="B297" s="1" t="s">
        <v>350</v>
      </c>
      <c r="C297" s="1" t="s">
        <v>360</v>
      </c>
      <c r="D297" s="1" t="s">
        <v>10</v>
      </c>
      <c r="E297" s="1" t="s">
        <v>11</v>
      </c>
      <c r="F297" s="1" t="s">
        <v>12</v>
      </c>
      <c r="G297">
        <v>10.5</v>
      </c>
      <c r="H297">
        <v>0</v>
      </c>
      <c r="I297">
        <v>0</v>
      </c>
      <c r="J297" s="1" t="s">
        <v>74</v>
      </c>
      <c r="K297" s="1" t="s">
        <v>340</v>
      </c>
    </row>
    <row r="298" spans="1:11" x14ac:dyDescent="0.25">
      <c r="A298" s="2">
        <v>45883.536064814813</v>
      </c>
      <c r="B298" s="1" t="s">
        <v>350</v>
      </c>
      <c r="C298" s="1" t="s">
        <v>360</v>
      </c>
      <c r="D298" s="1" t="s">
        <v>10</v>
      </c>
      <c r="E298" s="1" t="s">
        <v>11</v>
      </c>
      <c r="F298" s="1" t="s">
        <v>15</v>
      </c>
      <c r="G298">
        <v>3</v>
      </c>
      <c r="H298">
        <v>0</v>
      </c>
      <c r="I298">
        <v>0</v>
      </c>
      <c r="J298" s="1" t="s">
        <v>75</v>
      </c>
      <c r="K298" s="1" t="s">
        <v>336</v>
      </c>
    </row>
    <row r="299" spans="1:11" x14ac:dyDescent="0.25">
      <c r="A299" s="2">
        <v>45883.584305555552</v>
      </c>
      <c r="B299" s="1" t="s">
        <v>348</v>
      </c>
      <c r="C299" s="1" t="s">
        <v>360</v>
      </c>
      <c r="D299" s="1" t="s">
        <v>10</v>
      </c>
      <c r="E299" s="1" t="s">
        <v>11</v>
      </c>
      <c r="F299" s="1" t="s">
        <v>12</v>
      </c>
      <c r="G299">
        <v>10.5</v>
      </c>
      <c r="H299">
        <v>1</v>
      </c>
      <c r="I299">
        <v>0</v>
      </c>
      <c r="J299" s="1"/>
      <c r="K299" s="1" t="s">
        <v>336</v>
      </c>
    </row>
    <row r="300" spans="1:11" x14ac:dyDescent="0.25">
      <c r="A300" s="2">
        <v>45883.584606481483</v>
      </c>
      <c r="B300" s="1" t="s">
        <v>348</v>
      </c>
      <c r="C300" s="1" t="s">
        <v>360</v>
      </c>
      <c r="D300" s="1" t="s">
        <v>10</v>
      </c>
      <c r="E300" s="1" t="s">
        <v>11</v>
      </c>
      <c r="F300" s="1" t="s">
        <v>12</v>
      </c>
      <c r="G300">
        <v>10.5</v>
      </c>
      <c r="H300">
        <v>0</v>
      </c>
      <c r="I300">
        <v>0</v>
      </c>
      <c r="J300" s="1"/>
      <c r="K300" s="1" t="s">
        <v>342</v>
      </c>
    </row>
    <row r="301" spans="1:11" x14ac:dyDescent="0.25">
      <c r="A301" s="2">
        <v>45883.594317129631</v>
      </c>
      <c r="B301" s="1" t="s">
        <v>348</v>
      </c>
      <c r="C301" s="1" t="s">
        <v>360</v>
      </c>
      <c r="D301" s="1" t="s">
        <v>10</v>
      </c>
      <c r="E301" s="1" t="s">
        <v>11</v>
      </c>
      <c r="F301" s="1" t="s">
        <v>14</v>
      </c>
      <c r="G301">
        <v>0.5</v>
      </c>
      <c r="H301">
        <v>0</v>
      </c>
      <c r="I301">
        <v>0</v>
      </c>
      <c r="J301" s="1" t="s">
        <v>76</v>
      </c>
      <c r="K301" s="1" t="s">
        <v>345</v>
      </c>
    </row>
    <row r="302" spans="1:11" x14ac:dyDescent="0.25">
      <c r="A302" s="2">
        <v>45883.594675925924</v>
      </c>
      <c r="B302" s="1" t="s">
        <v>348</v>
      </c>
      <c r="C302" s="1" t="s">
        <v>360</v>
      </c>
      <c r="D302" s="1" t="s">
        <v>10</v>
      </c>
      <c r="E302" s="1" t="s">
        <v>11</v>
      </c>
      <c r="F302" s="1" t="s">
        <v>15</v>
      </c>
      <c r="G302">
        <v>3</v>
      </c>
      <c r="H302">
        <v>0</v>
      </c>
      <c r="I302">
        <v>0</v>
      </c>
      <c r="J302" s="1" t="s">
        <v>77</v>
      </c>
      <c r="K302" s="1" t="s">
        <v>345</v>
      </c>
    </row>
    <row r="303" spans="1:11" x14ac:dyDescent="0.25">
      <c r="A303" s="2">
        <v>45883.6253125</v>
      </c>
      <c r="B303" s="1" t="s">
        <v>349</v>
      </c>
      <c r="C303" s="1" t="s">
        <v>360</v>
      </c>
      <c r="D303" s="1" t="s">
        <v>10</v>
      </c>
      <c r="E303" s="1" t="s">
        <v>11</v>
      </c>
      <c r="F303" s="1" t="s">
        <v>12</v>
      </c>
      <c r="G303">
        <v>10.5</v>
      </c>
      <c r="H303">
        <v>0</v>
      </c>
      <c r="I303">
        <v>0</v>
      </c>
      <c r="J303" s="1"/>
      <c r="K303" s="1" t="s">
        <v>340</v>
      </c>
    </row>
    <row r="304" spans="1:11" x14ac:dyDescent="0.25">
      <c r="A304" s="2">
        <v>45883.634918981479</v>
      </c>
      <c r="B304" s="1" t="s">
        <v>349</v>
      </c>
      <c r="C304" s="1" t="s">
        <v>360</v>
      </c>
      <c r="D304" s="1" t="s">
        <v>10</v>
      </c>
      <c r="E304" s="1" t="s">
        <v>11</v>
      </c>
      <c r="F304" s="1" t="s">
        <v>14</v>
      </c>
      <c r="G304">
        <v>0.5</v>
      </c>
      <c r="H304">
        <v>0</v>
      </c>
      <c r="I304">
        <v>0</v>
      </c>
      <c r="J304" s="1"/>
      <c r="K304" s="1" t="s">
        <v>344</v>
      </c>
    </row>
    <row r="305" spans="1:11" x14ac:dyDescent="0.25">
      <c r="A305" s="2">
        <v>45883.649618055555</v>
      </c>
      <c r="B305" s="1" t="s">
        <v>349</v>
      </c>
      <c r="C305" s="1" t="s">
        <v>360</v>
      </c>
      <c r="D305" s="1" t="s">
        <v>10</v>
      </c>
      <c r="E305" s="1" t="s">
        <v>11</v>
      </c>
      <c r="F305" s="1" t="s">
        <v>12</v>
      </c>
      <c r="G305">
        <v>10.5</v>
      </c>
      <c r="H305">
        <v>1</v>
      </c>
      <c r="I305">
        <v>0</v>
      </c>
      <c r="J305" s="1"/>
      <c r="K305" s="1" t="s">
        <v>337</v>
      </c>
    </row>
    <row r="306" spans="1:11" x14ac:dyDescent="0.25">
      <c r="A306" s="2">
        <v>45883.649618055555</v>
      </c>
      <c r="B306" s="1" t="s">
        <v>349</v>
      </c>
      <c r="C306" s="1" t="s">
        <v>360</v>
      </c>
      <c r="D306" s="1" t="s">
        <v>10</v>
      </c>
      <c r="E306" s="1" t="s">
        <v>11</v>
      </c>
      <c r="F306" s="1" t="s">
        <v>12</v>
      </c>
      <c r="G306">
        <v>10.5</v>
      </c>
      <c r="H306">
        <v>1</v>
      </c>
      <c r="I306">
        <v>0</v>
      </c>
      <c r="J306" s="1"/>
      <c r="K306" s="1" t="s">
        <v>340</v>
      </c>
    </row>
    <row r="307" spans="1:11" x14ac:dyDescent="0.25">
      <c r="A307" s="2">
        <v>45884.386921296296</v>
      </c>
      <c r="B307" s="1" t="s">
        <v>352</v>
      </c>
      <c r="C307" s="1" t="s">
        <v>361</v>
      </c>
      <c r="D307" s="1" t="s">
        <v>10</v>
      </c>
      <c r="E307" s="1" t="s">
        <v>11</v>
      </c>
      <c r="F307" s="1" t="s">
        <v>12</v>
      </c>
      <c r="G307">
        <v>10.5</v>
      </c>
      <c r="H307">
        <v>0</v>
      </c>
      <c r="I307">
        <v>1</v>
      </c>
      <c r="J307" s="1" t="s">
        <v>78</v>
      </c>
      <c r="K307" s="1" t="s">
        <v>336</v>
      </c>
    </row>
    <row r="308" spans="1:11" x14ac:dyDescent="0.25">
      <c r="A308" s="2">
        <v>45884.40625</v>
      </c>
      <c r="B308" s="1" t="s">
        <v>352</v>
      </c>
      <c r="C308" s="1" t="s">
        <v>361</v>
      </c>
      <c r="D308" s="1" t="s">
        <v>10</v>
      </c>
      <c r="E308" s="1" t="s">
        <v>11</v>
      </c>
      <c r="F308" s="1" t="s">
        <v>12</v>
      </c>
      <c r="G308">
        <v>10.5</v>
      </c>
      <c r="H308">
        <v>0</v>
      </c>
      <c r="I308">
        <v>1</v>
      </c>
      <c r="J308" s="1" t="s">
        <v>79</v>
      </c>
      <c r="K308" s="1" t="s">
        <v>337</v>
      </c>
    </row>
    <row r="309" spans="1:11" x14ac:dyDescent="0.25">
      <c r="A309" s="2">
        <v>45884.40625</v>
      </c>
      <c r="B309" s="1" t="s">
        <v>352</v>
      </c>
      <c r="C309" s="1" t="s">
        <v>361</v>
      </c>
      <c r="D309" s="1" t="s">
        <v>10</v>
      </c>
      <c r="E309" s="1" t="s">
        <v>11</v>
      </c>
      <c r="F309" s="1" t="s">
        <v>12</v>
      </c>
      <c r="G309">
        <v>10.5</v>
      </c>
      <c r="H309">
        <v>0</v>
      </c>
      <c r="I309">
        <v>1</v>
      </c>
      <c r="J309" s="1" t="s">
        <v>79</v>
      </c>
      <c r="K309" s="1" t="s">
        <v>341</v>
      </c>
    </row>
    <row r="310" spans="1:11" x14ac:dyDescent="0.25">
      <c r="A310" s="2">
        <v>45884.452453703707</v>
      </c>
      <c r="B310" s="1" t="s">
        <v>347</v>
      </c>
      <c r="C310" s="1" t="s">
        <v>361</v>
      </c>
      <c r="D310" s="1" t="s">
        <v>10</v>
      </c>
      <c r="E310" s="1" t="s">
        <v>11</v>
      </c>
      <c r="F310" s="1" t="s">
        <v>15</v>
      </c>
      <c r="G310">
        <v>3</v>
      </c>
      <c r="H310">
        <v>1</v>
      </c>
      <c r="I310">
        <v>0</v>
      </c>
      <c r="J310" s="1"/>
      <c r="K310" s="1" t="s">
        <v>336</v>
      </c>
    </row>
    <row r="311" spans="1:11" x14ac:dyDescent="0.25">
      <c r="A311" s="2">
        <v>45884.471562500003</v>
      </c>
      <c r="B311" s="1" t="s">
        <v>354</v>
      </c>
      <c r="C311" s="1" t="s">
        <v>361</v>
      </c>
      <c r="D311" s="1" t="s">
        <v>10</v>
      </c>
      <c r="E311" s="1" t="s">
        <v>11</v>
      </c>
      <c r="F311" s="1" t="s">
        <v>12</v>
      </c>
      <c r="G311">
        <v>10.5</v>
      </c>
      <c r="H311">
        <v>0</v>
      </c>
      <c r="I311">
        <v>0</v>
      </c>
      <c r="J311" s="1" t="s">
        <v>80</v>
      </c>
      <c r="K311" s="1" t="s">
        <v>345</v>
      </c>
    </row>
    <row r="312" spans="1:11" x14ac:dyDescent="0.25">
      <c r="A312" s="2">
        <v>45884.524664351855</v>
      </c>
      <c r="B312" s="1" t="s">
        <v>350</v>
      </c>
      <c r="C312" s="1" t="s">
        <v>361</v>
      </c>
      <c r="D312" s="1" t="s">
        <v>10</v>
      </c>
      <c r="E312" s="1" t="s">
        <v>11</v>
      </c>
      <c r="F312" s="1" t="s">
        <v>12</v>
      </c>
      <c r="G312">
        <v>10.5</v>
      </c>
      <c r="H312">
        <v>1</v>
      </c>
      <c r="I312">
        <v>1</v>
      </c>
      <c r="J312" s="1" t="s">
        <v>81</v>
      </c>
      <c r="K312" s="1" t="s">
        <v>337</v>
      </c>
    </row>
    <row r="313" spans="1:11" x14ac:dyDescent="0.25">
      <c r="A313" s="2">
        <v>45884.524664351855</v>
      </c>
      <c r="B313" s="1" t="s">
        <v>350</v>
      </c>
      <c r="C313" s="1" t="s">
        <v>361</v>
      </c>
      <c r="D313" s="1" t="s">
        <v>10</v>
      </c>
      <c r="E313" s="1" t="s">
        <v>11</v>
      </c>
      <c r="F313" s="1" t="s">
        <v>12</v>
      </c>
      <c r="G313">
        <v>10.5</v>
      </c>
      <c r="H313">
        <v>1</v>
      </c>
      <c r="I313">
        <v>1</v>
      </c>
      <c r="J313" s="1" t="s">
        <v>81</v>
      </c>
      <c r="K313" s="1" t="s">
        <v>341</v>
      </c>
    </row>
    <row r="314" spans="1:11" x14ac:dyDescent="0.25">
      <c r="A314" s="2">
        <v>45884.524664351855</v>
      </c>
      <c r="B314" s="1" t="s">
        <v>350</v>
      </c>
      <c r="C314" s="1" t="s">
        <v>361</v>
      </c>
      <c r="D314" s="1" t="s">
        <v>10</v>
      </c>
      <c r="E314" s="1" t="s">
        <v>11</v>
      </c>
      <c r="F314" s="1" t="s">
        <v>12</v>
      </c>
      <c r="G314">
        <v>10.5</v>
      </c>
      <c r="H314">
        <v>1</v>
      </c>
      <c r="I314">
        <v>1</v>
      </c>
      <c r="J314" s="1" t="s">
        <v>81</v>
      </c>
      <c r="K314" s="1" t="s">
        <v>343</v>
      </c>
    </row>
    <row r="315" spans="1:11" x14ac:dyDescent="0.25">
      <c r="A315" s="2">
        <v>45884.528553240743</v>
      </c>
      <c r="B315" s="1" t="s">
        <v>350</v>
      </c>
      <c r="C315" s="1" t="s">
        <v>361</v>
      </c>
      <c r="D315" s="1" t="s">
        <v>10</v>
      </c>
      <c r="E315" s="1" t="s">
        <v>11</v>
      </c>
      <c r="F315" s="1" t="s">
        <v>15</v>
      </c>
      <c r="G315">
        <v>3</v>
      </c>
      <c r="H315">
        <v>1</v>
      </c>
      <c r="I315">
        <v>0</v>
      </c>
      <c r="J315" s="1" t="s">
        <v>82</v>
      </c>
      <c r="K315" s="1" t="s">
        <v>336</v>
      </c>
    </row>
    <row r="316" spans="1:11" x14ac:dyDescent="0.25">
      <c r="A316" s="2">
        <v>45884.581516203703</v>
      </c>
      <c r="B316" s="1" t="s">
        <v>351</v>
      </c>
      <c r="C316" s="1" t="s">
        <v>361</v>
      </c>
      <c r="D316" s="1" t="s">
        <v>20</v>
      </c>
      <c r="E316" s="1" t="s">
        <v>11</v>
      </c>
      <c r="F316" s="1" t="s">
        <v>12</v>
      </c>
      <c r="G316">
        <v>10.5</v>
      </c>
      <c r="H316">
        <v>0</v>
      </c>
      <c r="I316">
        <v>0</v>
      </c>
      <c r="J316" s="1" t="s">
        <v>83</v>
      </c>
      <c r="K316" s="1" t="s">
        <v>345</v>
      </c>
    </row>
    <row r="317" spans="1:11" x14ac:dyDescent="0.25">
      <c r="A317" s="2">
        <v>45884.582060185188</v>
      </c>
      <c r="B317" s="1" t="s">
        <v>351</v>
      </c>
      <c r="C317" s="1" t="s">
        <v>361</v>
      </c>
      <c r="D317" s="1" t="s">
        <v>10</v>
      </c>
      <c r="E317" s="1" t="s">
        <v>11</v>
      </c>
      <c r="F317" s="1" t="s">
        <v>15</v>
      </c>
      <c r="G317">
        <v>3</v>
      </c>
      <c r="H317">
        <v>0</v>
      </c>
      <c r="I317">
        <v>0</v>
      </c>
      <c r="J317" s="1"/>
      <c r="K317" s="1" t="s">
        <v>341</v>
      </c>
    </row>
    <row r="318" spans="1:11" x14ac:dyDescent="0.25">
      <c r="A318" s="2">
        <v>45884.620370370372</v>
      </c>
      <c r="B318" s="1" t="s">
        <v>348</v>
      </c>
      <c r="C318" s="1" t="s">
        <v>361</v>
      </c>
      <c r="D318" s="1" t="s">
        <v>10</v>
      </c>
      <c r="E318" s="1" t="s">
        <v>11</v>
      </c>
      <c r="F318" s="1" t="s">
        <v>18</v>
      </c>
      <c r="G318">
        <v>20</v>
      </c>
      <c r="H318">
        <v>0</v>
      </c>
      <c r="I318">
        <v>0</v>
      </c>
      <c r="J318" s="1" t="s">
        <v>84</v>
      </c>
      <c r="K318" s="1" t="s">
        <v>340</v>
      </c>
    </row>
    <row r="319" spans="1:11" x14ac:dyDescent="0.25">
      <c r="A319" s="2">
        <v>45884.620555555557</v>
      </c>
      <c r="B319" s="1" t="s">
        <v>348</v>
      </c>
      <c r="C319" s="1" t="s">
        <v>361</v>
      </c>
      <c r="D319" s="1" t="s">
        <v>10</v>
      </c>
      <c r="E319" s="1" t="s">
        <v>11</v>
      </c>
      <c r="F319" s="1" t="s">
        <v>12</v>
      </c>
      <c r="G319">
        <v>10.5</v>
      </c>
      <c r="H319">
        <v>0</v>
      </c>
      <c r="I319">
        <v>0</v>
      </c>
      <c r="J319" s="1" t="s">
        <v>84</v>
      </c>
      <c r="K319" s="1" t="s">
        <v>340</v>
      </c>
    </row>
    <row r="320" spans="1:11" x14ac:dyDescent="0.25">
      <c r="A320" s="2">
        <v>45884.647002314814</v>
      </c>
      <c r="B320" s="1" t="s">
        <v>349</v>
      </c>
      <c r="C320" s="1" t="s">
        <v>361</v>
      </c>
      <c r="D320" s="1" t="s">
        <v>10</v>
      </c>
      <c r="E320" s="1" t="s">
        <v>11</v>
      </c>
      <c r="F320" s="1" t="s">
        <v>12</v>
      </c>
      <c r="G320">
        <v>10.5</v>
      </c>
      <c r="H320">
        <v>0</v>
      </c>
      <c r="I320">
        <v>0</v>
      </c>
      <c r="J320" s="1"/>
      <c r="K320" s="1" t="s">
        <v>340</v>
      </c>
    </row>
    <row r="321" spans="1:11" x14ac:dyDescent="0.25">
      <c r="A321" s="2">
        <v>45884.666516203702</v>
      </c>
      <c r="B321" s="1" t="s">
        <v>349</v>
      </c>
      <c r="C321" s="1" t="s">
        <v>361</v>
      </c>
      <c r="D321" s="1" t="s">
        <v>10</v>
      </c>
      <c r="E321" s="1" t="s">
        <v>11</v>
      </c>
      <c r="F321" s="1" t="s">
        <v>12</v>
      </c>
      <c r="G321">
        <v>10.5</v>
      </c>
      <c r="H321">
        <v>0</v>
      </c>
      <c r="I321">
        <v>0</v>
      </c>
      <c r="J321" s="1"/>
      <c r="K321" s="1" t="s">
        <v>340</v>
      </c>
    </row>
    <row r="322" spans="1:11" x14ac:dyDescent="0.25">
      <c r="A322" s="2">
        <v>45885.412557870368</v>
      </c>
      <c r="B322" s="1" t="s">
        <v>352</v>
      </c>
      <c r="C322" s="1" t="s">
        <v>362</v>
      </c>
      <c r="D322" s="1" t="s">
        <v>10</v>
      </c>
      <c r="E322" s="1" t="s">
        <v>11</v>
      </c>
      <c r="F322" s="1" t="s">
        <v>12</v>
      </c>
      <c r="G322">
        <v>10.5</v>
      </c>
      <c r="H322">
        <v>1</v>
      </c>
      <c r="I322">
        <v>0</v>
      </c>
      <c r="J322" s="1"/>
      <c r="K322" s="1" t="s">
        <v>336</v>
      </c>
    </row>
    <row r="323" spans="1:11" x14ac:dyDescent="0.25">
      <c r="A323" s="2">
        <v>45885.415034722224</v>
      </c>
      <c r="B323" s="1" t="s">
        <v>352</v>
      </c>
      <c r="C323" s="1" t="s">
        <v>362</v>
      </c>
      <c r="D323" s="1" t="s">
        <v>10</v>
      </c>
      <c r="E323" s="1" t="s">
        <v>11</v>
      </c>
      <c r="F323" s="1" t="s">
        <v>14</v>
      </c>
      <c r="G323">
        <v>0.5</v>
      </c>
      <c r="H323">
        <v>0</v>
      </c>
      <c r="I323">
        <v>0</v>
      </c>
      <c r="J323" s="1"/>
      <c r="K323" s="1" t="s">
        <v>341</v>
      </c>
    </row>
    <row r="324" spans="1:11" x14ac:dyDescent="0.25">
      <c r="A324" s="2">
        <v>45885.431875000002</v>
      </c>
      <c r="B324" s="1" t="s">
        <v>347</v>
      </c>
      <c r="C324" s="1" t="s">
        <v>362</v>
      </c>
      <c r="D324" s="1" t="s">
        <v>20</v>
      </c>
      <c r="E324" s="1" t="s">
        <v>11</v>
      </c>
      <c r="F324" s="1" t="s">
        <v>12</v>
      </c>
      <c r="G324">
        <v>10.5</v>
      </c>
      <c r="H324">
        <v>1</v>
      </c>
      <c r="I324">
        <v>0</v>
      </c>
      <c r="J324" s="1" t="s">
        <v>85</v>
      </c>
      <c r="K324" s="1" t="s">
        <v>337</v>
      </c>
    </row>
    <row r="325" spans="1:11" x14ac:dyDescent="0.25">
      <c r="A325" s="2">
        <v>45885.432002314818</v>
      </c>
      <c r="B325" s="1" t="s">
        <v>347</v>
      </c>
      <c r="C325" s="1" t="s">
        <v>362</v>
      </c>
      <c r="D325" s="1" t="s">
        <v>10</v>
      </c>
      <c r="E325" s="1" t="s">
        <v>11</v>
      </c>
      <c r="F325" s="1" t="s">
        <v>14</v>
      </c>
      <c r="G325">
        <v>0.5</v>
      </c>
      <c r="H325">
        <v>0</v>
      </c>
      <c r="I325">
        <v>0</v>
      </c>
      <c r="J325" s="1"/>
      <c r="K325" s="1" t="s">
        <v>343</v>
      </c>
    </row>
    <row r="326" spans="1:11" x14ac:dyDescent="0.25">
      <c r="A326" s="2">
        <v>45885.437002314815</v>
      </c>
      <c r="B326" s="1" t="s">
        <v>347</v>
      </c>
      <c r="C326" s="1" t="s">
        <v>362</v>
      </c>
      <c r="D326" s="1" t="s">
        <v>10</v>
      </c>
      <c r="E326" s="1" t="s">
        <v>11</v>
      </c>
      <c r="F326" s="1" t="s">
        <v>14</v>
      </c>
      <c r="G326">
        <v>0.5</v>
      </c>
      <c r="H326">
        <v>0</v>
      </c>
      <c r="I326">
        <v>0</v>
      </c>
      <c r="J326" s="1" t="s">
        <v>86</v>
      </c>
      <c r="K326" s="1" t="s">
        <v>345</v>
      </c>
    </row>
    <row r="327" spans="1:11" x14ac:dyDescent="0.25">
      <c r="A327" s="2">
        <v>45885.4372337963</v>
      </c>
      <c r="B327" s="1" t="s">
        <v>347</v>
      </c>
      <c r="C327" s="1" t="s">
        <v>362</v>
      </c>
      <c r="D327" s="1" t="s">
        <v>10</v>
      </c>
      <c r="E327" s="1" t="s">
        <v>11</v>
      </c>
      <c r="F327" s="1" t="s">
        <v>15</v>
      </c>
      <c r="G327">
        <v>3</v>
      </c>
      <c r="H327">
        <v>1</v>
      </c>
      <c r="I327">
        <v>0</v>
      </c>
      <c r="J327" s="1" t="s">
        <v>87</v>
      </c>
      <c r="K327" s="1" t="s">
        <v>337</v>
      </c>
    </row>
    <row r="328" spans="1:11" x14ac:dyDescent="0.25">
      <c r="A328" s="2">
        <v>45885.459097222221</v>
      </c>
      <c r="B328" s="1" t="s">
        <v>354</v>
      </c>
      <c r="C328" s="1" t="s">
        <v>362</v>
      </c>
      <c r="D328" s="1" t="s">
        <v>10</v>
      </c>
      <c r="E328" s="1" t="s">
        <v>11</v>
      </c>
      <c r="F328" s="1" t="s">
        <v>18</v>
      </c>
      <c r="G328">
        <v>20</v>
      </c>
      <c r="H328">
        <v>0</v>
      </c>
      <c r="I328">
        <v>0</v>
      </c>
      <c r="J328" s="1" t="s">
        <v>88</v>
      </c>
      <c r="K328" s="1" t="s">
        <v>336</v>
      </c>
    </row>
    <row r="329" spans="1:11" x14ac:dyDescent="0.25">
      <c r="A329" s="2">
        <v>45885.459097222221</v>
      </c>
      <c r="B329" s="1" t="s">
        <v>354</v>
      </c>
      <c r="C329" s="1" t="s">
        <v>362</v>
      </c>
      <c r="D329" s="1" t="s">
        <v>10</v>
      </c>
      <c r="E329" s="1" t="s">
        <v>11</v>
      </c>
      <c r="F329" s="1" t="s">
        <v>18</v>
      </c>
      <c r="G329">
        <v>20</v>
      </c>
      <c r="H329">
        <v>0</v>
      </c>
      <c r="I329">
        <v>0</v>
      </c>
      <c r="J329" s="1" t="s">
        <v>88</v>
      </c>
      <c r="K329" s="1" t="s">
        <v>340</v>
      </c>
    </row>
    <row r="330" spans="1:11" x14ac:dyDescent="0.25">
      <c r="A330" s="2">
        <v>45885.459189814814</v>
      </c>
      <c r="B330" s="1" t="s">
        <v>354</v>
      </c>
      <c r="C330" s="1" t="s">
        <v>362</v>
      </c>
      <c r="D330" s="1" t="s">
        <v>10</v>
      </c>
      <c r="E330" s="1" t="s">
        <v>11</v>
      </c>
      <c r="F330" s="1" t="s">
        <v>14</v>
      </c>
      <c r="G330">
        <v>0.5</v>
      </c>
      <c r="H330">
        <v>0</v>
      </c>
      <c r="I330">
        <v>0</v>
      </c>
      <c r="J330" s="1" t="s">
        <v>89</v>
      </c>
      <c r="K330" s="1" t="s">
        <v>342</v>
      </c>
    </row>
    <row r="331" spans="1:11" x14ac:dyDescent="0.25">
      <c r="A331" s="2">
        <v>45885.459432870368</v>
      </c>
      <c r="B331" s="1" t="s">
        <v>354</v>
      </c>
      <c r="C331" s="1" t="s">
        <v>362</v>
      </c>
      <c r="D331" s="1" t="s">
        <v>10</v>
      </c>
      <c r="E331" s="1" t="s">
        <v>11</v>
      </c>
      <c r="F331" s="1" t="s">
        <v>15</v>
      </c>
      <c r="G331">
        <v>3</v>
      </c>
      <c r="H331">
        <v>0</v>
      </c>
      <c r="I331">
        <v>0</v>
      </c>
      <c r="J331" s="1" t="s">
        <v>90</v>
      </c>
      <c r="K331" s="1" t="s">
        <v>340</v>
      </c>
    </row>
    <row r="332" spans="1:11" x14ac:dyDescent="0.25">
      <c r="A332" s="2">
        <v>45887.382256944446</v>
      </c>
      <c r="B332" s="1" t="s">
        <v>352</v>
      </c>
      <c r="C332" s="1" t="s">
        <v>363</v>
      </c>
      <c r="D332" s="1" t="s">
        <v>10</v>
      </c>
      <c r="E332" s="1" t="s">
        <v>11</v>
      </c>
      <c r="F332" s="1" t="s">
        <v>15</v>
      </c>
      <c r="G332">
        <v>3</v>
      </c>
      <c r="H332">
        <v>0</v>
      </c>
      <c r="I332">
        <v>0</v>
      </c>
      <c r="J332" s="1"/>
      <c r="K332" s="1" t="s">
        <v>343</v>
      </c>
    </row>
    <row r="333" spans="1:11" x14ac:dyDescent="0.25">
      <c r="A333" s="2">
        <v>45887.396863425929</v>
      </c>
      <c r="B333" s="1" t="s">
        <v>352</v>
      </c>
      <c r="C333" s="1" t="s">
        <v>363</v>
      </c>
      <c r="D333" s="1" t="s">
        <v>20</v>
      </c>
      <c r="E333" s="1" t="s">
        <v>11</v>
      </c>
      <c r="F333" s="1" t="s">
        <v>15</v>
      </c>
      <c r="G333">
        <v>3</v>
      </c>
      <c r="H333">
        <v>0</v>
      </c>
      <c r="I333">
        <v>0</v>
      </c>
      <c r="J333" s="1"/>
      <c r="K333" s="1" t="s">
        <v>344</v>
      </c>
    </row>
    <row r="334" spans="1:11" x14ac:dyDescent="0.25">
      <c r="A334" s="2">
        <v>45887.414768518516</v>
      </c>
      <c r="B334" s="1" t="s">
        <v>352</v>
      </c>
      <c r="C334" s="1" t="s">
        <v>363</v>
      </c>
      <c r="D334" s="1" t="s">
        <v>20</v>
      </c>
      <c r="E334" s="1" t="s">
        <v>11</v>
      </c>
      <c r="F334" s="1" t="s">
        <v>12</v>
      </c>
      <c r="G334">
        <v>10.5</v>
      </c>
      <c r="H334">
        <v>0</v>
      </c>
      <c r="I334">
        <v>0</v>
      </c>
      <c r="J334" s="1" t="s">
        <v>91</v>
      </c>
      <c r="K334" s="1" t="s">
        <v>345</v>
      </c>
    </row>
    <row r="335" spans="1:11" x14ac:dyDescent="0.25">
      <c r="A335" s="2">
        <v>45887.526296296295</v>
      </c>
      <c r="B335" s="1" t="s">
        <v>350</v>
      </c>
      <c r="C335" s="1" t="s">
        <v>363</v>
      </c>
      <c r="D335" s="1" t="s">
        <v>10</v>
      </c>
      <c r="E335" s="1" t="s">
        <v>11</v>
      </c>
      <c r="F335" s="1" t="s">
        <v>15</v>
      </c>
      <c r="G335">
        <v>3</v>
      </c>
      <c r="H335">
        <v>0</v>
      </c>
      <c r="I335">
        <v>0</v>
      </c>
      <c r="J335" s="1"/>
      <c r="K335" s="1" t="s">
        <v>342</v>
      </c>
    </row>
    <row r="336" spans="1:11" x14ac:dyDescent="0.25">
      <c r="A336" s="2">
        <v>45887.526377314818</v>
      </c>
      <c r="B336" s="1" t="s">
        <v>350</v>
      </c>
      <c r="C336" s="1" t="s">
        <v>363</v>
      </c>
      <c r="D336" s="1" t="s">
        <v>10</v>
      </c>
      <c r="E336" s="1" t="s">
        <v>11</v>
      </c>
      <c r="F336" s="1" t="s">
        <v>15</v>
      </c>
      <c r="G336">
        <v>3</v>
      </c>
      <c r="H336">
        <v>0</v>
      </c>
      <c r="I336">
        <v>0</v>
      </c>
      <c r="J336" s="1"/>
      <c r="K336" s="1" t="s">
        <v>342</v>
      </c>
    </row>
    <row r="337" spans="1:11" x14ac:dyDescent="0.25">
      <c r="A337" s="2">
        <v>45887.526574074072</v>
      </c>
      <c r="B337" s="1" t="s">
        <v>350</v>
      </c>
      <c r="C337" s="1" t="s">
        <v>363</v>
      </c>
      <c r="D337" s="1" t="s">
        <v>10</v>
      </c>
      <c r="E337" s="1" t="s">
        <v>11</v>
      </c>
      <c r="F337" s="1" t="s">
        <v>14</v>
      </c>
      <c r="G337">
        <v>0.5</v>
      </c>
      <c r="H337">
        <v>0</v>
      </c>
      <c r="I337">
        <v>0</v>
      </c>
      <c r="J337" s="1"/>
      <c r="K337" s="1" t="s">
        <v>344</v>
      </c>
    </row>
    <row r="338" spans="1:11" x14ac:dyDescent="0.25">
      <c r="A338" s="2">
        <v>45887.5466087963</v>
      </c>
      <c r="B338" s="1" t="s">
        <v>351</v>
      </c>
      <c r="C338" s="1" t="s">
        <v>363</v>
      </c>
      <c r="D338" s="1" t="s">
        <v>10</v>
      </c>
      <c r="E338" s="1" t="s">
        <v>11</v>
      </c>
      <c r="F338" s="1" t="s">
        <v>15</v>
      </c>
      <c r="G338">
        <v>3</v>
      </c>
      <c r="H338">
        <v>0</v>
      </c>
      <c r="I338">
        <v>0</v>
      </c>
      <c r="J338" s="1"/>
      <c r="K338" s="1" t="s">
        <v>341</v>
      </c>
    </row>
    <row r="339" spans="1:11" x14ac:dyDescent="0.25">
      <c r="A339" s="2">
        <v>45887.546643518515</v>
      </c>
      <c r="B339" s="1" t="s">
        <v>351</v>
      </c>
      <c r="C339" s="1" t="s">
        <v>363</v>
      </c>
      <c r="D339" s="1" t="s">
        <v>10</v>
      </c>
      <c r="E339" s="1" t="s">
        <v>11</v>
      </c>
      <c r="F339" s="1" t="s">
        <v>14</v>
      </c>
      <c r="G339">
        <v>0.5</v>
      </c>
      <c r="H339">
        <v>0</v>
      </c>
      <c r="I339">
        <v>0</v>
      </c>
      <c r="J339" s="1"/>
      <c r="K339" s="1" t="s">
        <v>344</v>
      </c>
    </row>
    <row r="340" spans="1:11" x14ac:dyDescent="0.25">
      <c r="A340" s="2">
        <v>45887.561909722222</v>
      </c>
      <c r="B340" s="1" t="s">
        <v>351</v>
      </c>
      <c r="C340" s="1" t="s">
        <v>363</v>
      </c>
      <c r="D340" s="1" t="s">
        <v>10</v>
      </c>
      <c r="E340" s="1" t="s">
        <v>11</v>
      </c>
      <c r="F340" s="1" t="s">
        <v>15</v>
      </c>
      <c r="G340">
        <v>3</v>
      </c>
      <c r="H340">
        <v>0</v>
      </c>
      <c r="I340">
        <v>0</v>
      </c>
      <c r="J340" s="1" t="s">
        <v>92</v>
      </c>
      <c r="K340" s="1" t="s">
        <v>345</v>
      </c>
    </row>
    <row r="341" spans="1:11" x14ac:dyDescent="0.25">
      <c r="A341" s="2">
        <v>45887.572453703702</v>
      </c>
      <c r="B341" s="1" t="s">
        <v>351</v>
      </c>
      <c r="C341" s="1" t="s">
        <v>363</v>
      </c>
      <c r="D341" s="1" t="s">
        <v>10</v>
      </c>
      <c r="E341" s="1" t="s">
        <v>11</v>
      </c>
      <c r="F341" s="1" t="s">
        <v>15</v>
      </c>
      <c r="G341">
        <v>3</v>
      </c>
      <c r="H341">
        <v>0</v>
      </c>
      <c r="I341">
        <v>0</v>
      </c>
      <c r="J341" s="1"/>
      <c r="K341" s="1" t="s">
        <v>341</v>
      </c>
    </row>
    <row r="342" spans="1:11" x14ac:dyDescent="0.25">
      <c r="A342" s="2">
        <v>45887.587777777779</v>
      </c>
      <c r="B342" s="1" t="s">
        <v>348</v>
      </c>
      <c r="C342" s="1" t="s">
        <v>363</v>
      </c>
      <c r="D342" s="1" t="s">
        <v>10</v>
      </c>
      <c r="E342" s="1" t="s">
        <v>11</v>
      </c>
      <c r="F342" s="1" t="s">
        <v>18</v>
      </c>
      <c r="G342">
        <v>20</v>
      </c>
      <c r="H342">
        <v>1</v>
      </c>
      <c r="I342">
        <v>0</v>
      </c>
      <c r="J342" s="1" t="s">
        <v>93</v>
      </c>
      <c r="K342" s="1" t="s">
        <v>336</v>
      </c>
    </row>
    <row r="343" spans="1:11" x14ac:dyDescent="0.25">
      <c r="A343" s="2">
        <v>45887.587777777779</v>
      </c>
      <c r="B343" s="1" t="s">
        <v>348</v>
      </c>
      <c r="C343" s="1" t="s">
        <v>363</v>
      </c>
      <c r="D343" s="1" t="s">
        <v>10</v>
      </c>
      <c r="E343" s="1" t="s">
        <v>11</v>
      </c>
      <c r="F343" s="1" t="s">
        <v>18</v>
      </c>
      <c r="G343">
        <v>20</v>
      </c>
      <c r="H343">
        <v>1</v>
      </c>
      <c r="I343">
        <v>0</v>
      </c>
      <c r="J343" s="1" t="s">
        <v>93</v>
      </c>
      <c r="K343" s="1" t="s">
        <v>340</v>
      </c>
    </row>
    <row r="344" spans="1:11" x14ac:dyDescent="0.25">
      <c r="A344" s="2">
        <v>45887.587777777779</v>
      </c>
      <c r="B344" s="1" t="s">
        <v>348</v>
      </c>
      <c r="C344" s="1" t="s">
        <v>363</v>
      </c>
      <c r="D344" s="1" t="s">
        <v>10</v>
      </c>
      <c r="E344" s="1" t="s">
        <v>11</v>
      </c>
      <c r="F344" s="1" t="s">
        <v>18</v>
      </c>
      <c r="G344">
        <v>20</v>
      </c>
      <c r="H344">
        <v>1</v>
      </c>
      <c r="I344">
        <v>0</v>
      </c>
      <c r="J344" s="1" t="s">
        <v>93</v>
      </c>
      <c r="K344" s="1" t="s">
        <v>341</v>
      </c>
    </row>
    <row r="345" spans="1:11" x14ac:dyDescent="0.25">
      <c r="A345" s="2">
        <v>45887.593032407407</v>
      </c>
      <c r="B345" s="1" t="s">
        <v>348</v>
      </c>
      <c r="C345" s="1" t="s">
        <v>363</v>
      </c>
      <c r="D345" s="1" t="s">
        <v>10</v>
      </c>
      <c r="E345" s="1" t="s">
        <v>11</v>
      </c>
      <c r="F345" s="1" t="s">
        <v>14</v>
      </c>
      <c r="G345">
        <v>0.5</v>
      </c>
      <c r="H345">
        <v>0</v>
      </c>
      <c r="I345">
        <v>0</v>
      </c>
      <c r="J345" s="1"/>
      <c r="K345" s="1" t="s">
        <v>342</v>
      </c>
    </row>
    <row r="346" spans="1:11" x14ac:dyDescent="0.25">
      <c r="A346" s="2">
        <v>45887.617523148147</v>
      </c>
      <c r="B346" s="1" t="s">
        <v>348</v>
      </c>
      <c r="C346" s="1" t="s">
        <v>363</v>
      </c>
      <c r="D346" s="1" t="s">
        <v>10</v>
      </c>
      <c r="E346" s="1" t="s">
        <v>11</v>
      </c>
      <c r="F346" s="1" t="s">
        <v>15</v>
      </c>
      <c r="G346">
        <v>3</v>
      </c>
      <c r="H346">
        <v>0</v>
      </c>
      <c r="I346">
        <v>0</v>
      </c>
      <c r="J346" s="1" t="s">
        <v>94</v>
      </c>
      <c r="K346" s="1" t="s">
        <v>342</v>
      </c>
    </row>
    <row r="347" spans="1:11" x14ac:dyDescent="0.25">
      <c r="A347" s="2">
        <v>45887.624861111108</v>
      </c>
      <c r="B347" s="1" t="s">
        <v>348</v>
      </c>
      <c r="C347" s="1" t="s">
        <v>363</v>
      </c>
      <c r="D347" s="1" t="s">
        <v>10</v>
      </c>
      <c r="E347" s="1" t="s">
        <v>11</v>
      </c>
      <c r="F347" s="1" t="s">
        <v>14</v>
      </c>
      <c r="G347">
        <v>0.5</v>
      </c>
      <c r="H347">
        <v>0</v>
      </c>
      <c r="I347">
        <v>0</v>
      </c>
      <c r="J347" s="1"/>
      <c r="K347" s="1" t="s">
        <v>344</v>
      </c>
    </row>
    <row r="348" spans="1:11" x14ac:dyDescent="0.25">
      <c r="A348" s="2">
        <v>45887.641168981485</v>
      </c>
      <c r="B348" s="1" t="s">
        <v>349</v>
      </c>
      <c r="C348" s="1" t="s">
        <v>363</v>
      </c>
      <c r="D348" s="1" t="s">
        <v>10</v>
      </c>
      <c r="E348" s="1" t="s">
        <v>11</v>
      </c>
      <c r="F348" s="1" t="s">
        <v>15</v>
      </c>
      <c r="G348">
        <v>3</v>
      </c>
      <c r="H348">
        <v>1</v>
      </c>
      <c r="I348">
        <v>0</v>
      </c>
      <c r="J348" s="1" t="s">
        <v>95</v>
      </c>
      <c r="K348" s="1" t="s">
        <v>336</v>
      </c>
    </row>
    <row r="349" spans="1:11" x14ac:dyDescent="0.25">
      <c r="A349" s="2">
        <v>45887.641377314816</v>
      </c>
      <c r="B349" s="1" t="s">
        <v>349</v>
      </c>
      <c r="C349" s="1" t="s">
        <v>363</v>
      </c>
      <c r="D349" s="1" t="s">
        <v>10</v>
      </c>
      <c r="E349" s="1" t="s">
        <v>11</v>
      </c>
      <c r="F349" s="1" t="s">
        <v>12</v>
      </c>
      <c r="G349">
        <v>10.5</v>
      </c>
      <c r="H349">
        <v>0</v>
      </c>
      <c r="I349">
        <v>0</v>
      </c>
      <c r="J349" s="1"/>
      <c r="K349" s="1" t="s">
        <v>340</v>
      </c>
    </row>
    <row r="350" spans="1:11" x14ac:dyDescent="0.25">
      <c r="A350" s="2">
        <v>45887.674270833333</v>
      </c>
      <c r="B350" s="1" t="s">
        <v>353</v>
      </c>
      <c r="C350" s="1" t="s">
        <v>363</v>
      </c>
      <c r="D350" s="1" t="s">
        <v>10</v>
      </c>
      <c r="E350" s="1" t="s">
        <v>11</v>
      </c>
      <c r="F350" s="1" t="s">
        <v>14</v>
      </c>
      <c r="G350">
        <v>0.5</v>
      </c>
      <c r="H350">
        <v>0</v>
      </c>
      <c r="I350">
        <v>0</v>
      </c>
      <c r="J350" s="1"/>
      <c r="K350" s="1" t="s">
        <v>343</v>
      </c>
    </row>
    <row r="351" spans="1:11" x14ac:dyDescent="0.25">
      <c r="A351" s="2">
        <v>45887.674444444441</v>
      </c>
      <c r="B351" s="1" t="s">
        <v>353</v>
      </c>
      <c r="C351" s="1" t="s">
        <v>363</v>
      </c>
      <c r="D351" s="1" t="s">
        <v>10</v>
      </c>
      <c r="E351" s="1" t="s">
        <v>11</v>
      </c>
      <c r="F351" s="1" t="s">
        <v>14</v>
      </c>
      <c r="G351">
        <v>0.5</v>
      </c>
      <c r="H351">
        <v>0</v>
      </c>
      <c r="I351">
        <v>0</v>
      </c>
      <c r="J351" s="1"/>
      <c r="K351" s="1" t="s">
        <v>343</v>
      </c>
    </row>
    <row r="352" spans="1:11" x14ac:dyDescent="0.25">
      <c r="A352" s="2">
        <v>45888.432881944442</v>
      </c>
      <c r="B352" s="1" t="s">
        <v>347</v>
      </c>
      <c r="C352" s="1" t="s">
        <v>358</v>
      </c>
      <c r="D352" s="1" t="s">
        <v>10</v>
      </c>
      <c r="E352" s="1" t="s">
        <v>11</v>
      </c>
      <c r="F352" s="1" t="s">
        <v>12</v>
      </c>
      <c r="G352">
        <v>10.5</v>
      </c>
      <c r="H352">
        <v>0</v>
      </c>
      <c r="I352">
        <v>0</v>
      </c>
      <c r="J352" s="1"/>
      <c r="K352" s="1" t="s">
        <v>340</v>
      </c>
    </row>
    <row r="353" spans="1:11" x14ac:dyDescent="0.25">
      <c r="A353" s="2">
        <v>45888.43310185185</v>
      </c>
      <c r="B353" s="1" t="s">
        <v>347</v>
      </c>
      <c r="C353" s="1" t="s">
        <v>358</v>
      </c>
      <c r="D353" s="1" t="s">
        <v>10</v>
      </c>
      <c r="E353" s="1" t="s">
        <v>11</v>
      </c>
      <c r="F353" s="1" t="s">
        <v>12</v>
      </c>
      <c r="G353">
        <v>10.5</v>
      </c>
      <c r="H353">
        <v>0</v>
      </c>
      <c r="I353">
        <v>0</v>
      </c>
      <c r="J353" s="1"/>
      <c r="K353" s="1" t="s">
        <v>340</v>
      </c>
    </row>
    <row r="354" spans="1:11" x14ac:dyDescent="0.25">
      <c r="A354" s="2">
        <v>45888.43310185185</v>
      </c>
      <c r="B354" s="1" t="s">
        <v>347</v>
      </c>
      <c r="C354" s="1" t="s">
        <v>358</v>
      </c>
      <c r="D354" s="1" t="s">
        <v>10</v>
      </c>
      <c r="E354" s="1" t="s">
        <v>11</v>
      </c>
      <c r="F354" s="1" t="s">
        <v>12</v>
      </c>
      <c r="G354">
        <v>10.5</v>
      </c>
      <c r="H354">
        <v>0</v>
      </c>
      <c r="I354">
        <v>0</v>
      </c>
      <c r="J354" s="1"/>
      <c r="K354" s="1" t="s">
        <v>343</v>
      </c>
    </row>
    <row r="355" spans="1:11" x14ac:dyDescent="0.25">
      <c r="A355" s="2">
        <v>45888.43310185185</v>
      </c>
      <c r="B355" s="1" t="s">
        <v>347</v>
      </c>
      <c r="C355" s="1" t="s">
        <v>358</v>
      </c>
      <c r="D355" s="1" t="s">
        <v>10</v>
      </c>
      <c r="E355" s="1" t="s">
        <v>11</v>
      </c>
      <c r="F355" s="1" t="s">
        <v>12</v>
      </c>
      <c r="G355">
        <v>10.5</v>
      </c>
      <c r="H355">
        <v>0</v>
      </c>
      <c r="I355">
        <v>0</v>
      </c>
      <c r="J355" s="1"/>
      <c r="K355" s="1" t="s">
        <v>344</v>
      </c>
    </row>
    <row r="356" spans="1:11" x14ac:dyDescent="0.25">
      <c r="A356" s="2">
        <v>45888.568043981482</v>
      </c>
      <c r="B356" s="1" t="s">
        <v>351</v>
      </c>
      <c r="C356" s="1" t="s">
        <v>358</v>
      </c>
      <c r="D356" s="1" t="s">
        <v>10</v>
      </c>
      <c r="E356" s="1" t="s">
        <v>11</v>
      </c>
      <c r="F356" s="1" t="s">
        <v>14</v>
      </c>
      <c r="G356">
        <v>0.5</v>
      </c>
      <c r="H356">
        <v>0</v>
      </c>
      <c r="I356">
        <v>0</v>
      </c>
      <c r="J356" s="1" t="s">
        <v>96</v>
      </c>
      <c r="K356" s="1" t="s">
        <v>345</v>
      </c>
    </row>
    <row r="357" spans="1:11" x14ac:dyDescent="0.25">
      <c r="A357" s="2">
        <v>45888.589826388888</v>
      </c>
      <c r="B357" s="1" t="s">
        <v>348</v>
      </c>
      <c r="C357" s="1" t="s">
        <v>358</v>
      </c>
      <c r="D357" s="1" t="s">
        <v>10</v>
      </c>
      <c r="E357" s="1" t="s">
        <v>11</v>
      </c>
      <c r="F357" s="1" t="s">
        <v>14</v>
      </c>
      <c r="G357">
        <v>0.5</v>
      </c>
      <c r="H357">
        <v>0</v>
      </c>
      <c r="I357">
        <v>0</v>
      </c>
      <c r="J357" s="1"/>
      <c r="K357" s="1" t="s">
        <v>345</v>
      </c>
    </row>
    <row r="358" spans="1:11" x14ac:dyDescent="0.25">
      <c r="A358" s="2">
        <v>45888.619074074071</v>
      </c>
      <c r="B358" s="1" t="s">
        <v>348</v>
      </c>
      <c r="C358" s="1" t="s">
        <v>358</v>
      </c>
      <c r="D358" s="1" t="s">
        <v>10</v>
      </c>
      <c r="E358" s="1" t="s">
        <v>17</v>
      </c>
      <c r="F358" s="1" t="s">
        <v>15</v>
      </c>
      <c r="G358">
        <v>3</v>
      </c>
      <c r="H358">
        <v>0</v>
      </c>
      <c r="I358">
        <v>0</v>
      </c>
      <c r="J358" s="1"/>
      <c r="K358" s="1" t="s">
        <v>341</v>
      </c>
    </row>
    <row r="359" spans="1:11" x14ac:dyDescent="0.25">
      <c r="A359" s="2">
        <v>45888.636250000003</v>
      </c>
      <c r="B359" s="1" t="s">
        <v>349</v>
      </c>
      <c r="C359" s="1" t="s">
        <v>358</v>
      </c>
      <c r="D359" s="1" t="s">
        <v>10</v>
      </c>
      <c r="E359" s="1" t="s">
        <v>17</v>
      </c>
      <c r="F359" s="1" t="s">
        <v>12</v>
      </c>
      <c r="G359">
        <v>10.5</v>
      </c>
      <c r="H359">
        <v>0</v>
      </c>
      <c r="I359">
        <v>0</v>
      </c>
      <c r="J359" s="1" t="s">
        <v>97</v>
      </c>
      <c r="K359" s="1" t="s">
        <v>345</v>
      </c>
    </row>
    <row r="360" spans="1:11" x14ac:dyDescent="0.25">
      <c r="A360" s="2">
        <v>45888.642939814818</v>
      </c>
      <c r="B360" s="1" t="s">
        <v>349</v>
      </c>
      <c r="C360" s="1" t="s">
        <v>358</v>
      </c>
      <c r="D360" s="1" t="s">
        <v>10</v>
      </c>
      <c r="E360" s="1" t="s">
        <v>11</v>
      </c>
      <c r="F360" s="1" t="s">
        <v>14</v>
      </c>
      <c r="G360">
        <v>0.5</v>
      </c>
      <c r="H360">
        <v>0</v>
      </c>
      <c r="I360">
        <v>0</v>
      </c>
      <c r="J360" s="1" t="s">
        <v>98</v>
      </c>
      <c r="K360" s="1" t="s">
        <v>345</v>
      </c>
    </row>
    <row r="361" spans="1:11" x14ac:dyDescent="0.25">
      <c r="A361" s="2">
        <v>45888.682083333333</v>
      </c>
      <c r="B361" s="1" t="s">
        <v>353</v>
      </c>
      <c r="C361" s="1" t="s">
        <v>358</v>
      </c>
      <c r="D361" s="1" t="s">
        <v>10</v>
      </c>
      <c r="E361" s="1" t="s">
        <v>11</v>
      </c>
      <c r="F361" s="1" t="s">
        <v>12</v>
      </c>
      <c r="G361">
        <v>10.5</v>
      </c>
      <c r="H361">
        <v>0</v>
      </c>
      <c r="I361">
        <v>0</v>
      </c>
      <c r="J361" s="1"/>
      <c r="K361" s="1" t="s">
        <v>340</v>
      </c>
    </row>
    <row r="362" spans="1:11" x14ac:dyDescent="0.25">
      <c r="A362" s="2">
        <v>45888.682083333333</v>
      </c>
      <c r="B362" s="1" t="s">
        <v>353</v>
      </c>
      <c r="C362" s="1" t="s">
        <v>358</v>
      </c>
      <c r="D362" s="1" t="s">
        <v>10</v>
      </c>
      <c r="E362" s="1" t="s">
        <v>11</v>
      </c>
      <c r="F362" s="1" t="s">
        <v>12</v>
      </c>
      <c r="G362">
        <v>10.5</v>
      </c>
      <c r="H362">
        <v>0</v>
      </c>
      <c r="I362">
        <v>0</v>
      </c>
      <c r="J362" s="1"/>
      <c r="K362" s="1" t="s">
        <v>343</v>
      </c>
    </row>
    <row r="363" spans="1:11" x14ac:dyDescent="0.25">
      <c r="A363" s="2">
        <v>45888.682384259257</v>
      </c>
      <c r="B363" s="1" t="s">
        <v>353</v>
      </c>
      <c r="C363" s="1" t="s">
        <v>358</v>
      </c>
      <c r="D363" s="1" t="s">
        <v>10</v>
      </c>
      <c r="E363" s="1" t="s">
        <v>17</v>
      </c>
      <c r="F363" s="1" t="s">
        <v>15</v>
      </c>
      <c r="G363">
        <v>3</v>
      </c>
      <c r="H363">
        <v>0</v>
      </c>
      <c r="I363">
        <v>0</v>
      </c>
      <c r="J363" s="1"/>
      <c r="K363" s="1" t="s">
        <v>342</v>
      </c>
    </row>
    <row r="364" spans="1:11" x14ac:dyDescent="0.25">
      <c r="A364" s="2">
        <v>45888.700462962966</v>
      </c>
      <c r="B364" s="1" t="s">
        <v>353</v>
      </c>
      <c r="C364" s="1" t="s">
        <v>358</v>
      </c>
      <c r="D364" s="1" t="s">
        <v>10</v>
      </c>
      <c r="E364" s="1" t="s">
        <v>11</v>
      </c>
      <c r="F364" s="1" t="s">
        <v>12</v>
      </c>
      <c r="G364">
        <v>10.5</v>
      </c>
      <c r="H364">
        <v>0</v>
      </c>
      <c r="I364">
        <v>0</v>
      </c>
      <c r="J364" s="1"/>
      <c r="K364" s="1" t="s">
        <v>340</v>
      </c>
    </row>
    <row r="365" spans="1:11" x14ac:dyDescent="0.25">
      <c r="A365" s="2">
        <v>45888.700462962966</v>
      </c>
      <c r="B365" s="1" t="s">
        <v>353</v>
      </c>
      <c r="C365" s="1" t="s">
        <v>358</v>
      </c>
      <c r="D365" s="1" t="s">
        <v>10</v>
      </c>
      <c r="E365" s="1" t="s">
        <v>11</v>
      </c>
      <c r="F365" s="1" t="s">
        <v>12</v>
      </c>
      <c r="G365">
        <v>10.5</v>
      </c>
      <c r="H365">
        <v>0</v>
      </c>
      <c r="I365">
        <v>0</v>
      </c>
      <c r="J365" s="1"/>
      <c r="K365" s="1" t="s">
        <v>343</v>
      </c>
    </row>
    <row r="366" spans="1:11" x14ac:dyDescent="0.25">
      <c r="A366" s="2">
        <v>45888.705567129633</v>
      </c>
      <c r="B366" s="1" t="s">
        <v>353</v>
      </c>
      <c r="C366" s="1" t="s">
        <v>358</v>
      </c>
      <c r="D366" s="1" t="s">
        <v>10</v>
      </c>
      <c r="E366" s="1" t="s">
        <v>17</v>
      </c>
      <c r="F366" s="1" t="s">
        <v>14</v>
      </c>
      <c r="G366">
        <v>0.5</v>
      </c>
      <c r="H366">
        <v>0</v>
      </c>
      <c r="I366">
        <v>0</v>
      </c>
      <c r="J366" s="1" t="s">
        <v>52</v>
      </c>
      <c r="K366" s="1" t="s">
        <v>344</v>
      </c>
    </row>
    <row r="367" spans="1:11" x14ac:dyDescent="0.25">
      <c r="A367" s="2">
        <v>45888.729398148149</v>
      </c>
      <c r="B367" s="1" t="s">
        <v>355</v>
      </c>
      <c r="C367" s="1" t="s">
        <v>358</v>
      </c>
      <c r="D367" s="1" t="s">
        <v>20</v>
      </c>
      <c r="E367" s="1" t="s">
        <v>11</v>
      </c>
      <c r="F367" s="1" t="s">
        <v>18</v>
      </c>
      <c r="G367">
        <v>20</v>
      </c>
      <c r="H367">
        <v>1</v>
      </c>
      <c r="I367">
        <v>0</v>
      </c>
      <c r="J367" s="1" t="s">
        <v>99</v>
      </c>
      <c r="K367" s="1" t="s">
        <v>336</v>
      </c>
    </row>
    <row r="368" spans="1:11" x14ac:dyDescent="0.25">
      <c r="A368" s="2">
        <v>45888.729398148149</v>
      </c>
      <c r="B368" s="1" t="s">
        <v>355</v>
      </c>
      <c r="C368" s="1" t="s">
        <v>358</v>
      </c>
      <c r="D368" s="1" t="s">
        <v>20</v>
      </c>
      <c r="E368" s="1" t="s">
        <v>11</v>
      </c>
      <c r="F368" s="1" t="s">
        <v>18</v>
      </c>
      <c r="G368">
        <v>20</v>
      </c>
      <c r="H368">
        <v>1</v>
      </c>
      <c r="I368">
        <v>0</v>
      </c>
      <c r="J368" s="1" t="s">
        <v>99</v>
      </c>
      <c r="K368" s="1" t="s">
        <v>340</v>
      </c>
    </row>
    <row r="369" spans="1:11" x14ac:dyDescent="0.25">
      <c r="A369" s="2">
        <v>45888.729398148149</v>
      </c>
      <c r="B369" s="1" t="s">
        <v>355</v>
      </c>
      <c r="C369" s="1" t="s">
        <v>358</v>
      </c>
      <c r="D369" s="1" t="s">
        <v>20</v>
      </c>
      <c r="E369" s="1" t="s">
        <v>11</v>
      </c>
      <c r="F369" s="1" t="s">
        <v>18</v>
      </c>
      <c r="G369">
        <v>20</v>
      </c>
      <c r="H369">
        <v>1</v>
      </c>
      <c r="I369">
        <v>0</v>
      </c>
      <c r="J369" s="1" t="s">
        <v>99</v>
      </c>
      <c r="K369" s="1" t="s">
        <v>345</v>
      </c>
    </row>
    <row r="370" spans="1:11" x14ac:dyDescent="0.25">
      <c r="A370" s="2">
        <v>45888.74391203704</v>
      </c>
      <c r="B370" s="1" t="s">
        <v>355</v>
      </c>
      <c r="C370" s="1" t="s">
        <v>358</v>
      </c>
      <c r="D370" s="1" t="s">
        <v>10</v>
      </c>
      <c r="E370" s="1" t="s">
        <v>17</v>
      </c>
      <c r="F370" s="1" t="s">
        <v>14</v>
      </c>
      <c r="G370">
        <v>0.5</v>
      </c>
      <c r="H370">
        <v>0</v>
      </c>
      <c r="I370">
        <v>0</v>
      </c>
      <c r="J370" s="1"/>
      <c r="K370" s="1" t="s">
        <v>342</v>
      </c>
    </row>
    <row r="371" spans="1:11" x14ac:dyDescent="0.25">
      <c r="A371" s="2">
        <v>45889.40247685185</v>
      </c>
      <c r="B371" s="1" t="s">
        <v>352</v>
      </c>
      <c r="C371" s="1" t="s">
        <v>359</v>
      </c>
      <c r="D371" s="1" t="s">
        <v>20</v>
      </c>
      <c r="E371" s="1" t="s">
        <v>11</v>
      </c>
      <c r="F371" s="1" t="s">
        <v>15</v>
      </c>
      <c r="G371">
        <v>3</v>
      </c>
      <c r="H371">
        <v>0</v>
      </c>
      <c r="I371">
        <v>0</v>
      </c>
      <c r="J371" s="1" t="s">
        <v>100</v>
      </c>
      <c r="K371" s="1" t="s">
        <v>106</v>
      </c>
    </row>
    <row r="372" spans="1:11" x14ac:dyDescent="0.25">
      <c r="A372" s="2">
        <v>45889.455254629633</v>
      </c>
      <c r="B372" s="1" t="s">
        <v>347</v>
      </c>
      <c r="C372" s="1" t="s">
        <v>359</v>
      </c>
      <c r="D372" s="1" t="s">
        <v>10</v>
      </c>
      <c r="E372" s="1" t="s">
        <v>11</v>
      </c>
      <c r="F372" s="1" t="s">
        <v>15</v>
      </c>
      <c r="G372">
        <v>3</v>
      </c>
      <c r="H372">
        <v>0</v>
      </c>
      <c r="I372">
        <v>0</v>
      </c>
      <c r="J372" s="1" t="s">
        <v>101</v>
      </c>
      <c r="K372" s="1" t="s">
        <v>345</v>
      </c>
    </row>
    <row r="373" spans="1:11" x14ac:dyDescent="0.25">
      <c r="A373" s="2">
        <v>45889.466747685183</v>
      </c>
      <c r="B373" s="1" t="s">
        <v>354</v>
      </c>
      <c r="C373" s="1" t="s">
        <v>359</v>
      </c>
      <c r="D373" s="1" t="s">
        <v>10</v>
      </c>
      <c r="E373" s="1" t="s">
        <v>11</v>
      </c>
      <c r="F373" s="1" t="s">
        <v>12</v>
      </c>
      <c r="G373">
        <v>10.5</v>
      </c>
      <c r="H373">
        <v>1</v>
      </c>
      <c r="I373">
        <v>1</v>
      </c>
      <c r="J373" s="1" t="s">
        <v>102</v>
      </c>
      <c r="K373" s="1" t="s">
        <v>336</v>
      </c>
    </row>
    <row r="374" spans="1:11" x14ac:dyDescent="0.25">
      <c r="A374" s="2">
        <v>45889.466747685183</v>
      </c>
      <c r="B374" s="1" t="s">
        <v>354</v>
      </c>
      <c r="C374" s="1" t="s">
        <v>359</v>
      </c>
      <c r="D374" s="1" t="s">
        <v>10</v>
      </c>
      <c r="E374" s="1" t="s">
        <v>11</v>
      </c>
      <c r="F374" s="1" t="s">
        <v>12</v>
      </c>
      <c r="G374">
        <v>10.5</v>
      </c>
      <c r="H374">
        <v>1</v>
      </c>
      <c r="I374">
        <v>1</v>
      </c>
      <c r="J374" s="1" t="s">
        <v>102</v>
      </c>
      <c r="K374" s="1" t="s">
        <v>106</v>
      </c>
    </row>
    <row r="375" spans="1:11" x14ac:dyDescent="0.25">
      <c r="A375" s="2">
        <v>45889.466747685183</v>
      </c>
      <c r="B375" s="1" t="s">
        <v>354</v>
      </c>
      <c r="C375" s="1" t="s">
        <v>359</v>
      </c>
      <c r="D375" s="1" t="s">
        <v>10</v>
      </c>
      <c r="E375" s="1" t="s">
        <v>11</v>
      </c>
      <c r="F375" s="1" t="s">
        <v>12</v>
      </c>
      <c r="G375">
        <v>10.5</v>
      </c>
      <c r="H375">
        <v>1</v>
      </c>
      <c r="I375">
        <v>1</v>
      </c>
      <c r="J375" s="1" t="s">
        <v>102</v>
      </c>
      <c r="K375" s="1" t="s">
        <v>343</v>
      </c>
    </row>
    <row r="376" spans="1:11" x14ac:dyDescent="0.25">
      <c r="A376" s="2">
        <v>45889.476759259262</v>
      </c>
      <c r="B376" s="1" t="s">
        <v>354</v>
      </c>
      <c r="C376" s="1" t="s">
        <v>359</v>
      </c>
      <c r="D376" s="1" t="s">
        <v>10</v>
      </c>
      <c r="E376" s="1" t="s">
        <v>11</v>
      </c>
      <c r="F376" s="1" t="s">
        <v>15</v>
      </c>
      <c r="G376">
        <v>3</v>
      </c>
      <c r="H376">
        <v>0</v>
      </c>
      <c r="I376">
        <v>0</v>
      </c>
      <c r="J376" s="1" t="s">
        <v>103</v>
      </c>
      <c r="K376" s="1" t="s">
        <v>343</v>
      </c>
    </row>
    <row r="377" spans="1:11" x14ac:dyDescent="0.25">
      <c r="A377" s="2">
        <v>45889.604444444441</v>
      </c>
      <c r="B377" s="1" t="s">
        <v>348</v>
      </c>
      <c r="C377" s="1" t="s">
        <v>359</v>
      </c>
      <c r="D377" s="1" t="s">
        <v>10</v>
      </c>
      <c r="E377" s="1" t="s">
        <v>11</v>
      </c>
      <c r="F377" s="1" t="s">
        <v>15</v>
      </c>
      <c r="G377">
        <v>3</v>
      </c>
      <c r="H377">
        <v>0</v>
      </c>
      <c r="I377">
        <v>0</v>
      </c>
      <c r="J377" s="1"/>
      <c r="K377" s="1" t="s">
        <v>341</v>
      </c>
    </row>
    <row r="378" spans="1:11" x14ac:dyDescent="0.25">
      <c r="A378" s="2">
        <v>45889.604675925926</v>
      </c>
      <c r="B378" s="1" t="s">
        <v>348</v>
      </c>
      <c r="C378" s="1" t="s">
        <v>359</v>
      </c>
      <c r="D378" s="1" t="s">
        <v>10</v>
      </c>
      <c r="E378" s="1" t="s">
        <v>11</v>
      </c>
      <c r="F378" s="1" t="s">
        <v>12</v>
      </c>
      <c r="G378">
        <v>10.5</v>
      </c>
      <c r="H378">
        <v>1</v>
      </c>
      <c r="I378">
        <v>0</v>
      </c>
      <c r="J378" s="1"/>
      <c r="K378" s="1" t="s">
        <v>337</v>
      </c>
    </row>
    <row r="379" spans="1:11" x14ac:dyDescent="0.25">
      <c r="A379" s="2">
        <v>45889.615567129629</v>
      </c>
      <c r="B379" s="1" t="s">
        <v>348</v>
      </c>
      <c r="C379" s="1" t="s">
        <v>359</v>
      </c>
      <c r="D379" s="1" t="s">
        <v>10</v>
      </c>
      <c r="E379" s="1" t="s">
        <v>11</v>
      </c>
      <c r="F379" s="1" t="s">
        <v>15</v>
      </c>
      <c r="G379">
        <v>3</v>
      </c>
      <c r="H379">
        <v>0</v>
      </c>
      <c r="I379">
        <v>0</v>
      </c>
      <c r="J379" s="1" t="s">
        <v>104</v>
      </c>
      <c r="K379" s="1" t="s">
        <v>345</v>
      </c>
    </row>
    <row r="380" spans="1:11" x14ac:dyDescent="0.25">
      <c r="A380" s="2">
        <v>45889.653124999997</v>
      </c>
      <c r="B380" s="1" t="s">
        <v>349</v>
      </c>
      <c r="C380" s="1" t="s">
        <v>359</v>
      </c>
      <c r="D380" s="1" t="s">
        <v>10</v>
      </c>
      <c r="E380" s="1" t="s">
        <v>11</v>
      </c>
      <c r="F380" s="1" t="s">
        <v>12</v>
      </c>
      <c r="G380">
        <v>10.5</v>
      </c>
      <c r="H380">
        <v>0</v>
      </c>
      <c r="I380">
        <v>0</v>
      </c>
      <c r="J380" s="1"/>
      <c r="K380" s="1" t="s">
        <v>340</v>
      </c>
    </row>
    <row r="381" spans="1:11" x14ac:dyDescent="0.25">
      <c r="A381" s="2">
        <v>45889.683252314811</v>
      </c>
      <c r="B381" s="1" t="s">
        <v>353</v>
      </c>
      <c r="C381" s="1" t="s">
        <v>359</v>
      </c>
      <c r="D381" s="1" t="s">
        <v>10</v>
      </c>
      <c r="E381" s="1" t="s">
        <v>11</v>
      </c>
      <c r="F381" s="1" t="s">
        <v>15</v>
      </c>
      <c r="G381">
        <v>3</v>
      </c>
      <c r="H381">
        <v>0</v>
      </c>
      <c r="I381">
        <v>0</v>
      </c>
      <c r="J381" s="1"/>
      <c r="K381" s="1" t="s">
        <v>341</v>
      </c>
    </row>
    <row r="382" spans="1:11" x14ac:dyDescent="0.25">
      <c r="A382" s="2">
        <v>45889.683356481481</v>
      </c>
      <c r="B382" s="1" t="s">
        <v>353</v>
      </c>
      <c r="C382" s="1" t="s">
        <v>359</v>
      </c>
      <c r="D382" s="1" t="s">
        <v>10</v>
      </c>
      <c r="E382" s="1" t="s">
        <v>11</v>
      </c>
      <c r="F382" s="1" t="s">
        <v>18</v>
      </c>
      <c r="G382">
        <v>20</v>
      </c>
      <c r="H382">
        <v>0</v>
      </c>
      <c r="I382">
        <v>0</v>
      </c>
      <c r="J382" s="1"/>
      <c r="K382" s="1" t="s">
        <v>340</v>
      </c>
    </row>
    <row r="383" spans="1:11" x14ac:dyDescent="0.25">
      <c r="A383" s="2">
        <v>45889.68346064815</v>
      </c>
      <c r="B383" s="1" t="s">
        <v>353</v>
      </c>
      <c r="C383" s="1" t="s">
        <v>359</v>
      </c>
      <c r="D383" s="1" t="s">
        <v>10</v>
      </c>
      <c r="E383" s="1" t="s">
        <v>11</v>
      </c>
      <c r="F383" s="1" t="s">
        <v>12</v>
      </c>
      <c r="G383">
        <v>10.5</v>
      </c>
      <c r="H383">
        <v>0</v>
      </c>
      <c r="I383">
        <v>0</v>
      </c>
      <c r="J383" s="1"/>
      <c r="K383" s="1" t="s">
        <v>340</v>
      </c>
    </row>
    <row r="384" spans="1:11" x14ac:dyDescent="0.25">
      <c r="A384" s="2">
        <v>45889.689942129633</v>
      </c>
      <c r="B384" s="1" t="s">
        <v>353</v>
      </c>
      <c r="C384" s="1" t="s">
        <v>359</v>
      </c>
      <c r="D384" s="1" t="s">
        <v>10</v>
      </c>
      <c r="E384" s="1" t="s">
        <v>11</v>
      </c>
      <c r="F384" s="1" t="s">
        <v>14</v>
      </c>
      <c r="G384">
        <v>0.5</v>
      </c>
      <c r="H384">
        <v>0</v>
      </c>
      <c r="I384">
        <v>0</v>
      </c>
      <c r="J384" s="1" t="s">
        <v>105</v>
      </c>
      <c r="K384" s="1" t="s">
        <v>345</v>
      </c>
    </row>
    <row r="385" spans="1:11" x14ac:dyDescent="0.25">
      <c r="A385" s="2">
        <v>45889.711643518516</v>
      </c>
      <c r="B385" s="1" t="s">
        <v>355</v>
      </c>
      <c r="C385" s="1" t="s">
        <v>359</v>
      </c>
      <c r="D385" s="1" t="s">
        <v>10</v>
      </c>
      <c r="E385" s="1" t="s">
        <v>11</v>
      </c>
      <c r="F385" s="1" t="s">
        <v>12</v>
      </c>
      <c r="G385">
        <v>10.5</v>
      </c>
      <c r="H385">
        <v>0</v>
      </c>
      <c r="I385">
        <v>0</v>
      </c>
      <c r="J385" s="1"/>
      <c r="K385" s="1" t="s">
        <v>342</v>
      </c>
    </row>
    <row r="386" spans="1:11" x14ac:dyDescent="0.25">
      <c r="A386" s="2">
        <v>45889.728819444441</v>
      </c>
      <c r="B386" s="1" t="s">
        <v>355</v>
      </c>
      <c r="C386" s="1" t="s">
        <v>359</v>
      </c>
      <c r="D386" s="1" t="s">
        <v>10</v>
      </c>
      <c r="E386" s="1" t="s">
        <v>11</v>
      </c>
      <c r="F386" s="1" t="s">
        <v>12</v>
      </c>
      <c r="G386">
        <v>10.5</v>
      </c>
      <c r="H386">
        <v>0</v>
      </c>
      <c r="I386">
        <v>0</v>
      </c>
      <c r="J386" s="1"/>
      <c r="K386" s="1" t="s">
        <v>340</v>
      </c>
    </row>
    <row r="387" spans="1:11" x14ac:dyDescent="0.25">
      <c r="A387" s="2">
        <v>45890.421458333331</v>
      </c>
      <c r="B387" s="1" t="s">
        <v>347</v>
      </c>
      <c r="C387" s="1" t="s">
        <v>360</v>
      </c>
      <c r="D387" s="1" t="s">
        <v>10</v>
      </c>
      <c r="E387" s="1" t="s">
        <v>11</v>
      </c>
      <c r="F387" s="1" t="s">
        <v>14</v>
      </c>
      <c r="G387">
        <v>0.5</v>
      </c>
      <c r="H387">
        <v>0</v>
      </c>
      <c r="I387">
        <v>0</v>
      </c>
      <c r="J387" s="1" t="s">
        <v>106</v>
      </c>
      <c r="K387" s="1" t="s">
        <v>344</v>
      </c>
    </row>
    <row r="388" spans="1:11" x14ac:dyDescent="0.25">
      <c r="A388" s="2">
        <v>45890.458483796298</v>
      </c>
      <c r="B388" s="1" t="s">
        <v>354</v>
      </c>
      <c r="C388" s="1" t="s">
        <v>360</v>
      </c>
      <c r="D388" s="1" t="s">
        <v>10</v>
      </c>
      <c r="E388" s="1" t="s">
        <v>11</v>
      </c>
      <c r="F388" s="1" t="s">
        <v>15</v>
      </c>
      <c r="G388">
        <v>3</v>
      </c>
      <c r="H388">
        <v>0</v>
      </c>
      <c r="I388">
        <v>0</v>
      </c>
      <c r="J388" s="1"/>
      <c r="K388" s="1" t="s">
        <v>336</v>
      </c>
    </row>
    <row r="389" spans="1:11" x14ac:dyDescent="0.25">
      <c r="A389" s="2">
        <v>45890.482118055559</v>
      </c>
      <c r="B389" s="1" t="s">
        <v>354</v>
      </c>
      <c r="C389" s="1" t="s">
        <v>360</v>
      </c>
      <c r="D389" s="1" t="s">
        <v>10</v>
      </c>
      <c r="E389" s="1" t="s">
        <v>27</v>
      </c>
      <c r="F389" s="1" t="s">
        <v>15</v>
      </c>
      <c r="G389">
        <v>3</v>
      </c>
      <c r="H389">
        <v>1</v>
      </c>
      <c r="I389">
        <v>0</v>
      </c>
      <c r="J389" s="1" t="s">
        <v>107</v>
      </c>
      <c r="K389" s="1" t="s">
        <v>336</v>
      </c>
    </row>
    <row r="390" spans="1:11" x14ac:dyDescent="0.25">
      <c r="A390" s="2">
        <v>45890.565567129626</v>
      </c>
      <c r="B390" s="1" t="s">
        <v>351</v>
      </c>
      <c r="C390" s="1" t="s">
        <v>360</v>
      </c>
      <c r="D390" s="1" t="s">
        <v>10</v>
      </c>
      <c r="E390" s="1" t="s">
        <v>11</v>
      </c>
      <c r="F390" s="1" t="s">
        <v>12</v>
      </c>
      <c r="G390">
        <v>10.5</v>
      </c>
      <c r="H390">
        <v>0</v>
      </c>
      <c r="I390">
        <v>0</v>
      </c>
      <c r="J390" s="1"/>
      <c r="K390" s="1" t="s">
        <v>340</v>
      </c>
    </row>
    <row r="391" spans="1:11" x14ac:dyDescent="0.25">
      <c r="A391" s="2">
        <v>45890.565567129626</v>
      </c>
      <c r="B391" s="1" t="s">
        <v>351</v>
      </c>
      <c r="C391" s="1" t="s">
        <v>360</v>
      </c>
      <c r="D391" s="1" t="s">
        <v>10</v>
      </c>
      <c r="E391" s="1" t="s">
        <v>11</v>
      </c>
      <c r="F391" s="1" t="s">
        <v>12</v>
      </c>
      <c r="G391">
        <v>10.5</v>
      </c>
      <c r="H391">
        <v>0</v>
      </c>
      <c r="I391">
        <v>0</v>
      </c>
      <c r="J391" s="1"/>
      <c r="K391" s="1" t="s">
        <v>343</v>
      </c>
    </row>
    <row r="392" spans="1:11" x14ac:dyDescent="0.25">
      <c r="A392" s="2">
        <v>45890.643055555556</v>
      </c>
      <c r="B392" s="1" t="s">
        <v>349</v>
      </c>
      <c r="C392" s="1" t="s">
        <v>360</v>
      </c>
      <c r="D392" s="1" t="s">
        <v>10</v>
      </c>
      <c r="E392" s="1" t="s">
        <v>11</v>
      </c>
      <c r="F392" s="1" t="s">
        <v>15</v>
      </c>
      <c r="G392">
        <v>3</v>
      </c>
      <c r="H392">
        <v>0</v>
      </c>
      <c r="I392">
        <v>0</v>
      </c>
      <c r="J392" s="1" t="s">
        <v>108</v>
      </c>
      <c r="K392" s="1" t="s">
        <v>340</v>
      </c>
    </row>
    <row r="393" spans="1:11" x14ac:dyDescent="0.25">
      <c r="A393" s="2">
        <v>45890.708495370367</v>
      </c>
      <c r="B393" s="1" t="s">
        <v>355</v>
      </c>
      <c r="C393" s="1" t="s">
        <v>360</v>
      </c>
      <c r="D393" s="1" t="s">
        <v>10</v>
      </c>
      <c r="E393" s="1" t="s">
        <v>11</v>
      </c>
      <c r="F393" s="1" t="s">
        <v>15</v>
      </c>
      <c r="G393">
        <v>3</v>
      </c>
      <c r="H393">
        <v>1</v>
      </c>
      <c r="I393">
        <v>0</v>
      </c>
      <c r="J393" s="1"/>
      <c r="K393" s="1" t="s">
        <v>336</v>
      </c>
    </row>
    <row r="394" spans="1:11" x14ac:dyDescent="0.25">
      <c r="A394" s="2">
        <v>45890.708495370367</v>
      </c>
      <c r="B394" s="1" t="s">
        <v>355</v>
      </c>
      <c r="C394" s="1" t="s">
        <v>360</v>
      </c>
      <c r="D394" s="1" t="s">
        <v>10</v>
      </c>
      <c r="E394" s="1" t="s">
        <v>11</v>
      </c>
      <c r="F394" s="1" t="s">
        <v>15</v>
      </c>
      <c r="G394">
        <v>3</v>
      </c>
      <c r="H394">
        <v>1</v>
      </c>
      <c r="I394">
        <v>0</v>
      </c>
      <c r="J394" s="1"/>
      <c r="K394" s="1" t="s">
        <v>340</v>
      </c>
    </row>
    <row r="395" spans="1:11" x14ac:dyDescent="0.25">
      <c r="A395" s="2">
        <v>45890.708657407406</v>
      </c>
      <c r="B395" s="1" t="s">
        <v>355</v>
      </c>
      <c r="C395" s="1" t="s">
        <v>360</v>
      </c>
      <c r="D395" s="1" t="s">
        <v>10</v>
      </c>
      <c r="E395" s="1" t="s">
        <v>11</v>
      </c>
      <c r="F395" s="1" t="s">
        <v>18</v>
      </c>
      <c r="G395">
        <v>20</v>
      </c>
      <c r="H395">
        <v>0</v>
      </c>
      <c r="I395">
        <v>0</v>
      </c>
      <c r="J395" s="1"/>
      <c r="K395" s="1" t="s">
        <v>340</v>
      </c>
    </row>
    <row r="396" spans="1:11" x14ac:dyDescent="0.25">
      <c r="A396" s="2">
        <v>45890.708657407406</v>
      </c>
      <c r="B396" s="1" t="s">
        <v>355</v>
      </c>
      <c r="C396" s="1" t="s">
        <v>360</v>
      </c>
      <c r="D396" s="1" t="s">
        <v>10</v>
      </c>
      <c r="E396" s="1" t="s">
        <v>11</v>
      </c>
      <c r="F396" s="1" t="s">
        <v>18</v>
      </c>
      <c r="G396">
        <v>20</v>
      </c>
      <c r="H396">
        <v>0</v>
      </c>
      <c r="I396">
        <v>0</v>
      </c>
      <c r="J396" s="1"/>
      <c r="K396" s="1" t="s">
        <v>343</v>
      </c>
    </row>
    <row r="397" spans="1:11" x14ac:dyDescent="0.25">
      <c r="A397" s="2">
        <v>45890.708981481483</v>
      </c>
      <c r="B397" s="1" t="s">
        <v>355</v>
      </c>
      <c r="C397" s="1" t="s">
        <v>360</v>
      </c>
      <c r="D397" s="1" t="s">
        <v>10</v>
      </c>
      <c r="E397" s="1" t="s">
        <v>17</v>
      </c>
      <c r="F397" s="1" t="s">
        <v>15</v>
      </c>
      <c r="G397">
        <v>3</v>
      </c>
      <c r="H397">
        <v>0</v>
      </c>
      <c r="I397">
        <v>0</v>
      </c>
      <c r="J397" s="1"/>
      <c r="K397" s="1" t="s">
        <v>345</v>
      </c>
    </row>
    <row r="398" spans="1:11" x14ac:dyDescent="0.25">
      <c r="A398" s="2">
        <v>45891.406967592593</v>
      </c>
      <c r="B398" s="1" t="s">
        <v>352</v>
      </c>
      <c r="C398" s="1" t="s">
        <v>361</v>
      </c>
      <c r="D398" s="1" t="s">
        <v>10</v>
      </c>
      <c r="E398" s="1" t="s">
        <v>11</v>
      </c>
      <c r="F398" s="1" t="s">
        <v>12</v>
      </c>
      <c r="G398">
        <v>10.5</v>
      </c>
      <c r="H398">
        <v>0</v>
      </c>
      <c r="I398">
        <v>0</v>
      </c>
      <c r="J398" s="1"/>
      <c r="K398" s="1" t="s">
        <v>341</v>
      </c>
    </row>
    <row r="399" spans="1:11" x14ac:dyDescent="0.25">
      <c r="A399" s="2">
        <v>45891.440023148149</v>
      </c>
      <c r="B399" s="1" t="s">
        <v>347</v>
      </c>
      <c r="C399" s="1" t="s">
        <v>361</v>
      </c>
      <c r="D399" s="1" t="s">
        <v>10</v>
      </c>
      <c r="E399" s="1" t="s">
        <v>11</v>
      </c>
      <c r="F399" s="1" t="s">
        <v>12</v>
      </c>
      <c r="G399">
        <v>10.5</v>
      </c>
      <c r="H399">
        <v>0</v>
      </c>
      <c r="I399">
        <v>0</v>
      </c>
      <c r="J399" s="1"/>
      <c r="K399" s="1" t="s">
        <v>341</v>
      </c>
    </row>
    <row r="400" spans="1:11" x14ac:dyDescent="0.25">
      <c r="A400" s="2">
        <v>45891.440150462964</v>
      </c>
      <c r="B400" s="1" t="s">
        <v>347</v>
      </c>
      <c r="C400" s="1" t="s">
        <v>361</v>
      </c>
      <c r="D400" s="1" t="s">
        <v>10</v>
      </c>
      <c r="E400" s="1" t="s">
        <v>11</v>
      </c>
      <c r="F400" s="1" t="s">
        <v>15</v>
      </c>
      <c r="G400">
        <v>3</v>
      </c>
      <c r="H400">
        <v>0</v>
      </c>
      <c r="I400">
        <v>0</v>
      </c>
      <c r="J400" s="1"/>
      <c r="K400" s="1" t="s">
        <v>342</v>
      </c>
    </row>
    <row r="401" spans="1:11" x14ac:dyDescent="0.25">
      <c r="A401" s="2">
        <v>45891.459236111114</v>
      </c>
      <c r="B401" s="1" t="s">
        <v>354</v>
      </c>
      <c r="C401" s="1" t="s">
        <v>361</v>
      </c>
      <c r="D401" s="1" t="s">
        <v>10</v>
      </c>
      <c r="E401" s="1" t="s">
        <v>11</v>
      </c>
      <c r="F401" s="1" t="s">
        <v>14</v>
      </c>
      <c r="G401">
        <v>0.5</v>
      </c>
      <c r="H401">
        <v>0</v>
      </c>
      <c r="I401">
        <v>0</v>
      </c>
      <c r="J401" s="1"/>
      <c r="K401" s="1" t="s">
        <v>342</v>
      </c>
    </row>
    <row r="402" spans="1:11" x14ac:dyDescent="0.25">
      <c r="A402" s="2">
        <v>45891.501087962963</v>
      </c>
      <c r="B402" s="1" t="s">
        <v>350</v>
      </c>
      <c r="C402" s="1" t="s">
        <v>361</v>
      </c>
      <c r="D402" s="1" t="s">
        <v>10</v>
      </c>
      <c r="E402" s="1" t="s">
        <v>11</v>
      </c>
      <c r="F402" s="1" t="s">
        <v>18</v>
      </c>
      <c r="G402">
        <v>20</v>
      </c>
      <c r="H402">
        <v>0</v>
      </c>
      <c r="I402">
        <v>0</v>
      </c>
      <c r="J402" s="1"/>
      <c r="K402" s="1" t="s">
        <v>340</v>
      </c>
    </row>
    <row r="403" spans="1:11" x14ac:dyDescent="0.25">
      <c r="A403" s="2">
        <v>45891.586134259262</v>
      </c>
      <c r="B403" s="1" t="s">
        <v>348</v>
      </c>
      <c r="C403" s="1" t="s">
        <v>361</v>
      </c>
      <c r="D403" s="1" t="s">
        <v>10</v>
      </c>
      <c r="E403" s="1" t="s">
        <v>11</v>
      </c>
      <c r="F403" s="1" t="s">
        <v>14</v>
      </c>
      <c r="G403">
        <v>0.5</v>
      </c>
      <c r="H403">
        <v>0</v>
      </c>
      <c r="I403">
        <v>0</v>
      </c>
      <c r="J403" s="1"/>
      <c r="K403" s="1" t="s">
        <v>344</v>
      </c>
    </row>
    <row r="404" spans="1:11" x14ac:dyDescent="0.25">
      <c r="A404" s="2">
        <v>45891.586458333331</v>
      </c>
      <c r="B404" s="1" t="s">
        <v>348</v>
      </c>
      <c r="C404" s="1" t="s">
        <v>361</v>
      </c>
      <c r="D404" s="1" t="s">
        <v>20</v>
      </c>
      <c r="E404" s="1" t="s">
        <v>11</v>
      </c>
      <c r="F404" s="1" t="s">
        <v>12</v>
      </c>
      <c r="G404">
        <v>10.5</v>
      </c>
      <c r="H404">
        <v>0</v>
      </c>
      <c r="I404">
        <v>0</v>
      </c>
      <c r="J404" s="1" t="s">
        <v>109</v>
      </c>
      <c r="K404" s="1" t="s">
        <v>337</v>
      </c>
    </row>
    <row r="405" spans="1:11" x14ac:dyDescent="0.25">
      <c r="A405" s="2">
        <v>45891.586458333331</v>
      </c>
      <c r="B405" s="1" t="s">
        <v>348</v>
      </c>
      <c r="C405" s="1" t="s">
        <v>361</v>
      </c>
      <c r="D405" s="1" t="s">
        <v>20</v>
      </c>
      <c r="E405" s="1" t="s">
        <v>11</v>
      </c>
      <c r="F405" s="1" t="s">
        <v>12</v>
      </c>
      <c r="G405">
        <v>10.5</v>
      </c>
      <c r="H405">
        <v>0</v>
      </c>
      <c r="I405">
        <v>0</v>
      </c>
      <c r="J405" s="1" t="s">
        <v>109</v>
      </c>
      <c r="K405" s="1" t="s">
        <v>345</v>
      </c>
    </row>
    <row r="406" spans="1:11" x14ac:dyDescent="0.25">
      <c r="A406" s="2">
        <v>45891.638009259259</v>
      </c>
      <c r="B406" s="1" t="s">
        <v>349</v>
      </c>
      <c r="C406" s="1" t="s">
        <v>361</v>
      </c>
      <c r="D406" s="1" t="s">
        <v>10</v>
      </c>
      <c r="E406" s="1" t="s">
        <v>11</v>
      </c>
      <c r="F406" s="1" t="s">
        <v>15</v>
      </c>
      <c r="G406">
        <v>3</v>
      </c>
      <c r="H406">
        <v>1</v>
      </c>
      <c r="I406">
        <v>0</v>
      </c>
      <c r="J406" s="1"/>
      <c r="K406" s="1" t="s">
        <v>336</v>
      </c>
    </row>
    <row r="407" spans="1:11" x14ac:dyDescent="0.25">
      <c r="A407" s="2">
        <v>45891.638009259259</v>
      </c>
      <c r="B407" s="1" t="s">
        <v>349</v>
      </c>
      <c r="C407" s="1" t="s">
        <v>361</v>
      </c>
      <c r="D407" s="1" t="s">
        <v>10</v>
      </c>
      <c r="E407" s="1" t="s">
        <v>11</v>
      </c>
      <c r="F407" s="1" t="s">
        <v>15</v>
      </c>
      <c r="G407">
        <v>3</v>
      </c>
      <c r="H407">
        <v>1</v>
      </c>
      <c r="I407">
        <v>0</v>
      </c>
      <c r="J407" s="1"/>
      <c r="K407" s="1" t="s">
        <v>344</v>
      </c>
    </row>
    <row r="408" spans="1:11" x14ac:dyDescent="0.25">
      <c r="A408" s="2">
        <v>45891.638124999998</v>
      </c>
      <c r="B408" s="1" t="s">
        <v>349</v>
      </c>
      <c r="C408" s="1" t="s">
        <v>361</v>
      </c>
      <c r="D408" s="1" t="s">
        <v>10</v>
      </c>
      <c r="E408" s="1" t="s">
        <v>17</v>
      </c>
      <c r="F408" s="1" t="s">
        <v>18</v>
      </c>
      <c r="G408">
        <v>20</v>
      </c>
      <c r="H408">
        <v>0</v>
      </c>
      <c r="I408">
        <v>0</v>
      </c>
      <c r="J408" s="1"/>
      <c r="K408" s="1" t="s">
        <v>340</v>
      </c>
    </row>
    <row r="409" spans="1:11" x14ac:dyDescent="0.25">
      <c r="A409" s="2">
        <v>45891.63826388889</v>
      </c>
      <c r="B409" s="1" t="s">
        <v>349</v>
      </c>
      <c r="C409" s="1" t="s">
        <v>361</v>
      </c>
      <c r="D409" s="1" t="s">
        <v>10</v>
      </c>
      <c r="E409" s="1" t="s">
        <v>11</v>
      </c>
      <c r="F409" s="1" t="s">
        <v>15</v>
      </c>
      <c r="G409">
        <v>3</v>
      </c>
      <c r="H409">
        <v>1</v>
      </c>
      <c r="I409">
        <v>1</v>
      </c>
      <c r="J409" s="1"/>
      <c r="K409" s="1" t="s">
        <v>336</v>
      </c>
    </row>
    <row r="410" spans="1:11" x14ac:dyDescent="0.25">
      <c r="A410" s="2">
        <v>45891.638449074075</v>
      </c>
      <c r="B410" s="1" t="s">
        <v>349</v>
      </c>
      <c r="C410" s="1" t="s">
        <v>361</v>
      </c>
      <c r="D410" s="1" t="s">
        <v>10</v>
      </c>
      <c r="E410" s="1" t="s">
        <v>11</v>
      </c>
      <c r="F410" s="1" t="s">
        <v>15</v>
      </c>
      <c r="G410">
        <v>3</v>
      </c>
      <c r="H410">
        <v>0</v>
      </c>
      <c r="I410">
        <v>0</v>
      </c>
      <c r="J410" s="1" t="s">
        <v>110</v>
      </c>
      <c r="K410" s="1" t="s">
        <v>345</v>
      </c>
    </row>
    <row r="411" spans="1:11" x14ac:dyDescent="0.25">
      <c r="A411" s="2">
        <v>45891.66611111111</v>
      </c>
      <c r="B411" s="1" t="s">
        <v>349</v>
      </c>
      <c r="C411" s="1" t="s">
        <v>361</v>
      </c>
      <c r="D411" s="1" t="s">
        <v>10</v>
      </c>
      <c r="E411" s="1" t="s">
        <v>11</v>
      </c>
      <c r="F411" s="1" t="s">
        <v>14</v>
      </c>
      <c r="G411">
        <v>0.5</v>
      </c>
      <c r="H411">
        <v>0</v>
      </c>
      <c r="I411">
        <v>0</v>
      </c>
      <c r="J411" s="1" t="s">
        <v>111</v>
      </c>
      <c r="K411" s="1" t="s">
        <v>345</v>
      </c>
    </row>
    <row r="412" spans="1:11" x14ac:dyDescent="0.25">
      <c r="A412" s="2">
        <v>45891.666203703702</v>
      </c>
      <c r="B412" s="1" t="s">
        <v>349</v>
      </c>
      <c r="C412" s="1" t="s">
        <v>361</v>
      </c>
      <c r="D412" s="1" t="s">
        <v>10</v>
      </c>
      <c r="E412" s="1" t="s">
        <v>11</v>
      </c>
      <c r="F412" s="1" t="s">
        <v>12</v>
      </c>
      <c r="G412">
        <v>10.5</v>
      </c>
      <c r="H412">
        <v>0</v>
      </c>
      <c r="I412">
        <v>0</v>
      </c>
      <c r="J412" s="1"/>
      <c r="K412" s="1" t="s">
        <v>340</v>
      </c>
    </row>
    <row r="413" spans="1:11" x14ac:dyDescent="0.25">
      <c r="A413" s="2">
        <v>45891.679328703707</v>
      </c>
      <c r="B413" s="1" t="s">
        <v>353</v>
      </c>
      <c r="C413" s="1" t="s">
        <v>361</v>
      </c>
      <c r="D413" s="1" t="s">
        <v>10</v>
      </c>
      <c r="E413" s="1" t="s">
        <v>11</v>
      </c>
      <c r="F413" s="1" t="s">
        <v>15</v>
      </c>
      <c r="G413">
        <v>3</v>
      </c>
      <c r="H413">
        <v>0</v>
      </c>
      <c r="I413">
        <v>0</v>
      </c>
      <c r="J413" s="1"/>
      <c r="K413" s="1" t="s">
        <v>341</v>
      </c>
    </row>
    <row r="414" spans="1:11" x14ac:dyDescent="0.25">
      <c r="A414" s="2">
        <v>45891.705694444441</v>
      </c>
      <c r="B414" s="1" t="s">
        <v>353</v>
      </c>
      <c r="C414" s="1" t="s">
        <v>361</v>
      </c>
      <c r="D414" s="1" t="s">
        <v>10</v>
      </c>
      <c r="E414" s="1" t="s">
        <v>11</v>
      </c>
      <c r="F414" s="1" t="s">
        <v>15</v>
      </c>
      <c r="G414">
        <v>3</v>
      </c>
      <c r="H414">
        <v>1</v>
      </c>
      <c r="I414">
        <v>1</v>
      </c>
      <c r="J414" s="1"/>
      <c r="K414" s="1" t="s">
        <v>336</v>
      </c>
    </row>
    <row r="415" spans="1:11" x14ac:dyDescent="0.25">
      <c r="A415" s="2">
        <v>45891.722581018519</v>
      </c>
      <c r="B415" s="1" t="s">
        <v>355</v>
      </c>
      <c r="C415" s="1" t="s">
        <v>361</v>
      </c>
      <c r="D415" s="1" t="s">
        <v>10</v>
      </c>
      <c r="E415" s="1" t="s">
        <v>11</v>
      </c>
      <c r="F415" s="1" t="s">
        <v>15</v>
      </c>
      <c r="G415">
        <v>3</v>
      </c>
      <c r="H415">
        <v>0</v>
      </c>
      <c r="I415">
        <v>0</v>
      </c>
      <c r="J415" s="1" t="s">
        <v>112</v>
      </c>
      <c r="K415" s="1" t="s">
        <v>344</v>
      </c>
    </row>
    <row r="416" spans="1:11" x14ac:dyDescent="0.25">
      <c r="A416" s="2">
        <v>45891.746215277781</v>
      </c>
      <c r="B416" s="1" t="s">
        <v>355</v>
      </c>
      <c r="C416" s="1" t="s">
        <v>361</v>
      </c>
      <c r="D416" s="1" t="s">
        <v>10</v>
      </c>
      <c r="E416" s="1" t="s">
        <v>11</v>
      </c>
      <c r="F416" s="1" t="s">
        <v>14</v>
      </c>
      <c r="G416">
        <v>0.5</v>
      </c>
      <c r="H416">
        <v>0</v>
      </c>
      <c r="I416">
        <v>0</v>
      </c>
      <c r="J416" s="1" t="s">
        <v>113</v>
      </c>
      <c r="K416" s="1" t="s">
        <v>344</v>
      </c>
    </row>
    <row r="417" spans="1:11" x14ac:dyDescent="0.25">
      <c r="A417" s="2">
        <v>45891.753923611112</v>
      </c>
      <c r="B417" s="1" t="s">
        <v>355</v>
      </c>
      <c r="C417" s="1" t="s">
        <v>361</v>
      </c>
      <c r="D417" s="1" t="s">
        <v>10</v>
      </c>
      <c r="E417" s="1" t="s">
        <v>11</v>
      </c>
      <c r="F417" s="1" t="s">
        <v>12</v>
      </c>
      <c r="G417">
        <v>10.5</v>
      </c>
      <c r="H417">
        <v>0</v>
      </c>
      <c r="I417">
        <v>0</v>
      </c>
      <c r="J417" s="1"/>
      <c r="K417" s="1" t="s">
        <v>345</v>
      </c>
    </row>
    <row r="418" spans="1:11" x14ac:dyDescent="0.25">
      <c r="A418" s="2">
        <v>45892.418715277781</v>
      </c>
      <c r="B418" s="1" t="s">
        <v>347</v>
      </c>
      <c r="C418" s="1" t="s">
        <v>362</v>
      </c>
      <c r="D418" s="1" t="s">
        <v>10</v>
      </c>
      <c r="E418" s="1" t="s">
        <v>11</v>
      </c>
      <c r="F418" s="1" t="s">
        <v>12</v>
      </c>
      <c r="G418">
        <v>10.5</v>
      </c>
      <c r="H418">
        <v>0</v>
      </c>
      <c r="I418">
        <v>0</v>
      </c>
      <c r="J418" s="1" t="s">
        <v>114</v>
      </c>
      <c r="K418" s="1" t="s">
        <v>343</v>
      </c>
    </row>
    <row r="419" spans="1:11" x14ac:dyDescent="0.25">
      <c r="A419" s="2">
        <v>45892.418715277781</v>
      </c>
      <c r="B419" s="1" t="s">
        <v>347</v>
      </c>
      <c r="C419" s="1" t="s">
        <v>362</v>
      </c>
      <c r="D419" s="1" t="s">
        <v>10</v>
      </c>
      <c r="E419" s="1" t="s">
        <v>11</v>
      </c>
      <c r="F419" s="1" t="s">
        <v>12</v>
      </c>
      <c r="G419">
        <v>10.5</v>
      </c>
      <c r="H419">
        <v>0</v>
      </c>
      <c r="I419">
        <v>0</v>
      </c>
      <c r="J419" s="1" t="s">
        <v>114</v>
      </c>
      <c r="K419" s="1" t="s">
        <v>344</v>
      </c>
    </row>
    <row r="420" spans="1:11" x14ac:dyDescent="0.25">
      <c r="A420" s="2">
        <v>45892.48269675926</v>
      </c>
      <c r="B420" s="1" t="s">
        <v>354</v>
      </c>
      <c r="C420" s="1" t="s">
        <v>362</v>
      </c>
      <c r="D420" s="1" t="s">
        <v>10</v>
      </c>
      <c r="E420" s="1" t="s">
        <v>11</v>
      </c>
      <c r="F420" s="1" t="s">
        <v>14</v>
      </c>
      <c r="G420">
        <v>0.5</v>
      </c>
      <c r="H420">
        <v>0</v>
      </c>
      <c r="I420">
        <v>0</v>
      </c>
      <c r="J420" s="1" t="s">
        <v>115</v>
      </c>
      <c r="K420" s="1" t="s">
        <v>343</v>
      </c>
    </row>
    <row r="421" spans="1:11" x14ac:dyDescent="0.25">
      <c r="A421" s="2">
        <v>45894.423946759256</v>
      </c>
      <c r="B421" s="1" t="s">
        <v>347</v>
      </c>
      <c r="C421" s="1" t="s">
        <v>363</v>
      </c>
      <c r="D421" s="1" t="s">
        <v>10</v>
      </c>
      <c r="E421" s="1" t="s">
        <v>11</v>
      </c>
      <c r="F421" s="1" t="s">
        <v>15</v>
      </c>
      <c r="G421">
        <v>3</v>
      </c>
      <c r="H421">
        <v>0</v>
      </c>
      <c r="I421">
        <v>0</v>
      </c>
      <c r="J421" s="1"/>
      <c r="K421" s="1" t="s">
        <v>342</v>
      </c>
    </row>
    <row r="422" spans="1:11" x14ac:dyDescent="0.25">
      <c r="A422" s="2">
        <v>45894.464849537035</v>
      </c>
      <c r="B422" s="1" t="s">
        <v>354</v>
      </c>
      <c r="C422" s="1" t="s">
        <v>363</v>
      </c>
      <c r="D422" s="1" t="s">
        <v>10</v>
      </c>
      <c r="E422" s="1" t="s">
        <v>11</v>
      </c>
      <c r="F422" s="1" t="s">
        <v>12</v>
      </c>
      <c r="G422">
        <v>10.5</v>
      </c>
      <c r="H422">
        <v>1</v>
      </c>
      <c r="I422">
        <v>0</v>
      </c>
      <c r="J422" s="1"/>
      <c r="K422" s="1" t="s">
        <v>336</v>
      </c>
    </row>
    <row r="423" spans="1:11" x14ac:dyDescent="0.25">
      <c r="A423" s="2">
        <v>45894.475821759261</v>
      </c>
      <c r="B423" s="1" t="s">
        <v>354</v>
      </c>
      <c r="C423" s="1" t="s">
        <v>363</v>
      </c>
      <c r="D423" s="1" t="s">
        <v>20</v>
      </c>
      <c r="E423" s="1" t="s">
        <v>11</v>
      </c>
      <c r="F423" s="1" t="s">
        <v>12</v>
      </c>
      <c r="G423">
        <v>10.5</v>
      </c>
      <c r="H423">
        <v>1</v>
      </c>
      <c r="I423">
        <v>0</v>
      </c>
      <c r="J423" s="1" t="s">
        <v>116</v>
      </c>
      <c r="K423" s="1" t="s">
        <v>345</v>
      </c>
    </row>
    <row r="424" spans="1:11" x14ac:dyDescent="0.25">
      <c r="A424" s="2">
        <v>45894.501886574071</v>
      </c>
      <c r="B424" s="1" t="s">
        <v>350</v>
      </c>
      <c r="C424" s="1" t="s">
        <v>363</v>
      </c>
      <c r="D424" s="1" t="s">
        <v>10</v>
      </c>
      <c r="E424" s="1" t="s">
        <v>11</v>
      </c>
      <c r="F424" s="1" t="s">
        <v>12</v>
      </c>
      <c r="G424">
        <v>10.5</v>
      </c>
      <c r="H424">
        <v>0</v>
      </c>
      <c r="I424">
        <v>0</v>
      </c>
      <c r="J424" s="1"/>
      <c r="K424" s="1" t="s">
        <v>340</v>
      </c>
    </row>
    <row r="425" spans="1:11" x14ac:dyDescent="0.25">
      <c r="A425" s="2">
        <v>45894.501886574071</v>
      </c>
      <c r="B425" s="1" t="s">
        <v>350</v>
      </c>
      <c r="C425" s="1" t="s">
        <v>363</v>
      </c>
      <c r="D425" s="1" t="s">
        <v>10</v>
      </c>
      <c r="E425" s="1" t="s">
        <v>11</v>
      </c>
      <c r="F425" s="1" t="s">
        <v>12</v>
      </c>
      <c r="G425">
        <v>10.5</v>
      </c>
      <c r="H425">
        <v>0</v>
      </c>
      <c r="I425">
        <v>0</v>
      </c>
      <c r="J425" s="1"/>
      <c r="K425" s="1" t="s">
        <v>343</v>
      </c>
    </row>
    <row r="426" spans="1:11" x14ac:dyDescent="0.25">
      <c r="A426" s="2">
        <v>45894.502013888887</v>
      </c>
      <c r="B426" s="1" t="s">
        <v>350</v>
      </c>
      <c r="C426" s="1" t="s">
        <v>363</v>
      </c>
      <c r="D426" s="1" t="s">
        <v>10</v>
      </c>
      <c r="E426" s="1" t="s">
        <v>11</v>
      </c>
      <c r="F426" s="1" t="s">
        <v>14</v>
      </c>
      <c r="G426">
        <v>0.5</v>
      </c>
      <c r="H426">
        <v>0</v>
      </c>
      <c r="I426">
        <v>0</v>
      </c>
      <c r="J426" s="1"/>
      <c r="K426" s="1" t="s">
        <v>344</v>
      </c>
    </row>
    <row r="427" spans="1:11" x14ac:dyDescent="0.25">
      <c r="A427" s="2">
        <v>45894.50209490741</v>
      </c>
      <c r="B427" s="1" t="s">
        <v>350</v>
      </c>
      <c r="C427" s="1" t="s">
        <v>363</v>
      </c>
      <c r="D427" s="1" t="s">
        <v>10</v>
      </c>
      <c r="E427" s="1" t="s">
        <v>11</v>
      </c>
      <c r="F427" s="1" t="s">
        <v>14</v>
      </c>
      <c r="G427">
        <v>0.5</v>
      </c>
      <c r="H427">
        <v>0</v>
      </c>
      <c r="I427">
        <v>0</v>
      </c>
      <c r="J427" s="1"/>
      <c r="K427" s="1" t="s">
        <v>342</v>
      </c>
    </row>
    <row r="428" spans="1:11" x14ac:dyDescent="0.25">
      <c r="A428" s="2">
        <v>45894.505740740744</v>
      </c>
      <c r="B428" s="1" t="s">
        <v>350</v>
      </c>
      <c r="C428" s="1" t="s">
        <v>363</v>
      </c>
      <c r="D428" s="1" t="s">
        <v>10</v>
      </c>
      <c r="E428" s="1" t="s">
        <v>11</v>
      </c>
      <c r="F428" s="1" t="s">
        <v>14</v>
      </c>
      <c r="G428">
        <v>0.5</v>
      </c>
      <c r="H428">
        <v>0</v>
      </c>
      <c r="I428">
        <v>0</v>
      </c>
      <c r="J428" s="1"/>
      <c r="K428" s="1" t="s">
        <v>344</v>
      </c>
    </row>
    <row r="429" spans="1:11" x14ac:dyDescent="0.25">
      <c r="A429" s="2">
        <v>45894.506944444445</v>
      </c>
      <c r="B429" s="1" t="s">
        <v>350</v>
      </c>
      <c r="C429" s="1" t="s">
        <v>363</v>
      </c>
      <c r="D429" s="1" t="s">
        <v>10</v>
      </c>
      <c r="E429" s="1" t="s">
        <v>11</v>
      </c>
      <c r="F429" s="1" t="s">
        <v>14</v>
      </c>
      <c r="G429">
        <v>0.5</v>
      </c>
      <c r="H429">
        <v>0</v>
      </c>
      <c r="I429">
        <v>0</v>
      </c>
      <c r="J429" s="1"/>
      <c r="K429" s="1" t="s">
        <v>342</v>
      </c>
    </row>
    <row r="430" spans="1:11" x14ac:dyDescent="0.25">
      <c r="A430" s="2">
        <v>45894.525590277779</v>
      </c>
      <c r="B430" s="1" t="s">
        <v>350</v>
      </c>
      <c r="C430" s="1" t="s">
        <v>363</v>
      </c>
      <c r="D430" s="1" t="s">
        <v>10</v>
      </c>
      <c r="E430" s="1" t="s">
        <v>11</v>
      </c>
      <c r="F430" s="1" t="s">
        <v>12</v>
      </c>
      <c r="G430">
        <v>10.5</v>
      </c>
      <c r="H430">
        <v>0</v>
      </c>
      <c r="I430">
        <v>0</v>
      </c>
      <c r="J430" s="1" t="s">
        <v>117</v>
      </c>
      <c r="K430" s="1" t="s">
        <v>345</v>
      </c>
    </row>
    <row r="431" spans="1:11" x14ac:dyDescent="0.25">
      <c r="A431" s="2">
        <v>45894.525706018518</v>
      </c>
      <c r="B431" s="1" t="s">
        <v>350</v>
      </c>
      <c r="C431" s="1" t="s">
        <v>363</v>
      </c>
      <c r="D431" s="1" t="s">
        <v>10</v>
      </c>
      <c r="E431" s="1" t="s">
        <v>11</v>
      </c>
      <c r="F431" s="1" t="s">
        <v>14</v>
      </c>
      <c r="G431">
        <v>0.5</v>
      </c>
      <c r="H431">
        <v>0</v>
      </c>
      <c r="I431">
        <v>0</v>
      </c>
      <c r="J431" s="1"/>
      <c r="K431" s="1" t="s">
        <v>342</v>
      </c>
    </row>
    <row r="432" spans="1:11" x14ac:dyDescent="0.25">
      <c r="A432" s="2">
        <v>45894.541319444441</v>
      </c>
      <c r="B432" s="1" t="s">
        <v>350</v>
      </c>
      <c r="C432" s="1" t="s">
        <v>363</v>
      </c>
      <c r="D432" s="1" t="s">
        <v>10</v>
      </c>
      <c r="E432" s="1" t="s">
        <v>11</v>
      </c>
      <c r="F432" s="1" t="s">
        <v>12</v>
      </c>
      <c r="G432">
        <v>10.5</v>
      </c>
      <c r="H432">
        <v>0</v>
      </c>
      <c r="I432">
        <v>0</v>
      </c>
      <c r="J432" s="1"/>
      <c r="K432" s="1" t="s">
        <v>340</v>
      </c>
    </row>
    <row r="433" spans="1:11" x14ac:dyDescent="0.25">
      <c r="A433" s="2">
        <v>45894.565266203703</v>
      </c>
      <c r="B433" s="1" t="s">
        <v>351</v>
      </c>
      <c r="C433" s="1" t="s">
        <v>363</v>
      </c>
      <c r="D433" s="1" t="s">
        <v>10</v>
      </c>
      <c r="E433" s="1" t="s">
        <v>11</v>
      </c>
      <c r="F433" s="1" t="s">
        <v>15</v>
      </c>
      <c r="G433">
        <v>3</v>
      </c>
      <c r="H433">
        <v>1</v>
      </c>
      <c r="I433">
        <v>0</v>
      </c>
      <c r="J433" s="1"/>
      <c r="K433" s="1" t="s">
        <v>336</v>
      </c>
    </row>
    <row r="434" spans="1:11" x14ac:dyDescent="0.25">
      <c r="A434" s="2">
        <v>45894.565266203703</v>
      </c>
      <c r="B434" s="1" t="s">
        <v>351</v>
      </c>
      <c r="C434" s="1" t="s">
        <v>363</v>
      </c>
      <c r="D434" s="1" t="s">
        <v>10</v>
      </c>
      <c r="E434" s="1" t="s">
        <v>11</v>
      </c>
      <c r="F434" s="1" t="s">
        <v>15</v>
      </c>
      <c r="G434">
        <v>3</v>
      </c>
      <c r="H434">
        <v>1</v>
      </c>
      <c r="I434">
        <v>0</v>
      </c>
      <c r="J434" s="1"/>
      <c r="K434" s="1" t="s">
        <v>344</v>
      </c>
    </row>
    <row r="435" spans="1:11" x14ac:dyDescent="0.25">
      <c r="A435" s="2">
        <v>45894.565312500003</v>
      </c>
      <c r="B435" s="1" t="s">
        <v>351</v>
      </c>
      <c r="C435" s="1" t="s">
        <v>363</v>
      </c>
      <c r="D435" s="1" t="s">
        <v>10</v>
      </c>
      <c r="E435" s="1" t="s">
        <v>11</v>
      </c>
      <c r="F435" s="1" t="s">
        <v>15</v>
      </c>
      <c r="G435">
        <v>3</v>
      </c>
      <c r="H435">
        <v>0</v>
      </c>
      <c r="I435">
        <v>0</v>
      </c>
      <c r="J435" s="1"/>
      <c r="K435" s="1" t="s">
        <v>341</v>
      </c>
    </row>
    <row r="436" spans="1:11" x14ac:dyDescent="0.25">
      <c r="A436" s="2">
        <v>45894.591226851851</v>
      </c>
      <c r="B436" s="1" t="s">
        <v>348</v>
      </c>
      <c r="C436" s="1" t="s">
        <v>363</v>
      </c>
      <c r="D436" s="1" t="s">
        <v>20</v>
      </c>
      <c r="E436" s="1" t="s">
        <v>11</v>
      </c>
      <c r="F436" s="1" t="s">
        <v>12</v>
      </c>
      <c r="G436">
        <v>10.5</v>
      </c>
      <c r="H436">
        <v>0</v>
      </c>
      <c r="I436">
        <v>0</v>
      </c>
      <c r="J436" s="1" t="s">
        <v>118</v>
      </c>
      <c r="K436" s="1" t="s">
        <v>345</v>
      </c>
    </row>
    <row r="437" spans="1:11" x14ac:dyDescent="0.25">
      <c r="A437" s="2">
        <v>45894.61</v>
      </c>
      <c r="B437" s="1" t="s">
        <v>348</v>
      </c>
      <c r="C437" s="1" t="s">
        <v>363</v>
      </c>
      <c r="D437" s="1" t="s">
        <v>10</v>
      </c>
      <c r="E437" s="1" t="s">
        <v>11</v>
      </c>
      <c r="F437" s="1" t="s">
        <v>14</v>
      </c>
      <c r="G437">
        <v>0.5</v>
      </c>
      <c r="H437">
        <v>0</v>
      </c>
      <c r="I437">
        <v>0</v>
      </c>
      <c r="J437" s="1" t="s">
        <v>120</v>
      </c>
      <c r="K437" s="1" t="s">
        <v>344</v>
      </c>
    </row>
    <row r="438" spans="1:11" x14ac:dyDescent="0.25">
      <c r="A438" s="2">
        <v>45894.625474537039</v>
      </c>
      <c r="B438" s="1" t="s">
        <v>349</v>
      </c>
      <c r="C438" s="1" t="s">
        <v>363</v>
      </c>
      <c r="D438" s="1" t="s">
        <v>10</v>
      </c>
      <c r="E438" s="1" t="s">
        <v>11</v>
      </c>
      <c r="F438" s="1" t="s">
        <v>14</v>
      </c>
      <c r="G438">
        <v>0.5</v>
      </c>
      <c r="H438">
        <v>0</v>
      </c>
      <c r="I438">
        <v>0</v>
      </c>
      <c r="J438" s="1" t="s">
        <v>121</v>
      </c>
      <c r="K438" s="1" t="s">
        <v>344</v>
      </c>
    </row>
    <row r="439" spans="1:11" x14ac:dyDescent="0.25">
      <c r="A439" s="2">
        <v>45894.635659722226</v>
      </c>
      <c r="B439" s="1" t="s">
        <v>349</v>
      </c>
      <c r="C439" s="1" t="s">
        <v>363</v>
      </c>
      <c r="D439" s="1" t="s">
        <v>10</v>
      </c>
      <c r="E439" s="1" t="s">
        <v>11</v>
      </c>
      <c r="F439" s="1" t="s">
        <v>15</v>
      </c>
      <c r="G439">
        <v>3</v>
      </c>
      <c r="H439">
        <v>0</v>
      </c>
      <c r="I439">
        <v>0</v>
      </c>
      <c r="J439" s="1"/>
      <c r="K439" s="1" t="s">
        <v>341</v>
      </c>
    </row>
    <row r="440" spans="1:11" x14ac:dyDescent="0.25">
      <c r="A440" s="2">
        <v>45894.644756944443</v>
      </c>
      <c r="B440" s="1" t="s">
        <v>349</v>
      </c>
      <c r="C440" s="1" t="s">
        <v>363</v>
      </c>
      <c r="D440" s="1" t="s">
        <v>10</v>
      </c>
      <c r="E440" s="1" t="s">
        <v>11</v>
      </c>
      <c r="F440" s="1" t="s">
        <v>15</v>
      </c>
      <c r="G440">
        <v>3</v>
      </c>
      <c r="H440">
        <v>0</v>
      </c>
      <c r="I440">
        <v>0</v>
      </c>
      <c r="J440" s="1" t="s">
        <v>122</v>
      </c>
      <c r="K440" s="1" t="s">
        <v>337</v>
      </c>
    </row>
    <row r="441" spans="1:11" x14ac:dyDescent="0.25">
      <c r="A441" s="2">
        <v>45894.647511574076</v>
      </c>
      <c r="B441" s="1" t="s">
        <v>349</v>
      </c>
      <c r="C441" s="1" t="s">
        <v>363</v>
      </c>
      <c r="D441" s="1" t="s">
        <v>10</v>
      </c>
      <c r="E441" s="1" t="s">
        <v>11</v>
      </c>
      <c r="F441" s="1" t="s">
        <v>14</v>
      </c>
      <c r="G441">
        <v>0.5</v>
      </c>
      <c r="H441">
        <v>1</v>
      </c>
      <c r="I441">
        <v>0</v>
      </c>
      <c r="J441" s="1"/>
      <c r="K441" s="1" t="s">
        <v>336</v>
      </c>
    </row>
    <row r="442" spans="1:11" x14ac:dyDescent="0.25">
      <c r="A442" s="2">
        <v>45894.653726851851</v>
      </c>
      <c r="B442" s="1" t="s">
        <v>349</v>
      </c>
      <c r="C442" s="1" t="s">
        <v>363</v>
      </c>
      <c r="D442" s="1" t="s">
        <v>10</v>
      </c>
      <c r="E442" s="1" t="s">
        <v>11</v>
      </c>
      <c r="F442" s="1" t="s">
        <v>15</v>
      </c>
      <c r="G442">
        <v>3</v>
      </c>
      <c r="H442">
        <v>0</v>
      </c>
      <c r="I442">
        <v>0</v>
      </c>
      <c r="J442" s="1" t="s">
        <v>123</v>
      </c>
      <c r="K442" s="1" t="s">
        <v>342</v>
      </c>
    </row>
    <row r="443" spans="1:11" x14ac:dyDescent="0.25">
      <c r="A443" s="2">
        <v>45894.658356481479</v>
      </c>
      <c r="B443" s="1" t="s">
        <v>349</v>
      </c>
      <c r="C443" s="1" t="s">
        <v>363</v>
      </c>
      <c r="D443" s="1" t="s">
        <v>10</v>
      </c>
      <c r="E443" s="1" t="s">
        <v>11</v>
      </c>
      <c r="F443" s="1" t="s">
        <v>15</v>
      </c>
      <c r="G443">
        <v>3</v>
      </c>
      <c r="H443">
        <v>0</v>
      </c>
      <c r="I443">
        <v>0</v>
      </c>
      <c r="J443" s="1" t="s">
        <v>124</v>
      </c>
      <c r="K443" s="1" t="s">
        <v>337</v>
      </c>
    </row>
    <row r="444" spans="1:11" x14ac:dyDescent="0.25">
      <c r="A444" s="2">
        <v>45894.718819444446</v>
      </c>
      <c r="B444" s="1" t="s">
        <v>355</v>
      </c>
      <c r="C444" s="1" t="s">
        <v>363</v>
      </c>
      <c r="D444" s="1" t="s">
        <v>10</v>
      </c>
      <c r="E444" s="1" t="s">
        <v>11</v>
      </c>
      <c r="F444" s="1" t="s">
        <v>15</v>
      </c>
      <c r="G444">
        <v>3</v>
      </c>
      <c r="H444">
        <v>0</v>
      </c>
      <c r="I444">
        <v>0</v>
      </c>
      <c r="J444" s="1"/>
      <c r="K444" s="1" t="s">
        <v>343</v>
      </c>
    </row>
    <row r="445" spans="1:11" x14ac:dyDescent="0.25">
      <c r="A445" s="2">
        <v>45894.719004629631</v>
      </c>
      <c r="B445" s="1" t="s">
        <v>355</v>
      </c>
      <c r="C445" s="1" t="s">
        <v>363</v>
      </c>
      <c r="D445" s="1" t="s">
        <v>10</v>
      </c>
      <c r="E445" s="1" t="s">
        <v>11</v>
      </c>
      <c r="F445" s="1" t="s">
        <v>15</v>
      </c>
      <c r="G445">
        <v>3</v>
      </c>
      <c r="H445">
        <v>0</v>
      </c>
      <c r="I445">
        <v>0</v>
      </c>
      <c r="J445" s="1"/>
      <c r="K445" s="1" t="s">
        <v>341</v>
      </c>
    </row>
    <row r="446" spans="1:11" x14ac:dyDescent="0.25">
      <c r="A446" s="2">
        <v>45894.719097222223</v>
      </c>
      <c r="B446" s="1" t="s">
        <v>355</v>
      </c>
      <c r="C446" s="1" t="s">
        <v>363</v>
      </c>
      <c r="D446" s="1" t="s">
        <v>10</v>
      </c>
      <c r="E446" s="1" t="s">
        <v>11</v>
      </c>
      <c r="F446" s="1" t="s">
        <v>15</v>
      </c>
      <c r="G446">
        <v>3</v>
      </c>
      <c r="H446">
        <v>0</v>
      </c>
      <c r="I446">
        <v>0</v>
      </c>
      <c r="J446" s="1"/>
      <c r="K446" s="1" t="s">
        <v>341</v>
      </c>
    </row>
    <row r="447" spans="1:11" x14ac:dyDescent="0.25">
      <c r="A447" s="2">
        <v>45894.719571759262</v>
      </c>
      <c r="B447" s="1" t="s">
        <v>355</v>
      </c>
      <c r="C447" s="1" t="s">
        <v>363</v>
      </c>
      <c r="D447" s="1" t="s">
        <v>10</v>
      </c>
      <c r="E447" s="1" t="s">
        <v>11</v>
      </c>
      <c r="F447" s="1" t="s">
        <v>14</v>
      </c>
      <c r="G447">
        <v>0.5</v>
      </c>
      <c r="H447">
        <v>0</v>
      </c>
      <c r="I447">
        <v>0</v>
      </c>
      <c r="J447" s="1" t="s">
        <v>125</v>
      </c>
      <c r="K447" s="1" t="s">
        <v>343</v>
      </c>
    </row>
    <row r="448" spans="1:11" x14ac:dyDescent="0.25">
      <c r="A448" s="2">
        <v>45895.556203703702</v>
      </c>
      <c r="B448" s="1" t="s">
        <v>351</v>
      </c>
      <c r="C448" s="1" t="s">
        <v>358</v>
      </c>
      <c r="D448" s="1" t="s">
        <v>10</v>
      </c>
      <c r="E448" s="1" t="s">
        <v>17</v>
      </c>
      <c r="F448" s="1" t="s">
        <v>14</v>
      </c>
      <c r="G448">
        <v>0.5</v>
      </c>
      <c r="H448">
        <v>0</v>
      </c>
      <c r="I448">
        <v>0</v>
      </c>
      <c r="J448" s="1" t="s">
        <v>126</v>
      </c>
      <c r="K448" s="1" t="s">
        <v>342</v>
      </c>
    </row>
    <row r="449" spans="1:11" x14ac:dyDescent="0.25">
      <c r="A449" s="2">
        <v>45895.565069444441</v>
      </c>
      <c r="B449" s="1" t="s">
        <v>351</v>
      </c>
      <c r="C449" s="1" t="s">
        <v>358</v>
      </c>
      <c r="D449" s="1" t="s">
        <v>10</v>
      </c>
      <c r="E449" s="1" t="s">
        <v>17</v>
      </c>
      <c r="F449" s="1" t="s">
        <v>14</v>
      </c>
      <c r="G449">
        <v>0.5</v>
      </c>
      <c r="H449">
        <v>0</v>
      </c>
      <c r="I449">
        <v>0</v>
      </c>
      <c r="J449" s="1" t="s">
        <v>127</v>
      </c>
      <c r="K449" s="1" t="s">
        <v>342</v>
      </c>
    </row>
    <row r="450" spans="1:11" x14ac:dyDescent="0.25">
      <c r="A450" s="2">
        <v>45895.568784722222</v>
      </c>
      <c r="B450" s="1" t="s">
        <v>351</v>
      </c>
      <c r="C450" s="1" t="s">
        <v>358</v>
      </c>
      <c r="D450" s="1" t="s">
        <v>10</v>
      </c>
      <c r="E450" s="1" t="s">
        <v>17</v>
      </c>
      <c r="F450" s="1" t="s">
        <v>14</v>
      </c>
      <c r="G450">
        <v>0.5</v>
      </c>
      <c r="H450">
        <v>0</v>
      </c>
      <c r="I450">
        <v>0</v>
      </c>
      <c r="J450" s="1" t="s">
        <v>128</v>
      </c>
      <c r="K450" s="1" t="s">
        <v>345</v>
      </c>
    </row>
    <row r="451" spans="1:11" x14ac:dyDescent="0.25">
      <c r="A451" s="2">
        <v>45895.604768518519</v>
      </c>
      <c r="B451" s="1" t="s">
        <v>348</v>
      </c>
      <c r="C451" s="1" t="s">
        <v>358</v>
      </c>
      <c r="D451" s="1" t="s">
        <v>10</v>
      </c>
      <c r="E451" s="1" t="s">
        <v>11</v>
      </c>
      <c r="F451" s="1" t="s">
        <v>14</v>
      </c>
      <c r="G451">
        <v>0.5</v>
      </c>
      <c r="H451">
        <v>0</v>
      </c>
      <c r="I451">
        <v>0</v>
      </c>
      <c r="J451" s="1"/>
      <c r="K451" s="1" t="s">
        <v>344</v>
      </c>
    </row>
    <row r="452" spans="1:11" x14ac:dyDescent="0.25">
      <c r="A452" s="2">
        <v>45896.506597222222</v>
      </c>
      <c r="B452" s="1" t="s">
        <v>350</v>
      </c>
      <c r="C452" s="1" t="s">
        <v>359</v>
      </c>
      <c r="D452" s="1" t="s">
        <v>20</v>
      </c>
      <c r="E452" s="1" t="s">
        <v>11</v>
      </c>
      <c r="F452" s="1" t="s">
        <v>12</v>
      </c>
      <c r="G452">
        <v>10.5</v>
      </c>
      <c r="H452">
        <v>1</v>
      </c>
      <c r="I452">
        <v>0</v>
      </c>
      <c r="J452" s="1"/>
      <c r="K452" s="1" t="s">
        <v>336</v>
      </c>
    </row>
    <row r="453" spans="1:11" x14ac:dyDescent="0.25">
      <c r="A453" s="2">
        <v>45896.50675925926</v>
      </c>
      <c r="B453" s="1" t="s">
        <v>350</v>
      </c>
      <c r="C453" s="1" t="s">
        <v>359</v>
      </c>
      <c r="D453" s="1" t="s">
        <v>10</v>
      </c>
      <c r="E453" s="1" t="s">
        <v>11</v>
      </c>
      <c r="F453" s="1" t="s">
        <v>12</v>
      </c>
      <c r="G453">
        <v>10.5</v>
      </c>
      <c r="H453">
        <v>0</v>
      </c>
      <c r="I453">
        <v>0</v>
      </c>
      <c r="J453" s="1"/>
      <c r="K453" s="1" t="s">
        <v>343</v>
      </c>
    </row>
    <row r="454" spans="1:11" x14ac:dyDescent="0.25">
      <c r="A454" s="2">
        <v>45896.54996527778</v>
      </c>
      <c r="B454" s="1" t="s">
        <v>351</v>
      </c>
      <c r="C454" s="1" t="s">
        <v>359</v>
      </c>
      <c r="D454" s="1" t="s">
        <v>10</v>
      </c>
      <c r="E454" s="1" t="s">
        <v>17</v>
      </c>
      <c r="F454" s="1" t="s">
        <v>15</v>
      </c>
      <c r="G454">
        <v>3</v>
      </c>
      <c r="H454">
        <v>0</v>
      </c>
      <c r="I454">
        <v>0</v>
      </c>
      <c r="J454" s="1"/>
      <c r="K454" s="1" t="s">
        <v>341</v>
      </c>
    </row>
    <row r="455" spans="1:11" x14ac:dyDescent="0.25">
      <c r="A455" s="2">
        <v>45896.583796296298</v>
      </c>
      <c r="B455" s="1" t="s">
        <v>348</v>
      </c>
      <c r="C455" s="1" t="s">
        <v>359</v>
      </c>
      <c r="D455" s="1" t="s">
        <v>20</v>
      </c>
      <c r="E455" s="1" t="s">
        <v>11</v>
      </c>
      <c r="F455" s="1" t="s">
        <v>12</v>
      </c>
      <c r="G455">
        <v>10.5</v>
      </c>
      <c r="H455">
        <v>0</v>
      </c>
      <c r="I455">
        <v>0</v>
      </c>
      <c r="J455" s="1" t="s">
        <v>129</v>
      </c>
      <c r="K455" s="1" t="s">
        <v>345</v>
      </c>
    </row>
    <row r="456" spans="1:11" x14ac:dyDescent="0.25">
      <c r="A456" s="2">
        <v>45896.749768518515</v>
      </c>
      <c r="B456" s="1" t="s">
        <v>355</v>
      </c>
      <c r="C456" s="1" t="s">
        <v>359</v>
      </c>
      <c r="D456" s="1" t="s">
        <v>10</v>
      </c>
      <c r="E456" s="1" t="s">
        <v>11</v>
      </c>
      <c r="F456" s="1" t="s">
        <v>15</v>
      </c>
      <c r="G456">
        <v>3</v>
      </c>
      <c r="H456">
        <v>0</v>
      </c>
      <c r="I456">
        <v>0</v>
      </c>
      <c r="J456" s="1"/>
      <c r="K456" s="1" t="s">
        <v>340</v>
      </c>
    </row>
    <row r="457" spans="1:11" x14ac:dyDescent="0.25">
      <c r="A457" s="2">
        <v>45896.749861111108</v>
      </c>
      <c r="B457" s="1" t="s">
        <v>355</v>
      </c>
      <c r="C457" s="1" t="s">
        <v>359</v>
      </c>
      <c r="D457" s="1" t="s">
        <v>10</v>
      </c>
      <c r="E457" s="1" t="s">
        <v>11</v>
      </c>
      <c r="F457" s="1" t="s">
        <v>14</v>
      </c>
      <c r="G457">
        <v>0.5</v>
      </c>
      <c r="H457">
        <v>0</v>
      </c>
      <c r="I457">
        <v>0</v>
      </c>
      <c r="J457" s="1"/>
      <c r="K457" s="1" t="s">
        <v>343</v>
      </c>
    </row>
    <row r="458" spans="1:11" x14ac:dyDescent="0.25">
      <c r="A458" s="2">
        <v>45896.750625000001</v>
      </c>
      <c r="B458" s="1" t="s">
        <v>355</v>
      </c>
      <c r="C458" s="1" t="s">
        <v>359</v>
      </c>
      <c r="D458" s="1" t="s">
        <v>10</v>
      </c>
      <c r="E458" s="1" t="s">
        <v>11</v>
      </c>
      <c r="F458" s="1" t="s">
        <v>15</v>
      </c>
      <c r="G458">
        <v>3</v>
      </c>
      <c r="H458">
        <v>1</v>
      </c>
      <c r="I458">
        <v>0</v>
      </c>
      <c r="J458" s="1"/>
      <c r="K458" s="1" t="s">
        <v>336</v>
      </c>
    </row>
    <row r="459" spans="1:11" x14ac:dyDescent="0.25">
      <c r="A459" s="2">
        <v>45897.407465277778</v>
      </c>
      <c r="B459" s="1" t="s">
        <v>352</v>
      </c>
      <c r="C459" s="1" t="s">
        <v>360</v>
      </c>
      <c r="D459" s="1" t="s">
        <v>10</v>
      </c>
      <c r="E459" s="1" t="s">
        <v>11</v>
      </c>
      <c r="F459" s="1" t="s">
        <v>14</v>
      </c>
      <c r="G459">
        <v>0.5</v>
      </c>
      <c r="H459">
        <v>0</v>
      </c>
      <c r="I459">
        <v>0</v>
      </c>
      <c r="J459" s="1"/>
      <c r="K459" s="1" t="s">
        <v>341</v>
      </c>
    </row>
    <row r="460" spans="1:11" x14ac:dyDescent="0.25">
      <c r="A460" s="2">
        <v>45897.453877314816</v>
      </c>
      <c r="B460" s="1" t="s">
        <v>347</v>
      </c>
      <c r="C460" s="1" t="s">
        <v>360</v>
      </c>
      <c r="D460" s="1" t="s">
        <v>10</v>
      </c>
      <c r="E460" s="1" t="s">
        <v>11</v>
      </c>
      <c r="F460" s="1" t="s">
        <v>12</v>
      </c>
      <c r="G460">
        <v>10.5</v>
      </c>
      <c r="H460">
        <v>0</v>
      </c>
      <c r="I460">
        <v>0</v>
      </c>
      <c r="J460" s="1"/>
      <c r="K460" s="1" t="s">
        <v>342</v>
      </c>
    </row>
    <row r="461" spans="1:11" x14ac:dyDescent="0.25">
      <c r="A461" s="2">
        <v>45897.541400462964</v>
      </c>
      <c r="B461" s="1" t="s">
        <v>350</v>
      </c>
      <c r="C461" s="1" t="s">
        <v>360</v>
      </c>
      <c r="D461" s="1" t="s">
        <v>10</v>
      </c>
      <c r="E461" s="1" t="s">
        <v>11</v>
      </c>
      <c r="F461" s="1" t="s">
        <v>12</v>
      </c>
      <c r="G461">
        <v>10.5</v>
      </c>
      <c r="H461">
        <v>0</v>
      </c>
      <c r="I461">
        <v>0</v>
      </c>
      <c r="J461" s="1"/>
      <c r="K461" s="1" t="s">
        <v>340</v>
      </c>
    </row>
    <row r="462" spans="1:11" x14ac:dyDescent="0.25">
      <c r="A462" s="2">
        <v>45897.541400462964</v>
      </c>
      <c r="B462" s="1" t="s">
        <v>350</v>
      </c>
      <c r="C462" s="1" t="s">
        <v>360</v>
      </c>
      <c r="D462" s="1" t="s">
        <v>10</v>
      </c>
      <c r="E462" s="1" t="s">
        <v>11</v>
      </c>
      <c r="F462" s="1" t="s">
        <v>12</v>
      </c>
      <c r="G462">
        <v>10.5</v>
      </c>
      <c r="H462">
        <v>0</v>
      </c>
      <c r="I462">
        <v>0</v>
      </c>
      <c r="J462" s="1"/>
      <c r="K462" s="1" t="s">
        <v>343</v>
      </c>
    </row>
    <row r="463" spans="1:11" x14ac:dyDescent="0.25">
      <c r="A463" s="2">
        <v>45897.624201388891</v>
      </c>
      <c r="B463" s="1" t="s">
        <v>348</v>
      </c>
      <c r="C463" s="1" t="s">
        <v>360</v>
      </c>
      <c r="D463" s="1" t="s">
        <v>10</v>
      </c>
      <c r="E463" s="1" t="s">
        <v>11</v>
      </c>
      <c r="F463" s="1" t="s">
        <v>15</v>
      </c>
      <c r="G463">
        <v>3</v>
      </c>
      <c r="H463">
        <v>1</v>
      </c>
      <c r="I463">
        <v>0</v>
      </c>
      <c r="J463" s="1"/>
      <c r="K463" s="1" t="s">
        <v>340</v>
      </c>
    </row>
    <row r="464" spans="1:11" x14ac:dyDescent="0.25">
      <c r="A464" s="2">
        <v>45897.624525462961</v>
      </c>
      <c r="B464" s="1" t="s">
        <v>348</v>
      </c>
      <c r="C464" s="1" t="s">
        <v>360</v>
      </c>
      <c r="D464" s="1" t="s">
        <v>20</v>
      </c>
      <c r="E464" s="1" t="s">
        <v>11</v>
      </c>
      <c r="F464" s="1" t="s">
        <v>12</v>
      </c>
      <c r="G464">
        <v>10.5</v>
      </c>
      <c r="H464">
        <v>0</v>
      </c>
      <c r="I464">
        <v>0</v>
      </c>
      <c r="J464" s="1" t="s">
        <v>130</v>
      </c>
      <c r="K464" s="1" t="s">
        <v>344</v>
      </c>
    </row>
    <row r="465" spans="1:11" x14ac:dyDescent="0.25">
      <c r="A465" s="2">
        <v>45897.624664351853</v>
      </c>
      <c r="B465" s="1" t="s">
        <v>348</v>
      </c>
      <c r="C465" s="1" t="s">
        <v>360</v>
      </c>
      <c r="D465" s="1" t="s">
        <v>10</v>
      </c>
      <c r="E465" s="1" t="s">
        <v>11</v>
      </c>
      <c r="F465" s="1" t="s">
        <v>15</v>
      </c>
      <c r="G465">
        <v>3</v>
      </c>
      <c r="H465">
        <v>0</v>
      </c>
      <c r="I465">
        <v>0</v>
      </c>
      <c r="J465" s="1"/>
      <c r="K465" s="1" t="s">
        <v>341</v>
      </c>
    </row>
    <row r="466" spans="1:11" x14ac:dyDescent="0.25">
      <c r="A466" s="2">
        <v>45897.625057870369</v>
      </c>
      <c r="B466" s="1" t="s">
        <v>349</v>
      </c>
      <c r="C466" s="1" t="s">
        <v>360</v>
      </c>
      <c r="D466" s="1" t="s">
        <v>10</v>
      </c>
      <c r="E466" s="1" t="s">
        <v>11</v>
      </c>
      <c r="F466" s="1" t="s">
        <v>15</v>
      </c>
      <c r="G466">
        <v>3</v>
      </c>
      <c r="H466">
        <v>1</v>
      </c>
      <c r="I466">
        <v>0</v>
      </c>
      <c r="J466" s="1"/>
      <c r="K466" s="1" t="s">
        <v>336</v>
      </c>
    </row>
    <row r="467" spans="1:11" x14ac:dyDescent="0.25">
      <c r="A467" s="2">
        <v>45898.406967592593</v>
      </c>
      <c r="B467" s="1" t="s">
        <v>352</v>
      </c>
      <c r="C467" s="1" t="s">
        <v>361</v>
      </c>
      <c r="D467" s="1" t="s">
        <v>10</v>
      </c>
      <c r="E467" s="1" t="s">
        <v>11</v>
      </c>
      <c r="F467" s="1" t="s">
        <v>14</v>
      </c>
      <c r="G467">
        <v>0.5</v>
      </c>
      <c r="H467">
        <v>0</v>
      </c>
      <c r="I467">
        <v>0</v>
      </c>
      <c r="J467" s="1"/>
      <c r="K467" s="1" t="s">
        <v>344</v>
      </c>
    </row>
    <row r="468" spans="1:11" x14ac:dyDescent="0.25">
      <c r="A468" s="2">
        <v>45898.515613425923</v>
      </c>
      <c r="B468" s="1" t="s">
        <v>350</v>
      </c>
      <c r="C468" s="1" t="s">
        <v>361</v>
      </c>
      <c r="D468" s="1" t="s">
        <v>10</v>
      </c>
      <c r="E468" s="1" t="s">
        <v>11</v>
      </c>
      <c r="F468" s="1" t="s">
        <v>18</v>
      </c>
      <c r="G468">
        <v>20</v>
      </c>
      <c r="H468">
        <v>0</v>
      </c>
      <c r="I468">
        <v>0</v>
      </c>
      <c r="J468" s="1"/>
      <c r="K468" s="1" t="s">
        <v>340</v>
      </c>
    </row>
    <row r="469" spans="1:11" x14ac:dyDescent="0.25">
      <c r="A469" s="2">
        <v>45898.515613425923</v>
      </c>
      <c r="B469" s="1" t="s">
        <v>350</v>
      </c>
      <c r="C469" s="1" t="s">
        <v>361</v>
      </c>
      <c r="D469" s="1" t="s">
        <v>10</v>
      </c>
      <c r="E469" s="1" t="s">
        <v>11</v>
      </c>
      <c r="F469" s="1" t="s">
        <v>18</v>
      </c>
      <c r="G469">
        <v>20</v>
      </c>
      <c r="H469">
        <v>0</v>
      </c>
      <c r="I469">
        <v>0</v>
      </c>
      <c r="J469" s="1"/>
      <c r="K469" s="1" t="s">
        <v>343</v>
      </c>
    </row>
    <row r="470" spans="1:11" x14ac:dyDescent="0.25">
      <c r="A470" s="2">
        <v>45898.530960648146</v>
      </c>
      <c r="B470" s="1" t="s">
        <v>350</v>
      </c>
      <c r="C470" s="1" t="s">
        <v>361</v>
      </c>
      <c r="D470" s="1" t="s">
        <v>10</v>
      </c>
      <c r="E470" s="1" t="s">
        <v>11</v>
      </c>
      <c r="F470" s="1" t="s">
        <v>15</v>
      </c>
      <c r="G470">
        <v>3</v>
      </c>
      <c r="H470">
        <v>0</v>
      </c>
      <c r="I470">
        <v>0</v>
      </c>
      <c r="J470" s="1"/>
      <c r="K470" s="1" t="s">
        <v>342</v>
      </c>
    </row>
    <row r="471" spans="1:11" x14ac:dyDescent="0.25">
      <c r="A471" s="2">
        <v>45898.551701388889</v>
      </c>
      <c r="B471" s="1" t="s">
        <v>351</v>
      </c>
      <c r="C471" s="1" t="s">
        <v>361</v>
      </c>
      <c r="D471" s="1" t="s">
        <v>20</v>
      </c>
      <c r="E471" s="1" t="s">
        <v>11</v>
      </c>
      <c r="F471" s="1" t="s">
        <v>15</v>
      </c>
      <c r="G471">
        <v>3</v>
      </c>
      <c r="H471">
        <v>0</v>
      </c>
      <c r="I471">
        <v>0</v>
      </c>
      <c r="J471" s="1" t="s">
        <v>131</v>
      </c>
      <c r="K471" s="1" t="s">
        <v>345</v>
      </c>
    </row>
    <row r="472" spans="1:11" x14ac:dyDescent="0.25">
      <c r="A472" s="2">
        <v>45898.574062500003</v>
      </c>
      <c r="B472" s="1" t="s">
        <v>351</v>
      </c>
      <c r="C472" s="1" t="s">
        <v>361</v>
      </c>
      <c r="D472" s="1" t="s">
        <v>10</v>
      </c>
      <c r="E472" s="1" t="s">
        <v>11</v>
      </c>
      <c r="F472" s="1" t="s">
        <v>14</v>
      </c>
      <c r="G472">
        <v>0.5</v>
      </c>
      <c r="H472">
        <v>0</v>
      </c>
      <c r="I472">
        <v>0</v>
      </c>
      <c r="J472" s="1" t="s">
        <v>132</v>
      </c>
      <c r="K472" s="1" t="s">
        <v>344</v>
      </c>
    </row>
    <row r="473" spans="1:11" x14ac:dyDescent="0.25">
      <c r="A473" s="2">
        <v>45898.588622685187</v>
      </c>
      <c r="B473" s="1" t="s">
        <v>348</v>
      </c>
      <c r="C473" s="1" t="s">
        <v>361</v>
      </c>
      <c r="D473" s="1" t="s">
        <v>10</v>
      </c>
      <c r="E473" s="1" t="s">
        <v>11</v>
      </c>
      <c r="F473" s="1" t="s">
        <v>14</v>
      </c>
      <c r="G473">
        <v>0.5</v>
      </c>
      <c r="H473">
        <v>0</v>
      </c>
      <c r="I473">
        <v>0</v>
      </c>
      <c r="J473" s="1" t="s">
        <v>106</v>
      </c>
      <c r="K473" s="1" t="s">
        <v>344</v>
      </c>
    </row>
    <row r="474" spans="1:11" x14ac:dyDescent="0.25">
      <c r="A474" s="2">
        <v>45898.611307870371</v>
      </c>
      <c r="B474" s="1" t="s">
        <v>348</v>
      </c>
      <c r="C474" s="1" t="s">
        <v>361</v>
      </c>
      <c r="D474" s="1" t="s">
        <v>10</v>
      </c>
      <c r="E474" s="1" t="s">
        <v>11</v>
      </c>
      <c r="F474" s="1" t="s">
        <v>12</v>
      </c>
      <c r="G474">
        <v>10.5</v>
      </c>
      <c r="H474">
        <v>1</v>
      </c>
      <c r="I474">
        <v>0</v>
      </c>
      <c r="J474" s="1" t="s">
        <v>133</v>
      </c>
      <c r="K474" s="1" t="s">
        <v>336</v>
      </c>
    </row>
    <row r="475" spans="1:11" x14ac:dyDescent="0.25">
      <c r="A475" s="2">
        <v>45898.615844907406</v>
      </c>
      <c r="B475" s="1" t="s">
        <v>348</v>
      </c>
      <c r="C475" s="1" t="s">
        <v>361</v>
      </c>
      <c r="D475" s="1" t="s">
        <v>10</v>
      </c>
      <c r="E475" s="1" t="s">
        <v>11</v>
      </c>
      <c r="F475" s="1" t="s">
        <v>14</v>
      </c>
      <c r="G475">
        <v>0.5</v>
      </c>
      <c r="H475">
        <v>0</v>
      </c>
      <c r="I475">
        <v>0</v>
      </c>
      <c r="J475" s="1" t="s">
        <v>134</v>
      </c>
      <c r="K475" s="1" t="s">
        <v>344</v>
      </c>
    </row>
    <row r="476" spans="1:11" x14ac:dyDescent="0.25">
      <c r="A476" s="2">
        <v>45898.661979166667</v>
      </c>
      <c r="B476" s="1" t="s">
        <v>349</v>
      </c>
      <c r="C476" s="1" t="s">
        <v>361</v>
      </c>
      <c r="D476" s="1" t="s">
        <v>10</v>
      </c>
      <c r="E476" s="1" t="s">
        <v>11</v>
      </c>
      <c r="F476" s="1" t="s">
        <v>14</v>
      </c>
      <c r="G476">
        <v>0.5</v>
      </c>
      <c r="H476">
        <v>0</v>
      </c>
      <c r="I476">
        <v>0</v>
      </c>
      <c r="J476" s="1" t="s">
        <v>135</v>
      </c>
      <c r="K476" s="1" t="s">
        <v>343</v>
      </c>
    </row>
    <row r="477" spans="1:11" x14ac:dyDescent="0.25">
      <c r="A477" s="2">
        <v>45898.662372685183</v>
      </c>
      <c r="B477" s="1" t="s">
        <v>349</v>
      </c>
      <c r="C477" s="1" t="s">
        <v>361</v>
      </c>
      <c r="D477" s="1" t="s">
        <v>10</v>
      </c>
      <c r="E477" s="1" t="s">
        <v>11</v>
      </c>
      <c r="F477" s="1" t="s">
        <v>15</v>
      </c>
      <c r="G477">
        <v>3</v>
      </c>
      <c r="H477">
        <v>0</v>
      </c>
      <c r="I477">
        <v>0</v>
      </c>
      <c r="J477" s="1" t="s">
        <v>136</v>
      </c>
      <c r="K477" s="1" t="s">
        <v>343</v>
      </c>
    </row>
    <row r="478" spans="1:11" x14ac:dyDescent="0.25">
      <c r="A478" s="2">
        <v>45898.662916666668</v>
      </c>
      <c r="B478" s="1" t="s">
        <v>349</v>
      </c>
      <c r="C478" s="1" t="s">
        <v>361</v>
      </c>
      <c r="D478" s="1" t="s">
        <v>10</v>
      </c>
      <c r="E478" s="1" t="s">
        <v>11</v>
      </c>
      <c r="F478" s="1" t="s">
        <v>14</v>
      </c>
      <c r="G478">
        <v>0.5</v>
      </c>
      <c r="H478">
        <v>0</v>
      </c>
      <c r="I478">
        <v>0</v>
      </c>
      <c r="J478" s="1" t="s">
        <v>137</v>
      </c>
      <c r="K478" s="1" t="s">
        <v>344</v>
      </c>
    </row>
    <row r="479" spans="1:11" x14ac:dyDescent="0.25">
      <c r="A479" s="2">
        <v>45898.665347222224</v>
      </c>
      <c r="B479" s="1" t="s">
        <v>349</v>
      </c>
      <c r="C479" s="1" t="s">
        <v>361</v>
      </c>
      <c r="D479" s="1" t="s">
        <v>10</v>
      </c>
      <c r="E479" s="1" t="s">
        <v>11</v>
      </c>
      <c r="F479" s="1" t="s">
        <v>12</v>
      </c>
      <c r="G479">
        <v>10.5</v>
      </c>
      <c r="H479">
        <v>0</v>
      </c>
      <c r="I479">
        <v>0</v>
      </c>
      <c r="J479" s="1" t="s">
        <v>138</v>
      </c>
      <c r="K479" s="1" t="s">
        <v>345</v>
      </c>
    </row>
    <row r="480" spans="1:11" x14ac:dyDescent="0.25">
      <c r="A480" s="2">
        <v>45899.486087962963</v>
      </c>
      <c r="B480" s="1" t="s">
        <v>354</v>
      </c>
      <c r="C480" s="1" t="s">
        <v>362</v>
      </c>
      <c r="D480" s="1" t="s">
        <v>10</v>
      </c>
      <c r="E480" s="1" t="s">
        <v>17</v>
      </c>
      <c r="F480" s="1" t="s">
        <v>18</v>
      </c>
      <c r="G480">
        <v>20</v>
      </c>
      <c r="H480">
        <v>0</v>
      </c>
      <c r="I480">
        <v>1</v>
      </c>
      <c r="J480" s="1"/>
      <c r="K480" s="1" t="s">
        <v>341</v>
      </c>
    </row>
    <row r="481" spans="1:11" x14ac:dyDescent="0.25">
      <c r="A481" s="2">
        <v>45901.381585648145</v>
      </c>
      <c r="B481" s="1" t="s">
        <v>352</v>
      </c>
      <c r="C481" s="1" t="s">
        <v>363</v>
      </c>
      <c r="D481" s="1" t="s">
        <v>10</v>
      </c>
      <c r="E481" s="1" t="s">
        <v>11</v>
      </c>
      <c r="F481" s="1" t="s">
        <v>15</v>
      </c>
      <c r="G481">
        <v>3</v>
      </c>
      <c r="H481">
        <v>0</v>
      </c>
      <c r="I481">
        <v>0</v>
      </c>
      <c r="J481" s="1"/>
      <c r="K481" s="1" t="s">
        <v>341</v>
      </c>
    </row>
    <row r="482" spans="1:11" x14ac:dyDescent="0.25">
      <c r="A482" s="2">
        <v>45901.432638888888</v>
      </c>
      <c r="B482" s="1" t="s">
        <v>347</v>
      </c>
      <c r="C482" s="1" t="s">
        <v>363</v>
      </c>
      <c r="D482" s="1" t="s">
        <v>10</v>
      </c>
      <c r="E482" s="1" t="s">
        <v>11</v>
      </c>
      <c r="F482" s="1" t="s">
        <v>18</v>
      </c>
      <c r="G482">
        <v>20</v>
      </c>
      <c r="H482">
        <v>1</v>
      </c>
      <c r="I482">
        <v>0</v>
      </c>
      <c r="J482" s="1" t="s">
        <v>139</v>
      </c>
      <c r="K482" s="1" t="s">
        <v>336</v>
      </c>
    </row>
    <row r="483" spans="1:11" x14ac:dyDescent="0.25">
      <c r="A483" s="2">
        <v>45901.532384259262</v>
      </c>
      <c r="B483" s="1" t="s">
        <v>350</v>
      </c>
      <c r="C483" s="1" t="s">
        <v>363</v>
      </c>
      <c r="D483" s="1" t="s">
        <v>10</v>
      </c>
      <c r="E483" s="1" t="s">
        <v>11</v>
      </c>
      <c r="F483" s="1" t="s">
        <v>12</v>
      </c>
      <c r="G483">
        <v>10.5</v>
      </c>
      <c r="H483">
        <v>0</v>
      </c>
      <c r="I483">
        <v>0</v>
      </c>
      <c r="J483" s="1"/>
      <c r="K483" s="1" t="s">
        <v>340</v>
      </c>
    </row>
    <row r="484" spans="1:11" x14ac:dyDescent="0.25">
      <c r="A484" s="2">
        <v>45901.532546296294</v>
      </c>
      <c r="B484" s="1" t="s">
        <v>350</v>
      </c>
      <c r="C484" s="1" t="s">
        <v>363</v>
      </c>
      <c r="D484" s="1" t="s">
        <v>20</v>
      </c>
      <c r="E484" s="1" t="s">
        <v>11</v>
      </c>
      <c r="F484" s="1" t="s">
        <v>12</v>
      </c>
      <c r="G484">
        <v>10.5</v>
      </c>
      <c r="H484">
        <v>1</v>
      </c>
      <c r="I484">
        <v>1</v>
      </c>
      <c r="J484" s="1"/>
      <c r="K484" s="1" t="s">
        <v>336</v>
      </c>
    </row>
    <row r="485" spans="1:11" x14ac:dyDescent="0.25">
      <c r="A485" s="2">
        <v>45901.576157407406</v>
      </c>
      <c r="B485" s="1" t="s">
        <v>351</v>
      </c>
      <c r="C485" s="1" t="s">
        <v>363</v>
      </c>
      <c r="D485" s="1" t="s">
        <v>10</v>
      </c>
      <c r="E485" s="1" t="s">
        <v>11</v>
      </c>
      <c r="F485" s="1" t="s">
        <v>14</v>
      </c>
      <c r="G485">
        <v>0.5</v>
      </c>
      <c r="H485">
        <v>0</v>
      </c>
      <c r="I485">
        <v>0</v>
      </c>
      <c r="J485" s="1" t="s">
        <v>140</v>
      </c>
      <c r="K485" s="1" t="s">
        <v>345</v>
      </c>
    </row>
    <row r="486" spans="1:11" x14ac:dyDescent="0.25">
      <c r="A486" s="2">
        <v>45901.576284722221</v>
      </c>
      <c r="B486" s="1" t="s">
        <v>351</v>
      </c>
      <c r="C486" s="1" t="s">
        <v>363</v>
      </c>
      <c r="D486" s="1" t="s">
        <v>10</v>
      </c>
      <c r="E486" s="1" t="s">
        <v>11</v>
      </c>
      <c r="F486" s="1" t="s">
        <v>14</v>
      </c>
      <c r="G486">
        <v>0.5</v>
      </c>
      <c r="H486">
        <v>0</v>
      </c>
      <c r="I486">
        <v>0</v>
      </c>
      <c r="J486" s="1" t="s">
        <v>141</v>
      </c>
      <c r="K486" s="1" t="s">
        <v>345</v>
      </c>
    </row>
    <row r="487" spans="1:11" x14ac:dyDescent="0.25">
      <c r="A487" s="2">
        <v>45901.60597222222</v>
      </c>
      <c r="B487" s="1" t="s">
        <v>348</v>
      </c>
      <c r="C487" s="1" t="s">
        <v>363</v>
      </c>
      <c r="D487" s="1" t="s">
        <v>10</v>
      </c>
      <c r="E487" s="1" t="s">
        <v>11</v>
      </c>
      <c r="F487" s="1" t="s">
        <v>15</v>
      </c>
      <c r="G487">
        <v>3</v>
      </c>
      <c r="H487">
        <v>0</v>
      </c>
      <c r="I487">
        <v>0</v>
      </c>
      <c r="J487" s="1" t="s">
        <v>142</v>
      </c>
      <c r="K487" s="1" t="s">
        <v>342</v>
      </c>
    </row>
    <row r="488" spans="1:11" x14ac:dyDescent="0.25">
      <c r="A488" s="2">
        <v>45901.630150462966</v>
      </c>
      <c r="B488" s="1" t="s">
        <v>349</v>
      </c>
      <c r="C488" s="1" t="s">
        <v>363</v>
      </c>
      <c r="D488" s="1" t="s">
        <v>10</v>
      </c>
      <c r="E488" s="1" t="s">
        <v>11</v>
      </c>
      <c r="F488" s="1" t="s">
        <v>12</v>
      </c>
      <c r="G488">
        <v>10.5</v>
      </c>
      <c r="H488">
        <v>0</v>
      </c>
      <c r="I488">
        <v>0</v>
      </c>
      <c r="J488" s="1"/>
      <c r="K488" s="1" t="s">
        <v>340</v>
      </c>
    </row>
    <row r="489" spans="1:11" x14ac:dyDescent="0.25">
      <c r="A489" s="2">
        <v>45901.630300925928</v>
      </c>
      <c r="B489" s="1" t="s">
        <v>349</v>
      </c>
      <c r="C489" s="1" t="s">
        <v>363</v>
      </c>
      <c r="D489" s="1" t="s">
        <v>10</v>
      </c>
      <c r="E489" s="1" t="s">
        <v>17</v>
      </c>
      <c r="F489" s="1" t="s">
        <v>12</v>
      </c>
      <c r="G489">
        <v>10.5</v>
      </c>
      <c r="H489">
        <v>0</v>
      </c>
      <c r="I489">
        <v>0</v>
      </c>
      <c r="J489" s="1" t="s">
        <v>143</v>
      </c>
      <c r="K489" s="1" t="s">
        <v>337</v>
      </c>
    </row>
    <row r="490" spans="1:11" x14ac:dyDescent="0.25">
      <c r="A490" s="2">
        <v>45901.630428240744</v>
      </c>
      <c r="B490" s="1" t="s">
        <v>349</v>
      </c>
      <c r="C490" s="1" t="s">
        <v>363</v>
      </c>
      <c r="D490" s="1" t="s">
        <v>10</v>
      </c>
      <c r="E490" s="1" t="s">
        <v>11</v>
      </c>
      <c r="F490" s="1" t="s">
        <v>15</v>
      </c>
      <c r="G490">
        <v>3</v>
      </c>
      <c r="H490">
        <v>0</v>
      </c>
      <c r="I490">
        <v>0</v>
      </c>
      <c r="J490" s="1" t="s">
        <v>144</v>
      </c>
      <c r="K490" s="1" t="s">
        <v>337</v>
      </c>
    </row>
    <row r="491" spans="1:11" x14ac:dyDescent="0.25">
      <c r="A491" s="2">
        <v>45901.639826388891</v>
      </c>
      <c r="B491" s="1" t="s">
        <v>349</v>
      </c>
      <c r="C491" s="1" t="s">
        <v>363</v>
      </c>
      <c r="D491" s="1" t="s">
        <v>10</v>
      </c>
      <c r="E491" s="1" t="s">
        <v>11</v>
      </c>
      <c r="F491" s="1" t="s">
        <v>15</v>
      </c>
      <c r="G491">
        <v>3</v>
      </c>
      <c r="H491">
        <v>0</v>
      </c>
      <c r="I491">
        <v>0</v>
      </c>
      <c r="J491" s="1" t="s">
        <v>145</v>
      </c>
      <c r="K491" s="1" t="s">
        <v>342</v>
      </c>
    </row>
    <row r="492" spans="1:11" x14ac:dyDescent="0.25">
      <c r="A492" s="2">
        <v>45901.639953703707</v>
      </c>
      <c r="B492" s="1" t="s">
        <v>349</v>
      </c>
      <c r="C492" s="1" t="s">
        <v>363</v>
      </c>
      <c r="D492" s="1" t="s">
        <v>10</v>
      </c>
      <c r="E492" s="1" t="s">
        <v>11</v>
      </c>
      <c r="F492" s="1" t="s">
        <v>14</v>
      </c>
      <c r="G492">
        <v>0.5</v>
      </c>
      <c r="H492">
        <v>0</v>
      </c>
      <c r="I492">
        <v>0</v>
      </c>
      <c r="J492" s="1" t="s">
        <v>146</v>
      </c>
      <c r="K492" s="1" t="s">
        <v>342</v>
      </c>
    </row>
    <row r="493" spans="1:11" x14ac:dyDescent="0.25">
      <c r="A493" s="2">
        <v>45901.641481481478</v>
      </c>
      <c r="B493" s="1" t="s">
        <v>349</v>
      </c>
      <c r="C493" s="1" t="s">
        <v>363</v>
      </c>
      <c r="D493" s="1" t="s">
        <v>10</v>
      </c>
      <c r="E493" s="1" t="s">
        <v>11</v>
      </c>
      <c r="F493" s="1" t="s">
        <v>15</v>
      </c>
      <c r="G493">
        <v>3</v>
      </c>
      <c r="H493">
        <v>0</v>
      </c>
      <c r="I493">
        <v>0</v>
      </c>
      <c r="J493" s="1"/>
      <c r="K493" s="1" t="s">
        <v>341</v>
      </c>
    </row>
    <row r="494" spans="1:11" x14ac:dyDescent="0.25">
      <c r="A494" s="2">
        <v>45901.658067129632</v>
      </c>
      <c r="B494" s="1" t="s">
        <v>349</v>
      </c>
      <c r="C494" s="1" t="s">
        <v>363</v>
      </c>
      <c r="D494" s="1" t="s">
        <v>10</v>
      </c>
      <c r="E494" s="1" t="s">
        <v>17</v>
      </c>
      <c r="F494" s="1" t="s">
        <v>15</v>
      </c>
      <c r="G494">
        <v>3</v>
      </c>
      <c r="H494">
        <v>0</v>
      </c>
      <c r="I494">
        <v>0</v>
      </c>
      <c r="J494" s="1"/>
      <c r="K494" s="1" t="s">
        <v>341</v>
      </c>
    </row>
    <row r="495" spans="1:11" x14ac:dyDescent="0.25">
      <c r="A495" s="2">
        <v>45901.658831018518</v>
      </c>
      <c r="B495" s="1" t="s">
        <v>349</v>
      </c>
      <c r="C495" s="1" t="s">
        <v>363</v>
      </c>
      <c r="D495" s="1" t="s">
        <v>10</v>
      </c>
      <c r="E495" s="1" t="s">
        <v>11</v>
      </c>
      <c r="F495" s="1" t="s">
        <v>14</v>
      </c>
      <c r="G495">
        <v>0.5</v>
      </c>
      <c r="H495">
        <v>0</v>
      </c>
      <c r="I495">
        <v>0</v>
      </c>
      <c r="J495" s="1" t="s">
        <v>89</v>
      </c>
      <c r="K495" s="1" t="s">
        <v>342</v>
      </c>
    </row>
    <row r="496" spans="1:11" x14ac:dyDescent="0.25">
      <c r="A496" s="2">
        <v>45901.673067129632</v>
      </c>
      <c r="B496" s="1" t="s">
        <v>353</v>
      </c>
      <c r="C496" s="1" t="s">
        <v>363</v>
      </c>
      <c r="D496" s="1" t="s">
        <v>10</v>
      </c>
      <c r="E496" s="1" t="s">
        <v>11</v>
      </c>
      <c r="F496" s="1" t="s">
        <v>14</v>
      </c>
      <c r="G496">
        <v>0.5</v>
      </c>
      <c r="H496">
        <v>0</v>
      </c>
      <c r="I496">
        <v>0</v>
      </c>
      <c r="J496" s="1"/>
      <c r="K496" s="1" t="s">
        <v>342</v>
      </c>
    </row>
    <row r="497" spans="1:11" x14ac:dyDescent="0.25">
      <c r="A497" s="2">
        <v>45901.673206018517</v>
      </c>
      <c r="B497" s="1" t="s">
        <v>353</v>
      </c>
      <c r="C497" s="1" t="s">
        <v>363</v>
      </c>
      <c r="D497" s="1" t="s">
        <v>10</v>
      </c>
      <c r="E497" s="1" t="s">
        <v>11</v>
      </c>
      <c r="F497" s="1" t="s">
        <v>15</v>
      </c>
      <c r="G497">
        <v>3</v>
      </c>
      <c r="H497">
        <v>0</v>
      </c>
      <c r="I497">
        <v>0</v>
      </c>
      <c r="J497" s="1"/>
      <c r="K497" s="1" t="s">
        <v>343</v>
      </c>
    </row>
    <row r="498" spans="1:11" x14ac:dyDescent="0.25">
      <c r="A498" s="2">
        <v>45901.730567129627</v>
      </c>
      <c r="B498" s="1" t="s">
        <v>355</v>
      </c>
      <c r="C498" s="1" t="s">
        <v>363</v>
      </c>
      <c r="D498" s="1" t="s">
        <v>10</v>
      </c>
      <c r="E498" s="1" t="s">
        <v>11</v>
      </c>
      <c r="F498" s="1" t="s">
        <v>12</v>
      </c>
      <c r="G498">
        <v>10.5</v>
      </c>
      <c r="H498">
        <v>1</v>
      </c>
      <c r="I498">
        <v>0</v>
      </c>
      <c r="J498" s="1" t="s">
        <v>147</v>
      </c>
      <c r="K498" s="1" t="s">
        <v>336</v>
      </c>
    </row>
    <row r="499" spans="1:11" x14ac:dyDescent="0.25">
      <c r="A499" s="2">
        <v>45901.730567129627</v>
      </c>
      <c r="B499" s="1" t="s">
        <v>355</v>
      </c>
      <c r="C499" s="1" t="s">
        <v>363</v>
      </c>
      <c r="D499" s="1" t="s">
        <v>10</v>
      </c>
      <c r="E499" s="1" t="s">
        <v>11</v>
      </c>
      <c r="F499" s="1" t="s">
        <v>12</v>
      </c>
      <c r="G499">
        <v>10.5</v>
      </c>
      <c r="H499">
        <v>1</v>
      </c>
      <c r="I499">
        <v>0</v>
      </c>
      <c r="J499" s="1" t="s">
        <v>147</v>
      </c>
      <c r="K499" s="1" t="s">
        <v>345</v>
      </c>
    </row>
    <row r="500" spans="1:11" x14ac:dyDescent="0.25">
      <c r="A500" s="2">
        <v>45901.73065972222</v>
      </c>
      <c r="B500" s="1" t="s">
        <v>355</v>
      </c>
      <c r="C500" s="1" t="s">
        <v>363</v>
      </c>
      <c r="D500" s="1" t="s">
        <v>10</v>
      </c>
      <c r="E500" s="1" t="s">
        <v>11</v>
      </c>
      <c r="F500" s="1" t="s">
        <v>14</v>
      </c>
      <c r="G500">
        <v>0.5</v>
      </c>
      <c r="H500">
        <v>0</v>
      </c>
      <c r="I500">
        <v>0</v>
      </c>
      <c r="J500" s="1"/>
      <c r="K500" s="1" t="s">
        <v>342</v>
      </c>
    </row>
    <row r="501" spans="1:11" x14ac:dyDescent="0.25">
      <c r="A501" s="2">
        <v>45901.73777777778</v>
      </c>
      <c r="B501" s="1" t="s">
        <v>355</v>
      </c>
      <c r="C501" s="1" t="s">
        <v>363</v>
      </c>
      <c r="D501" s="1" t="s">
        <v>10</v>
      </c>
      <c r="E501" s="1" t="s">
        <v>11</v>
      </c>
      <c r="F501" s="1" t="s">
        <v>14</v>
      </c>
      <c r="G501">
        <v>0.5</v>
      </c>
      <c r="H501">
        <v>0</v>
      </c>
      <c r="I501">
        <v>0</v>
      </c>
      <c r="J501" s="1"/>
      <c r="K501" s="1" t="s">
        <v>343</v>
      </c>
    </row>
    <row r="502" spans="1:11" x14ac:dyDescent="0.25">
      <c r="A502" s="2">
        <v>45902.433657407404</v>
      </c>
      <c r="B502" s="1" t="s">
        <v>347</v>
      </c>
      <c r="C502" s="1" t="s">
        <v>358</v>
      </c>
      <c r="D502" s="1" t="s">
        <v>10</v>
      </c>
      <c r="E502" s="1" t="s">
        <v>11</v>
      </c>
      <c r="F502" s="1" t="s">
        <v>12</v>
      </c>
      <c r="G502">
        <v>10.5</v>
      </c>
      <c r="H502">
        <v>0</v>
      </c>
      <c r="I502">
        <v>0</v>
      </c>
      <c r="J502" s="1"/>
      <c r="K502" s="1" t="s">
        <v>340</v>
      </c>
    </row>
    <row r="503" spans="1:11" x14ac:dyDescent="0.25">
      <c r="A503" s="2">
        <v>45902.44902777778</v>
      </c>
      <c r="B503" s="1" t="s">
        <v>347</v>
      </c>
      <c r="C503" s="1" t="s">
        <v>358</v>
      </c>
      <c r="D503" s="1" t="s">
        <v>10</v>
      </c>
      <c r="E503" s="1" t="s">
        <v>11</v>
      </c>
      <c r="F503" s="1" t="s">
        <v>12</v>
      </c>
      <c r="G503">
        <v>10.5</v>
      </c>
      <c r="H503">
        <v>0</v>
      </c>
      <c r="I503">
        <v>0</v>
      </c>
      <c r="J503" s="1"/>
      <c r="K503" s="1" t="s">
        <v>340</v>
      </c>
    </row>
    <row r="504" spans="1:11" x14ac:dyDescent="0.25">
      <c r="A504" s="2">
        <v>45902.449826388889</v>
      </c>
      <c r="B504" s="1" t="s">
        <v>347</v>
      </c>
      <c r="C504" s="1" t="s">
        <v>358</v>
      </c>
      <c r="D504" s="1" t="s">
        <v>10</v>
      </c>
      <c r="E504" s="1" t="s">
        <v>11</v>
      </c>
      <c r="F504" s="1" t="s">
        <v>12</v>
      </c>
      <c r="G504">
        <v>10.5</v>
      </c>
      <c r="H504">
        <v>0</v>
      </c>
      <c r="I504">
        <v>1</v>
      </c>
      <c r="J504" s="1" t="s">
        <v>148</v>
      </c>
      <c r="K504" s="1" t="s">
        <v>336</v>
      </c>
    </row>
    <row r="505" spans="1:11" x14ac:dyDescent="0.25">
      <c r="A505" s="2">
        <v>45902.451006944444</v>
      </c>
      <c r="B505" s="1" t="s">
        <v>347</v>
      </c>
      <c r="C505" s="1" t="s">
        <v>358</v>
      </c>
      <c r="D505" s="1" t="s">
        <v>10</v>
      </c>
      <c r="E505" s="1" t="s">
        <v>11</v>
      </c>
      <c r="F505" s="1" t="s">
        <v>15</v>
      </c>
      <c r="G505">
        <v>3</v>
      </c>
      <c r="H505">
        <v>0</v>
      </c>
      <c r="I505">
        <v>0</v>
      </c>
      <c r="J505" s="1" t="s">
        <v>149</v>
      </c>
      <c r="K505" s="1" t="s">
        <v>342</v>
      </c>
    </row>
    <row r="506" spans="1:11" x14ac:dyDescent="0.25">
      <c r="A506" s="2">
        <v>45902.578842592593</v>
      </c>
      <c r="B506" s="1" t="s">
        <v>351</v>
      </c>
      <c r="C506" s="1" t="s">
        <v>358</v>
      </c>
      <c r="D506" s="1" t="s">
        <v>10</v>
      </c>
      <c r="E506" s="1" t="s">
        <v>11</v>
      </c>
      <c r="F506" s="1" t="s">
        <v>15</v>
      </c>
      <c r="G506">
        <v>3</v>
      </c>
      <c r="H506">
        <v>0</v>
      </c>
      <c r="I506">
        <v>0</v>
      </c>
      <c r="J506" s="1" t="s">
        <v>150</v>
      </c>
      <c r="K506" s="1" t="s">
        <v>345</v>
      </c>
    </row>
    <row r="507" spans="1:11" x14ac:dyDescent="0.25">
      <c r="A507" s="2">
        <v>45902.622812499998</v>
      </c>
      <c r="B507" s="1" t="s">
        <v>348</v>
      </c>
      <c r="C507" s="1" t="s">
        <v>358</v>
      </c>
      <c r="D507" s="1" t="s">
        <v>10</v>
      </c>
      <c r="E507" s="1" t="s">
        <v>11</v>
      </c>
      <c r="F507" s="1" t="s">
        <v>15</v>
      </c>
      <c r="G507">
        <v>3</v>
      </c>
      <c r="H507">
        <v>1</v>
      </c>
      <c r="I507">
        <v>0</v>
      </c>
      <c r="J507" s="1" t="s">
        <v>25</v>
      </c>
      <c r="K507" s="1" t="s">
        <v>336</v>
      </c>
    </row>
    <row r="508" spans="1:11" x14ac:dyDescent="0.25">
      <c r="A508" s="2">
        <v>45903.416435185187</v>
      </c>
      <c r="B508" s="1" t="s">
        <v>352</v>
      </c>
      <c r="C508" s="1" t="s">
        <v>359</v>
      </c>
      <c r="D508" s="1" t="s">
        <v>10</v>
      </c>
      <c r="E508" s="1" t="s">
        <v>11</v>
      </c>
      <c r="F508" s="1" t="s">
        <v>15</v>
      </c>
      <c r="G508">
        <v>3</v>
      </c>
      <c r="H508">
        <v>1</v>
      </c>
      <c r="I508">
        <v>0</v>
      </c>
      <c r="J508" s="1"/>
      <c r="K508" s="1" t="s">
        <v>336</v>
      </c>
    </row>
    <row r="509" spans="1:11" x14ac:dyDescent="0.25">
      <c r="A509" s="2">
        <v>45903.445428240739</v>
      </c>
      <c r="B509" s="1" t="s">
        <v>347</v>
      </c>
      <c r="C509" s="1" t="s">
        <v>359</v>
      </c>
      <c r="D509" s="1" t="s">
        <v>10</v>
      </c>
      <c r="E509" s="1" t="s">
        <v>11</v>
      </c>
      <c r="F509" s="1" t="s">
        <v>12</v>
      </c>
      <c r="G509">
        <v>10.5</v>
      </c>
      <c r="H509">
        <v>0</v>
      </c>
      <c r="I509">
        <v>0</v>
      </c>
      <c r="J509" s="1" t="s">
        <v>151</v>
      </c>
      <c r="K509" s="1" t="s">
        <v>340</v>
      </c>
    </row>
    <row r="510" spans="1:11" x14ac:dyDescent="0.25">
      <c r="A510" s="2">
        <v>45903.460636574076</v>
      </c>
      <c r="B510" s="1" t="s">
        <v>354</v>
      </c>
      <c r="C510" s="1" t="s">
        <v>359</v>
      </c>
      <c r="D510" s="1" t="s">
        <v>10</v>
      </c>
      <c r="E510" s="1" t="s">
        <v>11</v>
      </c>
      <c r="F510" s="1" t="s">
        <v>15</v>
      </c>
      <c r="G510">
        <v>3</v>
      </c>
      <c r="H510">
        <v>0</v>
      </c>
      <c r="I510">
        <v>0</v>
      </c>
      <c r="J510" s="1"/>
      <c r="K510" s="1" t="s">
        <v>336</v>
      </c>
    </row>
    <row r="511" spans="1:11" x14ac:dyDescent="0.25">
      <c r="A511" s="2">
        <v>45903.505648148152</v>
      </c>
      <c r="B511" s="1" t="s">
        <v>350</v>
      </c>
      <c r="C511" s="1" t="s">
        <v>359</v>
      </c>
      <c r="D511" s="1" t="s">
        <v>10</v>
      </c>
      <c r="E511" s="1" t="s">
        <v>11</v>
      </c>
      <c r="F511" s="1" t="s">
        <v>15</v>
      </c>
      <c r="G511">
        <v>3</v>
      </c>
      <c r="H511">
        <v>0</v>
      </c>
      <c r="I511">
        <v>0</v>
      </c>
      <c r="J511" s="1"/>
      <c r="K511" s="1" t="s">
        <v>342</v>
      </c>
    </row>
    <row r="512" spans="1:11" x14ac:dyDescent="0.25">
      <c r="A512" s="2">
        <v>45903.506076388891</v>
      </c>
      <c r="B512" s="1" t="s">
        <v>350</v>
      </c>
      <c r="C512" s="1" t="s">
        <v>359</v>
      </c>
      <c r="D512" s="1" t="s">
        <v>10</v>
      </c>
      <c r="E512" s="1" t="s">
        <v>11</v>
      </c>
      <c r="F512" s="1" t="s">
        <v>14</v>
      </c>
      <c r="G512">
        <v>0.5</v>
      </c>
      <c r="H512">
        <v>0</v>
      </c>
      <c r="I512">
        <v>0</v>
      </c>
      <c r="J512" s="1"/>
      <c r="K512" s="1" t="s">
        <v>337</v>
      </c>
    </row>
    <row r="513" spans="1:11" x14ac:dyDescent="0.25">
      <c r="A513" s="2">
        <v>45903.54105324074</v>
      </c>
      <c r="B513" s="1" t="s">
        <v>350</v>
      </c>
      <c r="C513" s="1" t="s">
        <v>359</v>
      </c>
      <c r="D513" s="1" t="s">
        <v>10</v>
      </c>
      <c r="E513" s="1" t="s">
        <v>11</v>
      </c>
      <c r="F513" s="1" t="s">
        <v>14</v>
      </c>
      <c r="G513">
        <v>0.5</v>
      </c>
      <c r="H513">
        <v>0</v>
      </c>
      <c r="I513">
        <v>0</v>
      </c>
      <c r="J513" s="1"/>
      <c r="K513" s="1" t="s">
        <v>344</v>
      </c>
    </row>
    <row r="514" spans="1:11" x14ac:dyDescent="0.25">
      <c r="A514" s="2">
        <v>45903.541296296295</v>
      </c>
      <c r="B514" s="1" t="s">
        <v>350</v>
      </c>
      <c r="C514" s="1" t="s">
        <v>359</v>
      </c>
      <c r="D514" s="1" t="s">
        <v>10</v>
      </c>
      <c r="E514" s="1" t="s">
        <v>11</v>
      </c>
      <c r="F514" s="1" t="s">
        <v>14</v>
      </c>
      <c r="G514">
        <v>0.5</v>
      </c>
      <c r="H514">
        <v>0</v>
      </c>
      <c r="I514">
        <v>0</v>
      </c>
      <c r="J514" s="1"/>
      <c r="K514" s="1" t="s">
        <v>344</v>
      </c>
    </row>
    <row r="515" spans="1:11" x14ac:dyDescent="0.25">
      <c r="A515" s="2">
        <v>45903.749756944446</v>
      </c>
      <c r="B515" s="1" t="s">
        <v>355</v>
      </c>
      <c r="C515" s="1" t="s">
        <v>359</v>
      </c>
      <c r="D515" s="1" t="s">
        <v>10</v>
      </c>
      <c r="E515" s="1" t="s">
        <v>11</v>
      </c>
      <c r="F515" s="1" t="s">
        <v>15</v>
      </c>
      <c r="G515">
        <v>3</v>
      </c>
      <c r="H515">
        <v>0</v>
      </c>
      <c r="I515">
        <v>0</v>
      </c>
      <c r="J515" s="1"/>
      <c r="K515" s="1" t="s">
        <v>343</v>
      </c>
    </row>
    <row r="516" spans="1:11" x14ac:dyDescent="0.25">
      <c r="A516" s="2">
        <v>45903.75</v>
      </c>
      <c r="B516" s="1" t="s">
        <v>355</v>
      </c>
      <c r="C516" s="1" t="s">
        <v>359</v>
      </c>
      <c r="D516" s="1" t="s">
        <v>10</v>
      </c>
      <c r="E516" s="1" t="s">
        <v>11</v>
      </c>
      <c r="F516" s="1" t="s">
        <v>15</v>
      </c>
      <c r="G516">
        <v>3</v>
      </c>
      <c r="H516">
        <v>0</v>
      </c>
      <c r="I516">
        <v>0</v>
      </c>
      <c r="J516" s="1"/>
      <c r="K516" s="1" t="s">
        <v>336</v>
      </c>
    </row>
    <row r="517" spans="1:11" x14ac:dyDescent="0.25">
      <c r="A517" s="2">
        <v>45903.750219907408</v>
      </c>
      <c r="B517" s="1" t="s">
        <v>355</v>
      </c>
      <c r="C517" s="1" t="s">
        <v>359</v>
      </c>
      <c r="D517" s="1" t="s">
        <v>10</v>
      </c>
      <c r="E517" s="1" t="s">
        <v>11</v>
      </c>
      <c r="F517" s="1" t="s">
        <v>14</v>
      </c>
      <c r="G517">
        <v>0.5</v>
      </c>
      <c r="H517">
        <v>0</v>
      </c>
      <c r="I517">
        <v>0</v>
      </c>
      <c r="J517" s="1"/>
      <c r="K517" s="1" t="s">
        <v>343</v>
      </c>
    </row>
    <row r="518" spans="1:11" x14ac:dyDescent="0.25">
      <c r="A518" s="2">
        <v>45904.382199074076</v>
      </c>
      <c r="B518" s="1" t="s">
        <v>352</v>
      </c>
      <c r="C518" s="1" t="s">
        <v>360</v>
      </c>
      <c r="D518" s="1" t="s">
        <v>20</v>
      </c>
      <c r="E518" s="1" t="s">
        <v>11</v>
      </c>
      <c r="F518" s="1" t="s">
        <v>15</v>
      </c>
      <c r="G518">
        <v>3</v>
      </c>
      <c r="H518">
        <v>0</v>
      </c>
      <c r="I518">
        <v>0</v>
      </c>
      <c r="J518" s="1" t="s">
        <v>152</v>
      </c>
      <c r="K518" s="1" t="s">
        <v>345</v>
      </c>
    </row>
    <row r="519" spans="1:11" x14ac:dyDescent="0.25">
      <c r="A519" s="2">
        <v>45904.383518518516</v>
      </c>
      <c r="B519" s="1" t="s">
        <v>352</v>
      </c>
      <c r="C519" s="1" t="s">
        <v>360</v>
      </c>
      <c r="D519" s="1" t="s">
        <v>10</v>
      </c>
      <c r="E519" s="1" t="s">
        <v>11</v>
      </c>
      <c r="F519" s="1" t="s">
        <v>14</v>
      </c>
      <c r="G519">
        <v>0.5</v>
      </c>
      <c r="H519">
        <v>0</v>
      </c>
      <c r="I519">
        <v>0</v>
      </c>
      <c r="J519" s="1"/>
      <c r="K519" s="1" t="s">
        <v>344</v>
      </c>
    </row>
    <row r="520" spans="1:11" x14ac:dyDescent="0.25">
      <c r="A520" s="2">
        <v>45904.407106481478</v>
      </c>
      <c r="B520" s="1" t="s">
        <v>352</v>
      </c>
      <c r="C520" s="1" t="s">
        <v>360</v>
      </c>
      <c r="D520" s="1" t="s">
        <v>20</v>
      </c>
      <c r="E520" s="1" t="s">
        <v>11</v>
      </c>
      <c r="F520" s="1" t="s">
        <v>15</v>
      </c>
      <c r="G520">
        <v>3</v>
      </c>
      <c r="H520">
        <v>0</v>
      </c>
      <c r="I520">
        <v>0</v>
      </c>
      <c r="J520" s="1" t="s">
        <v>153</v>
      </c>
      <c r="K520" s="1" t="s">
        <v>345</v>
      </c>
    </row>
    <row r="521" spans="1:11" x14ac:dyDescent="0.25">
      <c r="A521" s="2">
        <v>45904.407453703701</v>
      </c>
      <c r="B521" s="1" t="s">
        <v>352</v>
      </c>
      <c r="C521" s="1" t="s">
        <v>360</v>
      </c>
      <c r="D521" s="1" t="s">
        <v>10</v>
      </c>
      <c r="E521" s="1" t="s">
        <v>11</v>
      </c>
      <c r="F521" s="1" t="s">
        <v>14</v>
      </c>
      <c r="G521">
        <v>0.5</v>
      </c>
      <c r="H521">
        <v>0</v>
      </c>
      <c r="I521">
        <v>0</v>
      </c>
      <c r="J521" s="1"/>
      <c r="K521" s="1" t="s">
        <v>336</v>
      </c>
    </row>
    <row r="522" spans="1:11" x14ac:dyDescent="0.25">
      <c r="A522" s="2">
        <v>45904.54142361111</v>
      </c>
      <c r="B522" s="1" t="s">
        <v>350</v>
      </c>
      <c r="C522" s="1" t="s">
        <v>360</v>
      </c>
      <c r="D522" s="1" t="s">
        <v>10</v>
      </c>
      <c r="E522" s="1" t="s">
        <v>11</v>
      </c>
      <c r="F522" s="1" t="s">
        <v>15</v>
      </c>
      <c r="G522">
        <v>3</v>
      </c>
      <c r="H522">
        <v>0</v>
      </c>
      <c r="I522">
        <v>0</v>
      </c>
      <c r="J522" s="1"/>
      <c r="K522" s="1" t="s">
        <v>341</v>
      </c>
    </row>
    <row r="523" spans="1:11" x14ac:dyDescent="0.25">
      <c r="A523" s="2">
        <v>45905.585416666669</v>
      </c>
      <c r="B523" s="1" t="s">
        <v>348</v>
      </c>
      <c r="C523" s="1" t="s">
        <v>361</v>
      </c>
      <c r="D523" s="1" t="s">
        <v>10</v>
      </c>
      <c r="E523" s="1" t="s">
        <v>11</v>
      </c>
      <c r="F523" s="1" t="s">
        <v>15</v>
      </c>
      <c r="G523">
        <v>3</v>
      </c>
      <c r="H523">
        <v>0</v>
      </c>
      <c r="I523">
        <v>0</v>
      </c>
      <c r="J523" s="1"/>
      <c r="K523" s="1" t="s">
        <v>341</v>
      </c>
    </row>
    <row r="524" spans="1:11" x14ac:dyDescent="0.25">
      <c r="A524" s="2">
        <v>45905.58834490741</v>
      </c>
      <c r="B524" s="1" t="s">
        <v>348</v>
      </c>
      <c r="C524" s="1" t="s">
        <v>361</v>
      </c>
      <c r="D524" s="1" t="s">
        <v>10</v>
      </c>
      <c r="E524" s="1" t="s">
        <v>11</v>
      </c>
      <c r="F524" s="1" t="s">
        <v>14</v>
      </c>
      <c r="G524">
        <v>0.5</v>
      </c>
      <c r="H524">
        <v>0</v>
      </c>
      <c r="I524">
        <v>0</v>
      </c>
      <c r="J524" s="1" t="s">
        <v>132</v>
      </c>
      <c r="K524" s="1" t="s">
        <v>344</v>
      </c>
    </row>
    <row r="525" spans="1:11" x14ac:dyDescent="0.25">
      <c r="A525" s="2">
        <v>45905.58865740741</v>
      </c>
      <c r="B525" s="1" t="s">
        <v>348</v>
      </c>
      <c r="C525" s="1" t="s">
        <v>361</v>
      </c>
      <c r="D525" s="1" t="s">
        <v>10</v>
      </c>
      <c r="E525" s="1" t="s">
        <v>11</v>
      </c>
      <c r="F525" s="1" t="s">
        <v>15</v>
      </c>
      <c r="G525">
        <v>3</v>
      </c>
      <c r="H525">
        <v>0</v>
      </c>
      <c r="I525">
        <v>0</v>
      </c>
      <c r="J525" s="1" t="s">
        <v>154</v>
      </c>
      <c r="K525" s="1" t="s">
        <v>342</v>
      </c>
    </row>
    <row r="526" spans="1:11" x14ac:dyDescent="0.25">
      <c r="A526" s="2">
        <v>45905.625358796293</v>
      </c>
      <c r="B526" s="1" t="s">
        <v>349</v>
      </c>
      <c r="C526" s="1" t="s">
        <v>361</v>
      </c>
      <c r="D526" s="1" t="s">
        <v>10</v>
      </c>
      <c r="E526" s="1" t="s">
        <v>11</v>
      </c>
      <c r="F526" s="1" t="s">
        <v>15</v>
      </c>
      <c r="G526">
        <v>3</v>
      </c>
      <c r="H526">
        <v>0</v>
      </c>
      <c r="I526">
        <v>0</v>
      </c>
      <c r="J526" s="1" t="s">
        <v>155</v>
      </c>
      <c r="K526" s="1" t="s">
        <v>343</v>
      </c>
    </row>
    <row r="527" spans="1:11" x14ac:dyDescent="0.25">
      <c r="A527" s="2">
        <v>45905.625613425924</v>
      </c>
      <c r="B527" s="1" t="s">
        <v>349</v>
      </c>
      <c r="C527" s="1" t="s">
        <v>361</v>
      </c>
      <c r="D527" s="1" t="s">
        <v>10</v>
      </c>
      <c r="E527" s="1" t="s">
        <v>17</v>
      </c>
      <c r="F527" s="1" t="s">
        <v>15</v>
      </c>
      <c r="G527">
        <v>3</v>
      </c>
      <c r="H527">
        <v>0</v>
      </c>
      <c r="I527">
        <v>0</v>
      </c>
      <c r="J527" s="1" t="s">
        <v>156</v>
      </c>
      <c r="K527" s="1" t="s">
        <v>343</v>
      </c>
    </row>
    <row r="528" spans="1:11" x14ac:dyDescent="0.25">
      <c r="A528" s="2">
        <v>45905.625856481478</v>
      </c>
      <c r="B528" s="1" t="s">
        <v>349</v>
      </c>
      <c r="C528" s="1" t="s">
        <v>361</v>
      </c>
      <c r="D528" s="1" t="s">
        <v>10</v>
      </c>
      <c r="E528" s="1" t="s">
        <v>17</v>
      </c>
      <c r="F528" s="1" t="s">
        <v>15</v>
      </c>
      <c r="G528">
        <v>3</v>
      </c>
      <c r="H528">
        <v>0</v>
      </c>
      <c r="I528">
        <v>0</v>
      </c>
      <c r="J528" s="1" t="s">
        <v>156</v>
      </c>
      <c r="K528" s="1" t="s">
        <v>343</v>
      </c>
    </row>
    <row r="529" spans="1:11" x14ac:dyDescent="0.25">
      <c r="A529" s="2">
        <v>45905.666956018518</v>
      </c>
      <c r="B529" s="1" t="s">
        <v>353</v>
      </c>
      <c r="C529" s="1" t="s">
        <v>361</v>
      </c>
      <c r="D529" s="1" t="s">
        <v>20</v>
      </c>
      <c r="E529" s="1" t="s">
        <v>11</v>
      </c>
      <c r="F529" s="1" t="s">
        <v>15</v>
      </c>
      <c r="G529">
        <v>3</v>
      </c>
      <c r="H529">
        <v>0</v>
      </c>
      <c r="I529">
        <v>0</v>
      </c>
      <c r="J529" s="1" t="s">
        <v>157</v>
      </c>
      <c r="K529" s="1" t="s">
        <v>345</v>
      </c>
    </row>
    <row r="530" spans="1:11" x14ac:dyDescent="0.25">
      <c r="A530" s="2">
        <v>45905.754837962966</v>
      </c>
      <c r="B530" s="1" t="s">
        <v>355</v>
      </c>
      <c r="C530" s="1" t="s">
        <v>361</v>
      </c>
      <c r="D530" s="1" t="s">
        <v>10</v>
      </c>
      <c r="E530" s="1" t="s">
        <v>11</v>
      </c>
      <c r="F530" s="1" t="s">
        <v>15</v>
      </c>
      <c r="G530">
        <v>3</v>
      </c>
      <c r="H530">
        <v>0</v>
      </c>
      <c r="I530">
        <v>0</v>
      </c>
      <c r="J530" s="1"/>
      <c r="K530" s="1" t="s">
        <v>342</v>
      </c>
    </row>
    <row r="531" spans="1:11" x14ac:dyDescent="0.25">
      <c r="A531" s="2">
        <v>45905.754953703705</v>
      </c>
      <c r="B531" s="1" t="s">
        <v>355</v>
      </c>
      <c r="C531" s="1" t="s">
        <v>361</v>
      </c>
      <c r="D531" s="1" t="s">
        <v>10</v>
      </c>
      <c r="E531" s="1" t="s">
        <v>11</v>
      </c>
      <c r="F531" s="1" t="s">
        <v>15</v>
      </c>
      <c r="G531">
        <v>3</v>
      </c>
      <c r="H531">
        <v>0</v>
      </c>
      <c r="I531">
        <v>0</v>
      </c>
      <c r="J531" s="1"/>
      <c r="K531" s="1" t="s">
        <v>342</v>
      </c>
    </row>
    <row r="532" spans="1:11" x14ac:dyDescent="0.25">
      <c r="A532" s="2">
        <v>45905.755046296297</v>
      </c>
      <c r="B532" s="1" t="s">
        <v>355</v>
      </c>
      <c r="C532" s="1" t="s">
        <v>361</v>
      </c>
      <c r="D532" s="1" t="s">
        <v>10</v>
      </c>
      <c r="E532" s="1" t="s">
        <v>11</v>
      </c>
      <c r="F532" s="1" t="s">
        <v>14</v>
      </c>
      <c r="G532">
        <v>0.5</v>
      </c>
      <c r="H532">
        <v>0</v>
      </c>
      <c r="I532">
        <v>0</v>
      </c>
      <c r="J532" s="1"/>
      <c r="K532" s="1" t="s">
        <v>344</v>
      </c>
    </row>
    <row r="533" spans="1:11" x14ac:dyDescent="0.25">
      <c r="A533" s="2">
        <v>45905.755127314813</v>
      </c>
      <c r="B533" s="1" t="s">
        <v>355</v>
      </c>
      <c r="C533" s="1" t="s">
        <v>361</v>
      </c>
      <c r="D533" s="1" t="s">
        <v>10</v>
      </c>
      <c r="E533" s="1" t="s">
        <v>11</v>
      </c>
      <c r="F533" s="1" t="s">
        <v>14</v>
      </c>
      <c r="G533">
        <v>0.5</v>
      </c>
      <c r="H533">
        <v>0</v>
      </c>
      <c r="I533">
        <v>0</v>
      </c>
      <c r="J533" s="1"/>
      <c r="K533" s="1" t="s">
        <v>343</v>
      </c>
    </row>
    <row r="534" spans="1:11" x14ac:dyDescent="0.25">
      <c r="A534" s="2">
        <v>45905.755243055559</v>
      </c>
      <c r="B534" s="1" t="s">
        <v>355</v>
      </c>
      <c r="C534" s="1" t="s">
        <v>361</v>
      </c>
      <c r="D534" s="1" t="s">
        <v>10</v>
      </c>
      <c r="E534" s="1" t="s">
        <v>11</v>
      </c>
      <c r="F534" s="1" t="s">
        <v>15</v>
      </c>
      <c r="G534">
        <v>3</v>
      </c>
      <c r="H534">
        <v>1</v>
      </c>
      <c r="I534">
        <v>0</v>
      </c>
      <c r="J534" s="1"/>
      <c r="K534" s="1" t="s">
        <v>336</v>
      </c>
    </row>
    <row r="535" spans="1:11" x14ac:dyDescent="0.25">
      <c r="A535" s="2">
        <v>45905.755370370367</v>
      </c>
      <c r="B535" s="1" t="s">
        <v>355</v>
      </c>
      <c r="C535" s="1" t="s">
        <v>361</v>
      </c>
      <c r="D535" s="1" t="s">
        <v>10</v>
      </c>
      <c r="E535" s="1" t="s">
        <v>11</v>
      </c>
      <c r="F535" s="1" t="s">
        <v>15</v>
      </c>
      <c r="G535">
        <v>3</v>
      </c>
      <c r="H535">
        <v>0</v>
      </c>
      <c r="I535">
        <v>0</v>
      </c>
      <c r="J535" s="1"/>
      <c r="K535" s="1" t="s">
        <v>341</v>
      </c>
    </row>
    <row r="536" spans="1:11" x14ac:dyDescent="0.25">
      <c r="A536" s="2">
        <v>45906.407893518517</v>
      </c>
      <c r="B536" s="1" t="s">
        <v>352</v>
      </c>
      <c r="C536" s="1" t="s">
        <v>362</v>
      </c>
      <c r="D536" s="1" t="s">
        <v>10</v>
      </c>
      <c r="E536" s="1" t="s">
        <v>11</v>
      </c>
      <c r="F536" s="1" t="s">
        <v>14</v>
      </c>
      <c r="G536">
        <v>0.5</v>
      </c>
      <c r="H536">
        <v>0</v>
      </c>
      <c r="I536">
        <v>0</v>
      </c>
      <c r="J536" s="1"/>
      <c r="K536" s="1" t="s">
        <v>344</v>
      </c>
    </row>
    <row r="537" spans="1:11" x14ac:dyDescent="0.25">
      <c r="A537" s="2">
        <v>45906.408148148148</v>
      </c>
      <c r="B537" s="1" t="s">
        <v>352</v>
      </c>
      <c r="C537" s="1" t="s">
        <v>362</v>
      </c>
      <c r="D537" s="1" t="s">
        <v>10</v>
      </c>
      <c r="E537" s="1" t="s">
        <v>17</v>
      </c>
      <c r="F537" s="1" t="s">
        <v>14</v>
      </c>
      <c r="G537">
        <v>0.5</v>
      </c>
      <c r="H537">
        <v>0</v>
      </c>
      <c r="I537">
        <v>0</v>
      </c>
      <c r="J537" s="1"/>
      <c r="K537" s="1" t="s">
        <v>344</v>
      </c>
    </row>
    <row r="538" spans="1:11" x14ac:dyDescent="0.25">
      <c r="A538" s="2">
        <v>45906.452361111114</v>
      </c>
      <c r="B538" s="1" t="s">
        <v>347</v>
      </c>
      <c r="C538" s="1" t="s">
        <v>362</v>
      </c>
      <c r="D538" s="1" t="s">
        <v>10</v>
      </c>
      <c r="E538" s="1" t="s">
        <v>11</v>
      </c>
      <c r="F538" s="1" t="s">
        <v>15</v>
      </c>
      <c r="G538">
        <v>3</v>
      </c>
      <c r="H538">
        <v>0</v>
      </c>
      <c r="I538">
        <v>0</v>
      </c>
      <c r="J538" s="1"/>
      <c r="K538" s="1" t="s">
        <v>342</v>
      </c>
    </row>
    <row r="539" spans="1:11" x14ac:dyDescent="0.25">
      <c r="A539" s="2">
        <v>45906.452604166669</v>
      </c>
      <c r="B539" s="1" t="s">
        <v>347</v>
      </c>
      <c r="C539" s="1" t="s">
        <v>362</v>
      </c>
      <c r="D539" s="1" t="s">
        <v>10</v>
      </c>
      <c r="E539" s="1" t="s">
        <v>17</v>
      </c>
      <c r="F539" s="1" t="s">
        <v>12</v>
      </c>
      <c r="G539">
        <v>10.5</v>
      </c>
      <c r="H539">
        <v>0</v>
      </c>
      <c r="I539">
        <v>0</v>
      </c>
      <c r="J539" s="1"/>
      <c r="K539" s="1" t="s">
        <v>342</v>
      </c>
    </row>
    <row r="540" spans="1:11" x14ac:dyDescent="0.25">
      <c r="A540" s="2">
        <v>45906.476111111115</v>
      </c>
      <c r="B540" s="1" t="s">
        <v>354</v>
      </c>
      <c r="C540" s="1" t="s">
        <v>362</v>
      </c>
      <c r="D540" s="1" t="s">
        <v>10</v>
      </c>
      <c r="E540" s="1" t="s">
        <v>11</v>
      </c>
      <c r="F540" s="1" t="s">
        <v>14</v>
      </c>
      <c r="G540">
        <v>0.5</v>
      </c>
      <c r="H540">
        <v>0</v>
      </c>
      <c r="I540">
        <v>0</v>
      </c>
      <c r="J540" s="1"/>
      <c r="K540" s="1" t="s">
        <v>343</v>
      </c>
    </row>
    <row r="541" spans="1:11" x14ac:dyDescent="0.25">
      <c r="A541" s="2">
        <v>45908.420439814814</v>
      </c>
      <c r="B541" s="1" t="s">
        <v>347</v>
      </c>
      <c r="C541" s="1" t="s">
        <v>363</v>
      </c>
      <c r="D541" s="1" t="s">
        <v>10</v>
      </c>
      <c r="E541" s="1" t="s">
        <v>11</v>
      </c>
      <c r="F541" s="1" t="s">
        <v>15</v>
      </c>
      <c r="G541">
        <v>3</v>
      </c>
      <c r="H541">
        <v>1</v>
      </c>
      <c r="I541">
        <v>0</v>
      </c>
      <c r="J541" s="1"/>
      <c r="K541" s="1" t="s">
        <v>336</v>
      </c>
    </row>
    <row r="542" spans="1:11" x14ac:dyDescent="0.25">
      <c r="A542" s="2">
        <v>45908.420439814814</v>
      </c>
      <c r="B542" s="1" t="s">
        <v>347</v>
      </c>
      <c r="C542" s="1" t="s">
        <v>363</v>
      </c>
      <c r="D542" s="1" t="s">
        <v>10</v>
      </c>
      <c r="E542" s="1" t="s">
        <v>11</v>
      </c>
      <c r="F542" s="1" t="s">
        <v>15</v>
      </c>
      <c r="G542">
        <v>3</v>
      </c>
      <c r="H542">
        <v>1</v>
      </c>
      <c r="I542">
        <v>0</v>
      </c>
      <c r="J542" s="1"/>
      <c r="K542" s="1" t="s">
        <v>106</v>
      </c>
    </row>
    <row r="543" spans="1:11" x14ac:dyDescent="0.25">
      <c r="A543" s="2">
        <v>45908.43478009259</v>
      </c>
      <c r="B543" s="1" t="s">
        <v>347</v>
      </c>
      <c r="C543" s="1" t="s">
        <v>363</v>
      </c>
      <c r="D543" s="1" t="s">
        <v>10</v>
      </c>
      <c r="E543" s="1" t="s">
        <v>11</v>
      </c>
      <c r="F543" s="1" t="s">
        <v>15</v>
      </c>
      <c r="G543">
        <v>3</v>
      </c>
      <c r="H543">
        <v>0</v>
      </c>
      <c r="I543">
        <v>0</v>
      </c>
      <c r="J543" s="1"/>
      <c r="K543" s="1" t="s">
        <v>341</v>
      </c>
    </row>
    <row r="544" spans="1:11" x14ac:dyDescent="0.25">
      <c r="A544" s="2">
        <v>45908.481446759259</v>
      </c>
      <c r="B544" s="1" t="s">
        <v>354</v>
      </c>
      <c r="C544" s="1" t="s">
        <v>363</v>
      </c>
      <c r="D544" s="1" t="s">
        <v>10</v>
      </c>
      <c r="E544" s="1" t="s">
        <v>11</v>
      </c>
      <c r="F544" s="1" t="s">
        <v>15</v>
      </c>
      <c r="G544">
        <v>3</v>
      </c>
      <c r="H544">
        <v>1</v>
      </c>
      <c r="I544">
        <v>0</v>
      </c>
      <c r="J544" s="1"/>
      <c r="K544" s="1" t="s">
        <v>336</v>
      </c>
    </row>
    <row r="545" spans="1:11" x14ac:dyDescent="0.25">
      <c r="A545" s="2">
        <v>45908.481446759259</v>
      </c>
      <c r="B545" s="1" t="s">
        <v>354</v>
      </c>
      <c r="C545" s="1" t="s">
        <v>363</v>
      </c>
      <c r="D545" s="1" t="s">
        <v>10</v>
      </c>
      <c r="E545" s="1" t="s">
        <v>11</v>
      </c>
      <c r="F545" s="1" t="s">
        <v>15</v>
      </c>
      <c r="G545">
        <v>3</v>
      </c>
      <c r="H545">
        <v>1</v>
      </c>
      <c r="I545">
        <v>0</v>
      </c>
      <c r="J545" s="1"/>
      <c r="K545" s="1" t="s">
        <v>106</v>
      </c>
    </row>
    <row r="546" spans="1:11" x14ac:dyDescent="0.25">
      <c r="A546" s="2">
        <v>45908.518912037034</v>
      </c>
      <c r="B546" s="1" t="s">
        <v>350</v>
      </c>
      <c r="C546" s="1" t="s">
        <v>363</v>
      </c>
      <c r="D546" s="1" t="s">
        <v>10</v>
      </c>
      <c r="E546" s="1" t="s">
        <v>11</v>
      </c>
      <c r="F546" s="1" t="s">
        <v>12</v>
      </c>
      <c r="G546">
        <v>10.5</v>
      </c>
      <c r="H546">
        <v>0</v>
      </c>
      <c r="I546">
        <v>0</v>
      </c>
      <c r="J546" s="1"/>
      <c r="K546" s="1" t="s">
        <v>340</v>
      </c>
    </row>
    <row r="547" spans="1:11" x14ac:dyDescent="0.25">
      <c r="A547" s="2">
        <v>45908.549664351849</v>
      </c>
      <c r="B547" s="1" t="s">
        <v>351</v>
      </c>
      <c r="C547" s="1" t="s">
        <v>363</v>
      </c>
      <c r="D547" s="1" t="s">
        <v>10</v>
      </c>
      <c r="E547" s="1" t="s">
        <v>11</v>
      </c>
      <c r="F547" s="1" t="s">
        <v>14</v>
      </c>
      <c r="G547">
        <v>0.5</v>
      </c>
      <c r="H547">
        <v>0</v>
      </c>
      <c r="I547">
        <v>0</v>
      </c>
      <c r="J547" s="1"/>
      <c r="K547" s="1" t="s">
        <v>342</v>
      </c>
    </row>
    <row r="548" spans="1:11" x14ac:dyDescent="0.25">
      <c r="A548" s="2">
        <v>45908.550497685188</v>
      </c>
      <c r="B548" s="1" t="s">
        <v>351</v>
      </c>
      <c r="C548" s="1" t="s">
        <v>363</v>
      </c>
      <c r="D548" s="1" t="s">
        <v>10</v>
      </c>
      <c r="E548" s="1" t="s">
        <v>11</v>
      </c>
      <c r="F548" s="1" t="s">
        <v>18</v>
      </c>
      <c r="G548">
        <v>20</v>
      </c>
      <c r="H548">
        <v>0</v>
      </c>
      <c r="I548">
        <v>0</v>
      </c>
      <c r="J548" s="1"/>
      <c r="K548" s="1" t="s">
        <v>342</v>
      </c>
    </row>
    <row r="549" spans="1:11" x14ac:dyDescent="0.25">
      <c r="A549" s="2">
        <v>45908.56318287037</v>
      </c>
      <c r="B549" s="1" t="s">
        <v>351</v>
      </c>
      <c r="C549" s="1" t="s">
        <v>363</v>
      </c>
      <c r="D549" s="1" t="s">
        <v>10</v>
      </c>
      <c r="E549" s="1" t="s">
        <v>11</v>
      </c>
      <c r="F549" s="1" t="s">
        <v>14</v>
      </c>
      <c r="G549">
        <v>0.5</v>
      </c>
      <c r="H549">
        <v>0</v>
      </c>
      <c r="I549">
        <v>0</v>
      </c>
      <c r="J549" s="1" t="s">
        <v>158</v>
      </c>
      <c r="K549" s="1" t="s">
        <v>342</v>
      </c>
    </row>
    <row r="550" spans="1:11" x14ac:dyDescent="0.25">
      <c r="A550" s="2">
        <v>45908.563298611109</v>
      </c>
      <c r="B550" s="1" t="s">
        <v>351</v>
      </c>
      <c r="C550" s="1" t="s">
        <v>363</v>
      </c>
      <c r="D550" s="1" t="s">
        <v>10</v>
      </c>
      <c r="E550" s="1" t="s">
        <v>11</v>
      </c>
      <c r="F550" s="1" t="s">
        <v>14</v>
      </c>
      <c r="G550">
        <v>0.5</v>
      </c>
      <c r="H550">
        <v>0</v>
      </c>
      <c r="I550">
        <v>0</v>
      </c>
      <c r="J550" s="1" t="s">
        <v>159</v>
      </c>
      <c r="K550" s="1" t="s">
        <v>344</v>
      </c>
    </row>
    <row r="551" spans="1:11" x14ac:dyDescent="0.25">
      <c r="A551" s="2">
        <v>45908.568645833337</v>
      </c>
      <c r="B551" s="1" t="s">
        <v>351</v>
      </c>
      <c r="C551" s="1" t="s">
        <v>363</v>
      </c>
      <c r="D551" s="1" t="s">
        <v>10</v>
      </c>
      <c r="E551" s="1" t="s">
        <v>11</v>
      </c>
      <c r="F551" s="1" t="s">
        <v>15</v>
      </c>
      <c r="G551">
        <v>3</v>
      </c>
      <c r="H551">
        <v>0</v>
      </c>
      <c r="I551">
        <v>0</v>
      </c>
      <c r="J551" s="1" t="s">
        <v>160</v>
      </c>
      <c r="K551" s="1" t="s">
        <v>337</v>
      </c>
    </row>
    <row r="552" spans="1:11" x14ac:dyDescent="0.25">
      <c r="A552" s="2">
        <v>45908.609432870369</v>
      </c>
      <c r="B552" s="1" t="s">
        <v>348</v>
      </c>
      <c r="C552" s="1" t="s">
        <v>363</v>
      </c>
      <c r="D552" s="1" t="s">
        <v>10</v>
      </c>
      <c r="E552" s="1" t="s">
        <v>17</v>
      </c>
      <c r="F552" s="1" t="s">
        <v>14</v>
      </c>
      <c r="G552">
        <v>0.5</v>
      </c>
      <c r="H552">
        <v>0</v>
      </c>
      <c r="I552">
        <v>0</v>
      </c>
      <c r="J552" s="1"/>
      <c r="K552" s="1" t="s">
        <v>343</v>
      </c>
    </row>
    <row r="553" spans="1:11" x14ac:dyDescent="0.25">
      <c r="A553" s="2">
        <v>45908.627418981479</v>
      </c>
      <c r="B553" s="1" t="s">
        <v>349</v>
      </c>
      <c r="C553" s="1" t="s">
        <v>363</v>
      </c>
      <c r="D553" s="1" t="s">
        <v>10</v>
      </c>
      <c r="E553" s="1" t="s">
        <v>11</v>
      </c>
      <c r="F553" s="1" t="s">
        <v>15</v>
      </c>
      <c r="G553">
        <v>3</v>
      </c>
      <c r="H553">
        <v>0</v>
      </c>
      <c r="I553">
        <v>0</v>
      </c>
      <c r="J553" s="1"/>
      <c r="K553" s="1" t="s">
        <v>341</v>
      </c>
    </row>
    <row r="554" spans="1:11" x14ac:dyDescent="0.25">
      <c r="A554" s="2">
        <v>45908.642743055556</v>
      </c>
      <c r="B554" s="1" t="s">
        <v>349</v>
      </c>
      <c r="C554" s="1" t="s">
        <v>363</v>
      </c>
      <c r="D554" s="1" t="s">
        <v>10</v>
      </c>
      <c r="E554" s="1" t="s">
        <v>11</v>
      </c>
      <c r="F554" s="1" t="s">
        <v>14</v>
      </c>
      <c r="G554">
        <v>0.5</v>
      </c>
      <c r="H554">
        <v>0</v>
      </c>
      <c r="I554">
        <v>0</v>
      </c>
      <c r="J554" s="1" t="s">
        <v>161</v>
      </c>
      <c r="K554" s="1" t="s">
        <v>345</v>
      </c>
    </row>
    <row r="555" spans="1:11" x14ac:dyDescent="0.25">
      <c r="A555" s="2">
        <v>45908.642835648148</v>
      </c>
      <c r="B555" s="1" t="s">
        <v>349</v>
      </c>
      <c r="C555" s="1" t="s">
        <v>363</v>
      </c>
      <c r="D555" s="1" t="s">
        <v>10</v>
      </c>
      <c r="E555" s="1" t="s">
        <v>11</v>
      </c>
      <c r="F555" s="1" t="s">
        <v>15</v>
      </c>
      <c r="G555">
        <v>3</v>
      </c>
      <c r="H555">
        <v>0</v>
      </c>
      <c r="I555">
        <v>0</v>
      </c>
      <c r="J555" s="1" t="s">
        <v>162</v>
      </c>
      <c r="K555" s="1" t="s">
        <v>342</v>
      </c>
    </row>
    <row r="556" spans="1:11" x14ac:dyDescent="0.25">
      <c r="A556" s="2">
        <v>45908.642893518518</v>
      </c>
      <c r="B556" s="1" t="s">
        <v>349</v>
      </c>
      <c r="C556" s="1" t="s">
        <v>363</v>
      </c>
      <c r="D556" s="1" t="s">
        <v>10</v>
      </c>
      <c r="E556" s="1" t="s">
        <v>11</v>
      </c>
      <c r="F556" s="1" t="s">
        <v>12</v>
      </c>
      <c r="G556">
        <v>10.5</v>
      </c>
      <c r="H556">
        <v>0</v>
      </c>
      <c r="I556">
        <v>0</v>
      </c>
      <c r="J556" s="1"/>
      <c r="K556" s="1" t="s">
        <v>340</v>
      </c>
    </row>
    <row r="557" spans="1:11" x14ac:dyDescent="0.25">
      <c r="A557" s="2">
        <v>45908.67560185185</v>
      </c>
      <c r="B557" s="1" t="s">
        <v>353</v>
      </c>
      <c r="C557" s="1" t="s">
        <v>363</v>
      </c>
      <c r="D557" s="1" t="s">
        <v>10</v>
      </c>
      <c r="E557" s="1" t="s">
        <v>11</v>
      </c>
      <c r="F557" s="1" t="s">
        <v>12</v>
      </c>
      <c r="G557">
        <v>10.5</v>
      </c>
      <c r="H557">
        <v>1</v>
      </c>
      <c r="I557">
        <v>0</v>
      </c>
      <c r="J557" s="1" t="s">
        <v>163</v>
      </c>
      <c r="K557" s="1" t="s">
        <v>337</v>
      </c>
    </row>
    <row r="558" spans="1:11" x14ac:dyDescent="0.25">
      <c r="A558" s="2">
        <v>45908.67560185185</v>
      </c>
      <c r="B558" s="1" t="s">
        <v>353</v>
      </c>
      <c r="C558" s="1" t="s">
        <v>363</v>
      </c>
      <c r="D558" s="1" t="s">
        <v>10</v>
      </c>
      <c r="E558" s="1" t="s">
        <v>11</v>
      </c>
      <c r="F558" s="1" t="s">
        <v>12</v>
      </c>
      <c r="G558">
        <v>10.5</v>
      </c>
      <c r="H558">
        <v>1</v>
      </c>
      <c r="I558">
        <v>0</v>
      </c>
      <c r="J558" s="1" t="s">
        <v>163</v>
      </c>
      <c r="K558" s="1" t="s">
        <v>345</v>
      </c>
    </row>
    <row r="559" spans="1:11" x14ac:dyDescent="0.25">
      <c r="A559" s="2">
        <v>45908.698425925926</v>
      </c>
      <c r="B559" s="1" t="s">
        <v>353</v>
      </c>
      <c r="C559" s="1" t="s">
        <v>363</v>
      </c>
      <c r="D559" s="1" t="s">
        <v>10</v>
      </c>
      <c r="E559" s="1" t="s">
        <v>11</v>
      </c>
      <c r="F559" s="1" t="s">
        <v>12</v>
      </c>
      <c r="G559">
        <v>10.5</v>
      </c>
      <c r="H559">
        <v>1</v>
      </c>
      <c r="I559">
        <v>0</v>
      </c>
      <c r="J559" s="1"/>
      <c r="K559" s="1" t="s">
        <v>336</v>
      </c>
    </row>
    <row r="560" spans="1:11" x14ac:dyDescent="0.25">
      <c r="A560" s="2">
        <v>45908.698425925926</v>
      </c>
      <c r="B560" s="1" t="s">
        <v>353</v>
      </c>
      <c r="C560" s="1" t="s">
        <v>363</v>
      </c>
      <c r="D560" s="1" t="s">
        <v>10</v>
      </c>
      <c r="E560" s="1" t="s">
        <v>11</v>
      </c>
      <c r="F560" s="1" t="s">
        <v>12</v>
      </c>
      <c r="G560">
        <v>10.5</v>
      </c>
      <c r="H560">
        <v>1</v>
      </c>
      <c r="I560">
        <v>0</v>
      </c>
      <c r="J560" s="1"/>
      <c r="K560" s="1" t="s">
        <v>106</v>
      </c>
    </row>
    <row r="561" spans="1:11" x14ac:dyDescent="0.25">
      <c r="A561" s="2">
        <v>45908.698622685188</v>
      </c>
      <c r="B561" s="1" t="s">
        <v>353</v>
      </c>
      <c r="C561" s="1" t="s">
        <v>363</v>
      </c>
      <c r="D561" s="1" t="s">
        <v>10</v>
      </c>
      <c r="E561" s="1" t="s">
        <v>11</v>
      </c>
      <c r="F561" s="1" t="s">
        <v>18</v>
      </c>
      <c r="G561">
        <v>20</v>
      </c>
      <c r="H561">
        <v>1</v>
      </c>
      <c r="I561">
        <v>0</v>
      </c>
      <c r="J561" s="1"/>
      <c r="K561" s="1" t="s">
        <v>337</v>
      </c>
    </row>
    <row r="562" spans="1:11" x14ac:dyDescent="0.25">
      <c r="A562" s="2">
        <v>45908.710428240738</v>
      </c>
      <c r="B562" s="1" t="s">
        <v>355</v>
      </c>
      <c r="C562" s="1" t="s">
        <v>363</v>
      </c>
      <c r="D562" s="1" t="s">
        <v>10</v>
      </c>
      <c r="E562" s="1" t="s">
        <v>11</v>
      </c>
      <c r="F562" s="1" t="s">
        <v>14</v>
      </c>
      <c r="G562">
        <v>0.5</v>
      </c>
      <c r="H562">
        <v>0</v>
      </c>
      <c r="I562">
        <v>0</v>
      </c>
      <c r="J562" s="1"/>
      <c r="K562" s="1" t="s">
        <v>344</v>
      </c>
    </row>
    <row r="563" spans="1:11" x14ac:dyDescent="0.25">
      <c r="A563" s="2">
        <v>45908.741053240738</v>
      </c>
      <c r="B563" s="1" t="s">
        <v>355</v>
      </c>
      <c r="C563" s="1" t="s">
        <v>363</v>
      </c>
      <c r="D563" s="1" t="s">
        <v>10</v>
      </c>
      <c r="E563" s="1" t="s">
        <v>11</v>
      </c>
      <c r="F563" s="1" t="s">
        <v>15</v>
      </c>
      <c r="G563">
        <v>3</v>
      </c>
      <c r="H563">
        <v>0</v>
      </c>
      <c r="I563">
        <v>0</v>
      </c>
      <c r="J563" s="1"/>
      <c r="K563" s="1" t="s">
        <v>342</v>
      </c>
    </row>
    <row r="564" spans="1:11" x14ac:dyDescent="0.25">
      <c r="A564" s="2">
        <v>45909.511944444443</v>
      </c>
      <c r="B564" s="1" t="s">
        <v>350</v>
      </c>
      <c r="C564" s="1" t="s">
        <v>358</v>
      </c>
      <c r="D564" s="1" t="s">
        <v>10</v>
      </c>
      <c r="E564" s="1" t="s">
        <v>11</v>
      </c>
      <c r="F564" s="1" t="s">
        <v>14</v>
      </c>
      <c r="G564">
        <v>0.5</v>
      </c>
      <c r="H564">
        <v>0</v>
      </c>
      <c r="I564">
        <v>0</v>
      </c>
      <c r="J564" s="1" t="s">
        <v>164</v>
      </c>
      <c r="K564" s="1" t="s">
        <v>106</v>
      </c>
    </row>
    <row r="565" spans="1:11" x14ac:dyDescent="0.25">
      <c r="A565" s="2">
        <v>45909.739282407405</v>
      </c>
      <c r="B565" s="1" t="s">
        <v>355</v>
      </c>
      <c r="C565" s="1" t="s">
        <v>358</v>
      </c>
      <c r="D565" s="1" t="s">
        <v>10</v>
      </c>
      <c r="E565" s="1" t="s">
        <v>11</v>
      </c>
      <c r="F565" s="1" t="s">
        <v>15</v>
      </c>
      <c r="G565">
        <v>3</v>
      </c>
      <c r="H565">
        <v>0</v>
      </c>
      <c r="I565">
        <v>0</v>
      </c>
      <c r="J565" s="1"/>
      <c r="K565" s="1" t="s">
        <v>340</v>
      </c>
    </row>
    <row r="566" spans="1:11" x14ac:dyDescent="0.25">
      <c r="A566" s="2">
        <v>45909.739351851851</v>
      </c>
      <c r="B566" s="1" t="s">
        <v>355</v>
      </c>
      <c r="C566" s="1" t="s">
        <v>358</v>
      </c>
      <c r="D566" s="1" t="s">
        <v>10</v>
      </c>
      <c r="E566" s="1" t="s">
        <v>11</v>
      </c>
      <c r="F566" s="1" t="s">
        <v>15</v>
      </c>
      <c r="G566">
        <v>3</v>
      </c>
      <c r="H566">
        <v>0</v>
      </c>
      <c r="I566">
        <v>0</v>
      </c>
      <c r="J566" s="1"/>
      <c r="K566" s="1" t="s">
        <v>340</v>
      </c>
    </row>
    <row r="567" spans="1:11" x14ac:dyDescent="0.25">
      <c r="A567" s="2">
        <v>45909.739444444444</v>
      </c>
      <c r="B567" s="1" t="s">
        <v>355</v>
      </c>
      <c r="C567" s="1" t="s">
        <v>358</v>
      </c>
      <c r="D567" s="1" t="s">
        <v>10</v>
      </c>
      <c r="E567" s="1" t="s">
        <v>11</v>
      </c>
      <c r="F567" s="1" t="s">
        <v>15</v>
      </c>
      <c r="G567">
        <v>3</v>
      </c>
      <c r="H567">
        <v>0</v>
      </c>
      <c r="I567">
        <v>0</v>
      </c>
      <c r="J567" s="1"/>
      <c r="K567" s="1" t="s">
        <v>341</v>
      </c>
    </row>
    <row r="568" spans="1:11" x14ac:dyDescent="0.25">
      <c r="A568" s="2">
        <v>45909.739537037036</v>
      </c>
      <c r="B568" s="1" t="s">
        <v>355</v>
      </c>
      <c r="C568" s="1" t="s">
        <v>358</v>
      </c>
      <c r="D568" s="1" t="s">
        <v>10</v>
      </c>
      <c r="E568" s="1" t="s">
        <v>11</v>
      </c>
      <c r="F568" s="1" t="s">
        <v>14</v>
      </c>
      <c r="G568">
        <v>0.5</v>
      </c>
      <c r="H568">
        <v>0</v>
      </c>
      <c r="I568">
        <v>0</v>
      </c>
      <c r="J568" s="1"/>
      <c r="K568" s="1" t="s">
        <v>344</v>
      </c>
    </row>
    <row r="569" spans="1:11" x14ac:dyDescent="0.25">
      <c r="A569" s="2">
        <v>45909.739641203705</v>
      </c>
      <c r="B569" s="1" t="s">
        <v>355</v>
      </c>
      <c r="C569" s="1" t="s">
        <v>358</v>
      </c>
      <c r="D569" s="1" t="s">
        <v>10</v>
      </c>
      <c r="E569" s="1" t="s">
        <v>11</v>
      </c>
      <c r="F569" s="1" t="s">
        <v>15</v>
      </c>
      <c r="G569">
        <v>3</v>
      </c>
      <c r="H569">
        <v>0</v>
      </c>
      <c r="I569">
        <v>0</v>
      </c>
      <c r="J569" s="1"/>
      <c r="K569" s="1" t="s">
        <v>342</v>
      </c>
    </row>
    <row r="570" spans="1:11" x14ac:dyDescent="0.25">
      <c r="A570" s="2">
        <v>45909.739872685182</v>
      </c>
      <c r="B570" s="1" t="s">
        <v>355</v>
      </c>
      <c r="C570" s="1" t="s">
        <v>358</v>
      </c>
      <c r="D570" s="1" t="s">
        <v>10</v>
      </c>
      <c r="E570" s="1" t="s">
        <v>11</v>
      </c>
      <c r="F570" s="1" t="s">
        <v>15</v>
      </c>
      <c r="G570">
        <v>3</v>
      </c>
      <c r="H570">
        <v>0</v>
      </c>
      <c r="I570">
        <v>0</v>
      </c>
      <c r="J570" s="1"/>
      <c r="K570" s="1" t="s">
        <v>336</v>
      </c>
    </row>
    <row r="571" spans="1:11" x14ac:dyDescent="0.25">
      <c r="A571" s="2">
        <v>45910.428564814814</v>
      </c>
      <c r="B571" s="1" t="s">
        <v>347</v>
      </c>
      <c r="C571" s="1" t="s">
        <v>359</v>
      </c>
      <c r="D571" s="1" t="s">
        <v>10</v>
      </c>
      <c r="E571" s="1" t="s">
        <v>17</v>
      </c>
      <c r="F571" s="1" t="s">
        <v>15</v>
      </c>
      <c r="G571">
        <v>3</v>
      </c>
      <c r="H571">
        <v>0</v>
      </c>
      <c r="I571">
        <v>0</v>
      </c>
      <c r="J571" s="1"/>
      <c r="K571" s="1" t="s">
        <v>341</v>
      </c>
    </row>
    <row r="572" spans="1:11" x14ac:dyDescent="0.25">
      <c r="A572" s="2">
        <v>45910.456770833334</v>
      </c>
      <c r="B572" s="1" t="s">
        <v>347</v>
      </c>
      <c r="C572" s="1" t="s">
        <v>359</v>
      </c>
      <c r="D572" s="1" t="s">
        <v>10</v>
      </c>
      <c r="E572" s="1" t="s">
        <v>11</v>
      </c>
      <c r="F572" s="1" t="s">
        <v>12</v>
      </c>
      <c r="G572">
        <v>10.5</v>
      </c>
      <c r="H572">
        <v>1</v>
      </c>
      <c r="I572">
        <v>0</v>
      </c>
      <c r="J572" s="1"/>
      <c r="K572" s="1" t="s">
        <v>336</v>
      </c>
    </row>
    <row r="573" spans="1:11" x14ac:dyDescent="0.25">
      <c r="A573" s="2">
        <v>45910.456770833334</v>
      </c>
      <c r="B573" s="1" t="s">
        <v>347</v>
      </c>
      <c r="C573" s="1" t="s">
        <v>359</v>
      </c>
      <c r="D573" s="1" t="s">
        <v>10</v>
      </c>
      <c r="E573" s="1" t="s">
        <v>11</v>
      </c>
      <c r="F573" s="1" t="s">
        <v>12</v>
      </c>
      <c r="G573">
        <v>10.5</v>
      </c>
      <c r="H573">
        <v>1</v>
      </c>
      <c r="I573">
        <v>0</v>
      </c>
      <c r="J573" s="1"/>
      <c r="K573" s="1" t="s">
        <v>106</v>
      </c>
    </row>
    <row r="574" spans="1:11" x14ac:dyDescent="0.25">
      <c r="A574" s="2">
        <v>45910.463263888887</v>
      </c>
      <c r="B574" s="1" t="s">
        <v>354</v>
      </c>
      <c r="C574" s="1" t="s">
        <v>359</v>
      </c>
      <c r="D574" s="1" t="s">
        <v>10</v>
      </c>
      <c r="E574" s="1" t="s">
        <v>17</v>
      </c>
      <c r="F574" s="1" t="s">
        <v>12</v>
      </c>
      <c r="G574">
        <v>10.5</v>
      </c>
      <c r="H574">
        <v>1</v>
      </c>
      <c r="I574">
        <v>0</v>
      </c>
      <c r="J574" s="1"/>
      <c r="K574" s="1" t="s">
        <v>340</v>
      </c>
    </row>
    <row r="575" spans="1:11" x14ac:dyDescent="0.25">
      <c r="A575" s="2">
        <v>45910.542349537034</v>
      </c>
      <c r="B575" s="1" t="s">
        <v>351</v>
      </c>
      <c r="C575" s="1" t="s">
        <v>359</v>
      </c>
      <c r="D575" s="1" t="s">
        <v>20</v>
      </c>
      <c r="E575" s="1" t="s">
        <v>17</v>
      </c>
      <c r="F575" s="1" t="s">
        <v>15</v>
      </c>
      <c r="G575">
        <v>3</v>
      </c>
      <c r="H575">
        <v>0</v>
      </c>
      <c r="I575">
        <v>0</v>
      </c>
      <c r="J575" s="1" t="s">
        <v>165</v>
      </c>
      <c r="K575" s="1" t="s">
        <v>345</v>
      </c>
    </row>
    <row r="576" spans="1:11" x14ac:dyDescent="0.25">
      <c r="A576" s="2">
        <v>45910.604641203703</v>
      </c>
      <c r="B576" s="1" t="s">
        <v>348</v>
      </c>
      <c r="C576" s="1" t="s">
        <v>359</v>
      </c>
      <c r="D576" s="1" t="s">
        <v>20</v>
      </c>
      <c r="E576" s="1" t="s">
        <v>11</v>
      </c>
      <c r="F576" s="1" t="s">
        <v>12</v>
      </c>
      <c r="G576">
        <v>10.5</v>
      </c>
      <c r="H576">
        <v>1</v>
      </c>
      <c r="I576">
        <v>0</v>
      </c>
      <c r="J576" s="1"/>
      <c r="K576" s="1" t="s">
        <v>336</v>
      </c>
    </row>
    <row r="577" spans="1:11" x14ac:dyDescent="0.25">
      <c r="A577" s="2">
        <v>45910.604641203703</v>
      </c>
      <c r="B577" s="1" t="s">
        <v>348</v>
      </c>
      <c r="C577" s="1" t="s">
        <v>359</v>
      </c>
      <c r="D577" s="1" t="s">
        <v>20</v>
      </c>
      <c r="E577" s="1" t="s">
        <v>11</v>
      </c>
      <c r="F577" s="1" t="s">
        <v>12</v>
      </c>
      <c r="G577">
        <v>10.5</v>
      </c>
      <c r="H577">
        <v>1</v>
      </c>
      <c r="I577">
        <v>0</v>
      </c>
      <c r="J577" s="1"/>
      <c r="K577" s="1" t="s">
        <v>106</v>
      </c>
    </row>
    <row r="578" spans="1:11" x14ac:dyDescent="0.25">
      <c r="A578" s="2">
        <v>45910.621724537035</v>
      </c>
      <c r="B578" s="1" t="s">
        <v>348</v>
      </c>
      <c r="C578" s="1" t="s">
        <v>359</v>
      </c>
      <c r="D578" s="1" t="s">
        <v>20</v>
      </c>
      <c r="E578" s="1" t="s">
        <v>11</v>
      </c>
      <c r="F578" s="1" t="s">
        <v>15</v>
      </c>
      <c r="G578">
        <v>3</v>
      </c>
      <c r="H578">
        <v>0</v>
      </c>
      <c r="I578">
        <v>0</v>
      </c>
      <c r="J578" s="1"/>
      <c r="K578" s="1" t="s">
        <v>343</v>
      </c>
    </row>
    <row r="579" spans="1:11" x14ac:dyDescent="0.25">
      <c r="A579" s="2">
        <v>45912.423414351855</v>
      </c>
      <c r="B579" s="1" t="s">
        <v>347</v>
      </c>
      <c r="C579" s="1" t="s">
        <v>361</v>
      </c>
      <c r="D579" s="1" t="s">
        <v>10</v>
      </c>
      <c r="E579" s="1" t="s">
        <v>17</v>
      </c>
      <c r="F579" s="1" t="s">
        <v>14</v>
      </c>
      <c r="G579">
        <v>0.5</v>
      </c>
      <c r="H579">
        <v>0</v>
      </c>
      <c r="I579">
        <v>0</v>
      </c>
      <c r="J579" s="1"/>
      <c r="K579" s="1" t="s">
        <v>341</v>
      </c>
    </row>
    <row r="580" spans="1:11" x14ac:dyDescent="0.25">
      <c r="A580" s="2">
        <v>45912.423518518517</v>
      </c>
      <c r="B580" s="1" t="s">
        <v>347</v>
      </c>
      <c r="C580" s="1" t="s">
        <v>361</v>
      </c>
      <c r="D580" s="1" t="s">
        <v>10</v>
      </c>
      <c r="E580" s="1" t="s">
        <v>11</v>
      </c>
      <c r="F580" s="1" t="s">
        <v>14</v>
      </c>
      <c r="G580">
        <v>0.5</v>
      </c>
      <c r="H580">
        <v>0</v>
      </c>
      <c r="I580">
        <v>0</v>
      </c>
      <c r="J580" s="1"/>
      <c r="K580" s="1" t="s">
        <v>341</v>
      </c>
    </row>
    <row r="581" spans="1:11" x14ac:dyDescent="0.25">
      <c r="A581" s="2">
        <v>45912.507847222223</v>
      </c>
      <c r="B581" s="1" t="s">
        <v>350</v>
      </c>
      <c r="C581" s="1" t="s">
        <v>361</v>
      </c>
      <c r="D581" s="1" t="s">
        <v>10</v>
      </c>
      <c r="E581" s="1" t="s">
        <v>11</v>
      </c>
      <c r="F581" s="1" t="s">
        <v>14</v>
      </c>
      <c r="G581">
        <v>0.5</v>
      </c>
      <c r="H581">
        <v>0</v>
      </c>
      <c r="I581">
        <v>0</v>
      </c>
      <c r="J581" s="1"/>
      <c r="K581" s="1" t="s">
        <v>341</v>
      </c>
    </row>
    <row r="582" spans="1:11" x14ac:dyDescent="0.25">
      <c r="A582" s="2">
        <v>45912.508796296293</v>
      </c>
      <c r="B582" s="1" t="s">
        <v>350</v>
      </c>
      <c r="C582" s="1" t="s">
        <v>361</v>
      </c>
      <c r="D582" s="1" t="s">
        <v>10</v>
      </c>
      <c r="E582" s="1" t="s">
        <v>11</v>
      </c>
      <c r="F582" s="1" t="s">
        <v>12</v>
      </c>
      <c r="G582">
        <v>10.5</v>
      </c>
      <c r="H582">
        <v>0</v>
      </c>
      <c r="I582">
        <v>0</v>
      </c>
      <c r="J582" s="1" t="s">
        <v>166</v>
      </c>
      <c r="K582" s="1" t="s">
        <v>345</v>
      </c>
    </row>
    <row r="583" spans="1:11" x14ac:dyDescent="0.25">
      <c r="A583" s="2">
        <v>45912.518564814818</v>
      </c>
      <c r="B583" s="1" t="s">
        <v>350</v>
      </c>
      <c r="C583" s="1" t="s">
        <v>361</v>
      </c>
      <c r="D583" s="1" t="s">
        <v>10</v>
      </c>
      <c r="E583" s="1" t="s">
        <v>11</v>
      </c>
      <c r="F583" s="1" t="s">
        <v>12</v>
      </c>
      <c r="G583">
        <v>10.5</v>
      </c>
      <c r="H583">
        <v>0</v>
      </c>
      <c r="I583">
        <v>0</v>
      </c>
      <c r="J583" s="1"/>
      <c r="K583" s="1" t="s">
        <v>340</v>
      </c>
    </row>
    <row r="584" spans="1:11" x14ac:dyDescent="0.25">
      <c r="A584" s="2">
        <v>45912.518564814818</v>
      </c>
      <c r="B584" s="1" t="s">
        <v>350</v>
      </c>
      <c r="C584" s="1" t="s">
        <v>361</v>
      </c>
      <c r="D584" s="1" t="s">
        <v>10</v>
      </c>
      <c r="E584" s="1" t="s">
        <v>11</v>
      </c>
      <c r="F584" s="1" t="s">
        <v>12</v>
      </c>
      <c r="G584">
        <v>10.5</v>
      </c>
      <c r="H584">
        <v>0</v>
      </c>
      <c r="I584">
        <v>0</v>
      </c>
      <c r="J584" s="1"/>
      <c r="K584" s="1" t="s">
        <v>343</v>
      </c>
    </row>
    <row r="585" spans="1:11" x14ac:dyDescent="0.25">
      <c r="A585" s="2">
        <v>45912.533784722225</v>
      </c>
      <c r="B585" s="1" t="s">
        <v>350</v>
      </c>
      <c r="C585" s="1" t="s">
        <v>361</v>
      </c>
      <c r="D585" s="1" t="s">
        <v>10</v>
      </c>
      <c r="E585" s="1" t="s">
        <v>11</v>
      </c>
      <c r="F585" s="1" t="s">
        <v>15</v>
      </c>
      <c r="G585">
        <v>3</v>
      </c>
      <c r="H585">
        <v>1</v>
      </c>
      <c r="I585">
        <v>0</v>
      </c>
      <c r="J585" s="1"/>
      <c r="K585" s="1" t="s">
        <v>336</v>
      </c>
    </row>
    <row r="586" spans="1:11" x14ac:dyDescent="0.25">
      <c r="A586" s="2">
        <v>45912.586793981478</v>
      </c>
      <c r="B586" s="1" t="s">
        <v>348</v>
      </c>
      <c r="C586" s="1" t="s">
        <v>361</v>
      </c>
      <c r="D586" s="1" t="s">
        <v>10</v>
      </c>
      <c r="E586" s="1" t="s">
        <v>11</v>
      </c>
      <c r="F586" s="1" t="s">
        <v>12</v>
      </c>
      <c r="G586">
        <v>10.5</v>
      </c>
      <c r="H586">
        <v>0</v>
      </c>
      <c r="I586">
        <v>0</v>
      </c>
      <c r="J586" s="1"/>
      <c r="K586" s="1" t="s">
        <v>340</v>
      </c>
    </row>
    <row r="587" spans="1:11" x14ac:dyDescent="0.25">
      <c r="A587" s="2">
        <v>45912.624305555553</v>
      </c>
      <c r="B587" s="1" t="s">
        <v>348</v>
      </c>
      <c r="C587" s="1" t="s">
        <v>361</v>
      </c>
      <c r="D587" s="1" t="s">
        <v>10</v>
      </c>
      <c r="E587" s="1" t="s">
        <v>17</v>
      </c>
      <c r="F587" s="1" t="s">
        <v>15</v>
      </c>
      <c r="G587">
        <v>3</v>
      </c>
      <c r="H587">
        <v>0</v>
      </c>
      <c r="I587">
        <v>0</v>
      </c>
      <c r="J587" s="1"/>
      <c r="K587" s="1" t="s">
        <v>341</v>
      </c>
    </row>
    <row r="588" spans="1:11" x14ac:dyDescent="0.25">
      <c r="A588" s="2">
        <v>45912.624386574076</v>
      </c>
      <c r="B588" s="1" t="s">
        <v>348</v>
      </c>
      <c r="C588" s="1" t="s">
        <v>361</v>
      </c>
      <c r="D588" s="1" t="s">
        <v>10</v>
      </c>
      <c r="E588" s="1" t="s">
        <v>17</v>
      </c>
      <c r="F588" s="1" t="s">
        <v>15</v>
      </c>
      <c r="G588">
        <v>3</v>
      </c>
      <c r="H588">
        <v>0</v>
      </c>
      <c r="I588">
        <v>0</v>
      </c>
      <c r="J588" s="1"/>
      <c r="K588" s="1" t="s">
        <v>341</v>
      </c>
    </row>
    <row r="589" spans="1:11" x14ac:dyDescent="0.25">
      <c r="A589" s="2">
        <v>45912.624641203707</v>
      </c>
      <c r="B589" s="1" t="s">
        <v>348</v>
      </c>
      <c r="C589" s="1" t="s">
        <v>361</v>
      </c>
      <c r="D589" s="1" t="s">
        <v>10</v>
      </c>
      <c r="E589" s="1" t="s">
        <v>11</v>
      </c>
      <c r="F589" s="1" t="s">
        <v>12</v>
      </c>
      <c r="G589">
        <v>10.5</v>
      </c>
      <c r="H589">
        <v>1</v>
      </c>
      <c r="I589">
        <v>0</v>
      </c>
      <c r="J589" s="1" t="s">
        <v>167</v>
      </c>
      <c r="K589" s="1" t="s">
        <v>336</v>
      </c>
    </row>
    <row r="590" spans="1:11" x14ac:dyDescent="0.25">
      <c r="A590" s="2">
        <v>45912.624837962961</v>
      </c>
      <c r="B590" s="1" t="s">
        <v>348</v>
      </c>
      <c r="C590" s="1" t="s">
        <v>361</v>
      </c>
      <c r="D590" s="1" t="s">
        <v>10</v>
      </c>
      <c r="E590" s="1" t="s">
        <v>11</v>
      </c>
      <c r="F590" s="1" t="s">
        <v>12</v>
      </c>
      <c r="G590">
        <v>10.5</v>
      </c>
      <c r="H590">
        <v>1</v>
      </c>
      <c r="I590">
        <v>0</v>
      </c>
      <c r="J590" s="1"/>
      <c r="K590" s="1" t="s">
        <v>340</v>
      </c>
    </row>
    <row r="591" spans="1:11" x14ac:dyDescent="0.25">
      <c r="A591" s="2">
        <v>45912.625162037039</v>
      </c>
      <c r="B591" s="1" t="s">
        <v>349</v>
      </c>
      <c r="C591" s="1" t="s">
        <v>361</v>
      </c>
      <c r="D591" s="1" t="s">
        <v>10</v>
      </c>
      <c r="E591" s="1" t="s">
        <v>17</v>
      </c>
      <c r="F591" s="1" t="s">
        <v>15</v>
      </c>
      <c r="G591">
        <v>3</v>
      </c>
      <c r="H591">
        <v>0</v>
      </c>
      <c r="I591">
        <v>0</v>
      </c>
      <c r="J591" s="1" t="s">
        <v>168</v>
      </c>
      <c r="K591" s="1" t="s">
        <v>342</v>
      </c>
    </row>
    <row r="592" spans="1:11" x14ac:dyDescent="0.25">
      <c r="A592" s="2">
        <v>45912.625162037039</v>
      </c>
      <c r="B592" s="1" t="s">
        <v>349</v>
      </c>
      <c r="C592" s="1" t="s">
        <v>361</v>
      </c>
      <c r="D592" s="1" t="s">
        <v>10</v>
      </c>
      <c r="E592" s="1" t="s">
        <v>17</v>
      </c>
      <c r="F592" s="1" t="s">
        <v>15</v>
      </c>
      <c r="G592">
        <v>3</v>
      </c>
      <c r="H592">
        <v>0</v>
      </c>
      <c r="I592">
        <v>0</v>
      </c>
      <c r="J592" s="1" t="s">
        <v>168</v>
      </c>
      <c r="K592" s="1" t="s">
        <v>345</v>
      </c>
    </row>
    <row r="593" spans="1:11" x14ac:dyDescent="0.25">
      <c r="A593" s="2">
        <v>45912.658900462964</v>
      </c>
      <c r="B593" s="1" t="s">
        <v>349</v>
      </c>
      <c r="C593" s="1" t="s">
        <v>361</v>
      </c>
      <c r="D593" s="1" t="s">
        <v>10</v>
      </c>
      <c r="E593" s="1" t="s">
        <v>11</v>
      </c>
      <c r="F593" s="1" t="s">
        <v>15</v>
      </c>
      <c r="G593">
        <v>3</v>
      </c>
      <c r="H593">
        <v>1</v>
      </c>
      <c r="I593">
        <v>0</v>
      </c>
      <c r="J593" s="1"/>
      <c r="K593" s="1" t="s">
        <v>336</v>
      </c>
    </row>
    <row r="594" spans="1:11" x14ac:dyDescent="0.25">
      <c r="A594" s="2">
        <v>45912.669189814813</v>
      </c>
      <c r="B594" s="1" t="s">
        <v>353</v>
      </c>
      <c r="C594" s="1" t="s">
        <v>361</v>
      </c>
      <c r="D594" s="1" t="s">
        <v>10</v>
      </c>
      <c r="E594" s="1" t="s">
        <v>11</v>
      </c>
      <c r="F594" s="1" t="s">
        <v>14</v>
      </c>
      <c r="G594">
        <v>0.5</v>
      </c>
      <c r="H594">
        <v>0</v>
      </c>
      <c r="I594">
        <v>0</v>
      </c>
      <c r="J594" s="1" t="s">
        <v>169</v>
      </c>
      <c r="K594" s="1" t="s">
        <v>345</v>
      </c>
    </row>
    <row r="595" spans="1:11" x14ac:dyDescent="0.25">
      <c r="A595" s="2">
        <v>45912.669652777775</v>
      </c>
      <c r="B595" s="1" t="s">
        <v>353</v>
      </c>
      <c r="C595" s="1" t="s">
        <v>361</v>
      </c>
      <c r="D595" s="1" t="s">
        <v>10</v>
      </c>
      <c r="E595" s="1" t="s">
        <v>11</v>
      </c>
      <c r="F595" s="1" t="s">
        <v>15</v>
      </c>
      <c r="G595">
        <v>3</v>
      </c>
      <c r="H595">
        <v>1</v>
      </c>
      <c r="I595">
        <v>0</v>
      </c>
      <c r="J595" s="1" t="s">
        <v>170</v>
      </c>
      <c r="K595" s="1" t="s">
        <v>340</v>
      </c>
    </row>
    <row r="596" spans="1:11" x14ac:dyDescent="0.25">
      <c r="A596" s="2">
        <v>45912.759918981479</v>
      </c>
      <c r="B596" s="1" t="s">
        <v>355</v>
      </c>
      <c r="C596" s="1" t="s">
        <v>361</v>
      </c>
      <c r="D596" s="1" t="s">
        <v>10</v>
      </c>
      <c r="E596" s="1" t="s">
        <v>11</v>
      </c>
      <c r="F596" s="1" t="s">
        <v>15</v>
      </c>
      <c r="G596">
        <v>3</v>
      </c>
      <c r="H596">
        <v>0</v>
      </c>
      <c r="I596">
        <v>0</v>
      </c>
      <c r="J596" s="1"/>
      <c r="K596" s="1" t="s">
        <v>340</v>
      </c>
    </row>
    <row r="597" spans="1:11" x14ac:dyDescent="0.25">
      <c r="A597" s="2">
        <v>45912.760231481479</v>
      </c>
      <c r="B597" s="1" t="s">
        <v>355</v>
      </c>
      <c r="C597" s="1" t="s">
        <v>361</v>
      </c>
      <c r="D597" s="1" t="s">
        <v>10</v>
      </c>
      <c r="E597" s="1" t="s">
        <v>11</v>
      </c>
      <c r="F597" s="1" t="s">
        <v>15</v>
      </c>
      <c r="G597">
        <v>3</v>
      </c>
      <c r="H597">
        <v>0</v>
      </c>
      <c r="I597">
        <v>0</v>
      </c>
      <c r="J597" s="1"/>
      <c r="K597" s="1" t="s">
        <v>343</v>
      </c>
    </row>
    <row r="598" spans="1:11" x14ac:dyDescent="0.25">
      <c r="A598" s="2">
        <v>45912.760312500002</v>
      </c>
      <c r="B598" s="1" t="s">
        <v>355</v>
      </c>
      <c r="C598" s="1" t="s">
        <v>361</v>
      </c>
      <c r="D598" s="1" t="s">
        <v>20</v>
      </c>
      <c r="E598" s="1" t="s">
        <v>11</v>
      </c>
      <c r="F598" s="1" t="s">
        <v>15</v>
      </c>
      <c r="G598">
        <v>3</v>
      </c>
      <c r="H598">
        <v>0</v>
      </c>
      <c r="I598">
        <v>0</v>
      </c>
      <c r="J598" s="1"/>
      <c r="K598" s="1" t="s">
        <v>336</v>
      </c>
    </row>
    <row r="599" spans="1:11" x14ac:dyDescent="0.25">
      <c r="A599" s="2">
        <v>45912.760439814818</v>
      </c>
      <c r="B599" s="1" t="s">
        <v>355</v>
      </c>
      <c r="C599" s="1" t="s">
        <v>361</v>
      </c>
      <c r="D599" s="1" t="s">
        <v>10</v>
      </c>
      <c r="E599" s="1" t="s">
        <v>11</v>
      </c>
      <c r="F599" s="1" t="s">
        <v>15</v>
      </c>
      <c r="G599">
        <v>3</v>
      </c>
      <c r="H599">
        <v>0</v>
      </c>
      <c r="I599">
        <v>0</v>
      </c>
      <c r="J599" s="1"/>
      <c r="K599" s="1" t="s">
        <v>342</v>
      </c>
    </row>
    <row r="600" spans="1:11" x14ac:dyDescent="0.25">
      <c r="A600" s="2">
        <v>45915.512557870374</v>
      </c>
      <c r="B600" s="1" t="s">
        <v>350</v>
      </c>
      <c r="C600" s="1" t="s">
        <v>363</v>
      </c>
      <c r="D600" s="1" t="s">
        <v>10</v>
      </c>
      <c r="E600" s="1" t="s">
        <v>11</v>
      </c>
      <c r="F600" s="1" t="s">
        <v>12</v>
      </c>
      <c r="G600">
        <v>10.5</v>
      </c>
      <c r="H600">
        <v>0</v>
      </c>
      <c r="I600">
        <v>0</v>
      </c>
      <c r="J600" s="1"/>
      <c r="K600" s="1" t="s">
        <v>340</v>
      </c>
    </row>
    <row r="601" spans="1:11" x14ac:dyDescent="0.25">
      <c r="A601" s="2">
        <v>45915.521782407406</v>
      </c>
      <c r="B601" s="1" t="s">
        <v>350</v>
      </c>
      <c r="C601" s="1" t="s">
        <v>363</v>
      </c>
      <c r="D601" s="1" t="s">
        <v>10</v>
      </c>
      <c r="E601" s="1" t="s">
        <v>11</v>
      </c>
      <c r="F601" s="1" t="s">
        <v>14</v>
      </c>
      <c r="G601">
        <v>0.5</v>
      </c>
      <c r="H601">
        <v>0</v>
      </c>
      <c r="I601">
        <v>0</v>
      </c>
      <c r="J601" s="1"/>
      <c r="K601" s="1" t="s">
        <v>344</v>
      </c>
    </row>
    <row r="602" spans="1:11" x14ac:dyDescent="0.25">
      <c r="A602" s="2">
        <v>45915.573437500003</v>
      </c>
      <c r="B602" s="1" t="s">
        <v>351</v>
      </c>
      <c r="C602" s="1" t="s">
        <v>363</v>
      </c>
      <c r="D602" s="1" t="s">
        <v>10</v>
      </c>
      <c r="E602" s="1" t="s">
        <v>11</v>
      </c>
      <c r="F602" s="1" t="s">
        <v>12</v>
      </c>
      <c r="G602">
        <v>10.5</v>
      </c>
      <c r="H602">
        <v>0</v>
      </c>
      <c r="I602">
        <v>0</v>
      </c>
      <c r="J602" s="1"/>
      <c r="K602" s="1" t="s">
        <v>337</v>
      </c>
    </row>
    <row r="603" spans="1:11" x14ac:dyDescent="0.25">
      <c r="A603" s="2">
        <v>45915.573437500003</v>
      </c>
      <c r="B603" s="1" t="s">
        <v>351</v>
      </c>
      <c r="C603" s="1" t="s">
        <v>363</v>
      </c>
      <c r="D603" s="1" t="s">
        <v>10</v>
      </c>
      <c r="E603" s="1" t="s">
        <v>11</v>
      </c>
      <c r="F603" s="1" t="s">
        <v>12</v>
      </c>
      <c r="G603">
        <v>10.5</v>
      </c>
      <c r="H603">
        <v>0</v>
      </c>
      <c r="I603">
        <v>0</v>
      </c>
      <c r="J603" s="1"/>
      <c r="K603" s="1" t="s">
        <v>340</v>
      </c>
    </row>
    <row r="604" spans="1:11" x14ac:dyDescent="0.25">
      <c r="A604" s="2">
        <v>45915.606354166666</v>
      </c>
      <c r="B604" s="1" t="s">
        <v>348</v>
      </c>
      <c r="C604" s="1" t="s">
        <v>363</v>
      </c>
      <c r="D604" s="1" t="s">
        <v>10</v>
      </c>
      <c r="E604" s="1" t="s">
        <v>11</v>
      </c>
      <c r="F604" s="1" t="s">
        <v>15</v>
      </c>
      <c r="G604">
        <v>3</v>
      </c>
      <c r="H604">
        <v>0</v>
      </c>
      <c r="I604">
        <v>0</v>
      </c>
      <c r="J604" s="1"/>
      <c r="K604" s="1" t="s">
        <v>336</v>
      </c>
    </row>
    <row r="605" spans="1:11" x14ac:dyDescent="0.25">
      <c r="A605" s="2">
        <v>45915.606435185182</v>
      </c>
      <c r="B605" s="1" t="s">
        <v>348</v>
      </c>
      <c r="C605" s="1" t="s">
        <v>363</v>
      </c>
      <c r="D605" s="1" t="s">
        <v>10</v>
      </c>
      <c r="E605" s="1" t="s">
        <v>11</v>
      </c>
      <c r="F605" s="1" t="s">
        <v>14</v>
      </c>
      <c r="G605">
        <v>0.5</v>
      </c>
      <c r="H605">
        <v>0</v>
      </c>
      <c r="I605">
        <v>0</v>
      </c>
      <c r="J605" s="1" t="s">
        <v>171</v>
      </c>
      <c r="K605" s="1" t="s">
        <v>344</v>
      </c>
    </row>
    <row r="606" spans="1:11" x14ac:dyDescent="0.25">
      <c r="A606" s="2">
        <v>45915.630995370368</v>
      </c>
      <c r="B606" s="1" t="s">
        <v>349</v>
      </c>
      <c r="C606" s="1" t="s">
        <v>363</v>
      </c>
      <c r="D606" s="1" t="s">
        <v>10</v>
      </c>
      <c r="E606" s="1" t="s">
        <v>17</v>
      </c>
      <c r="F606" s="1" t="s">
        <v>18</v>
      </c>
      <c r="G606">
        <v>20</v>
      </c>
      <c r="H606">
        <v>0</v>
      </c>
      <c r="I606">
        <v>0</v>
      </c>
      <c r="J606" s="1" t="s">
        <v>172</v>
      </c>
      <c r="K606" s="1" t="s">
        <v>340</v>
      </c>
    </row>
    <row r="607" spans="1:11" x14ac:dyDescent="0.25">
      <c r="A607" s="2">
        <v>45915.631041666667</v>
      </c>
      <c r="B607" s="1" t="s">
        <v>349</v>
      </c>
      <c r="C607" s="1" t="s">
        <v>363</v>
      </c>
      <c r="D607" s="1" t="s">
        <v>10</v>
      </c>
      <c r="E607" s="1" t="s">
        <v>11</v>
      </c>
      <c r="F607" s="1" t="s">
        <v>15</v>
      </c>
      <c r="G607">
        <v>3</v>
      </c>
      <c r="H607">
        <v>0</v>
      </c>
      <c r="I607">
        <v>0</v>
      </c>
      <c r="J607" s="1"/>
      <c r="K607" s="1" t="s">
        <v>341</v>
      </c>
    </row>
    <row r="608" spans="1:11" x14ac:dyDescent="0.25">
      <c r="A608" s="2">
        <v>45915.642696759256</v>
      </c>
      <c r="B608" s="1" t="s">
        <v>349</v>
      </c>
      <c r="C608" s="1" t="s">
        <v>363</v>
      </c>
      <c r="D608" s="1" t="s">
        <v>10</v>
      </c>
      <c r="E608" s="1" t="s">
        <v>11</v>
      </c>
      <c r="F608" s="1" t="s">
        <v>12</v>
      </c>
      <c r="G608">
        <v>10.5</v>
      </c>
      <c r="H608">
        <v>0</v>
      </c>
      <c r="I608">
        <v>0</v>
      </c>
      <c r="J608" s="1" t="s">
        <v>173</v>
      </c>
      <c r="K608" s="1" t="s">
        <v>345</v>
      </c>
    </row>
    <row r="609" spans="1:11" x14ac:dyDescent="0.25">
      <c r="A609" s="2">
        <v>45915.661782407406</v>
      </c>
      <c r="B609" s="1" t="s">
        <v>349</v>
      </c>
      <c r="C609" s="1" t="s">
        <v>363</v>
      </c>
      <c r="D609" s="1" t="s">
        <v>10</v>
      </c>
      <c r="E609" s="1" t="s">
        <v>11</v>
      </c>
      <c r="F609" s="1" t="s">
        <v>15</v>
      </c>
      <c r="G609">
        <v>3</v>
      </c>
      <c r="H609">
        <v>0</v>
      </c>
      <c r="I609">
        <v>0</v>
      </c>
      <c r="J609" s="1" t="s">
        <v>174</v>
      </c>
      <c r="K609" s="1" t="s">
        <v>336</v>
      </c>
    </row>
    <row r="610" spans="1:11" x14ac:dyDescent="0.25">
      <c r="A610" s="2">
        <v>45915.667662037034</v>
      </c>
      <c r="B610" s="1" t="s">
        <v>353</v>
      </c>
      <c r="C610" s="1" t="s">
        <v>363</v>
      </c>
      <c r="D610" s="1" t="s">
        <v>10</v>
      </c>
      <c r="E610" s="1" t="s">
        <v>11</v>
      </c>
      <c r="F610" s="1" t="s">
        <v>12</v>
      </c>
      <c r="G610">
        <v>10.5</v>
      </c>
      <c r="H610">
        <v>0</v>
      </c>
      <c r="I610">
        <v>0</v>
      </c>
      <c r="J610" s="1"/>
      <c r="K610" s="1" t="s">
        <v>337</v>
      </c>
    </row>
    <row r="611" spans="1:11" x14ac:dyDescent="0.25">
      <c r="A611" s="2">
        <v>45915.667662037034</v>
      </c>
      <c r="B611" s="1" t="s">
        <v>353</v>
      </c>
      <c r="C611" s="1" t="s">
        <v>363</v>
      </c>
      <c r="D611" s="1" t="s">
        <v>10</v>
      </c>
      <c r="E611" s="1" t="s">
        <v>11</v>
      </c>
      <c r="F611" s="1" t="s">
        <v>12</v>
      </c>
      <c r="G611">
        <v>10.5</v>
      </c>
      <c r="H611">
        <v>0</v>
      </c>
      <c r="I611">
        <v>0</v>
      </c>
      <c r="J611" s="1"/>
      <c r="K611" s="1" t="s">
        <v>340</v>
      </c>
    </row>
    <row r="612" spans="1:11" x14ac:dyDescent="0.25">
      <c r="A612" s="2">
        <v>45915.747395833336</v>
      </c>
      <c r="B612" s="1" t="s">
        <v>355</v>
      </c>
      <c r="C612" s="1" t="s">
        <v>363</v>
      </c>
      <c r="D612" s="1" t="s">
        <v>10</v>
      </c>
      <c r="E612" s="1" t="s">
        <v>11</v>
      </c>
      <c r="F612" s="1" t="s">
        <v>12</v>
      </c>
      <c r="G612">
        <v>10.5</v>
      </c>
      <c r="H612">
        <v>0</v>
      </c>
      <c r="I612">
        <v>0</v>
      </c>
      <c r="J612" s="1"/>
      <c r="K612" s="1" t="s">
        <v>340</v>
      </c>
    </row>
    <row r="613" spans="1:11" x14ac:dyDescent="0.25">
      <c r="A613" s="2">
        <v>45915.748078703706</v>
      </c>
      <c r="B613" s="1" t="s">
        <v>355</v>
      </c>
      <c r="C613" s="1" t="s">
        <v>363</v>
      </c>
      <c r="D613" s="1" t="s">
        <v>10</v>
      </c>
      <c r="E613" s="1" t="s">
        <v>11</v>
      </c>
      <c r="F613" s="1" t="s">
        <v>12</v>
      </c>
      <c r="G613">
        <v>10.5</v>
      </c>
      <c r="H613">
        <v>1</v>
      </c>
      <c r="I613">
        <v>0</v>
      </c>
      <c r="J613" s="1"/>
      <c r="K613" s="1" t="s">
        <v>336</v>
      </c>
    </row>
    <row r="614" spans="1:11" x14ac:dyDescent="0.25">
      <c r="A614" s="2">
        <v>45915.74827546296</v>
      </c>
      <c r="B614" s="1" t="s">
        <v>355</v>
      </c>
      <c r="C614" s="1" t="s">
        <v>363</v>
      </c>
      <c r="D614" s="1" t="s">
        <v>10</v>
      </c>
      <c r="E614" s="1" t="s">
        <v>11</v>
      </c>
      <c r="F614" s="1" t="s">
        <v>12</v>
      </c>
      <c r="G614">
        <v>10.5</v>
      </c>
      <c r="H614">
        <v>1</v>
      </c>
      <c r="I614">
        <v>1</v>
      </c>
      <c r="J614" s="1"/>
      <c r="K614" s="1" t="s">
        <v>336</v>
      </c>
    </row>
    <row r="615" spans="1:11" x14ac:dyDescent="0.25">
      <c r="A615" s="2">
        <v>45915.748530092591</v>
      </c>
      <c r="B615" s="1" t="s">
        <v>355</v>
      </c>
      <c r="C615" s="1" t="s">
        <v>363</v>
      </c>
      <c r="D615" s="1" t="s">
        <v>10</v>
      </c>
      <c r="E615" s="1" t="s">
        <v>11</v>
      </c>
      <c r="F615" s="1" t="s">
        <v>12</v>
      </c>
      <c r="G615">
        <v>10.5</v>
      </c>
      <c r="H615">
        <v>0</v>
      </c>
      <c r="I615">
        <v>0</v>
      </c>
      <c r="J615" s="1"/>
      <c r="K615" s="1" t="s">
        <v>343</v>
      </c>
    </row>
    <row r="616" spans="1:11" x14ac:dyDescent="0.25">
      <c r="A616" s="2">
        <v>45916.509120370371</v>
      </c>
      <c r="B616" s="1" t="s">
        <v>350</v>
      </c>
      <c r="C616" s="1" t="s">
        <v>358</v>
      </c>
      <c r="D616" s="1" t="s">
        <v>10</v>
      </c>
      <c r="E616" s="1" t="s">
        <v>11</v>
      </c>
      <c r="F616" s="1" t="s">
        <v>12</v>
      </c>
      <c r="G616">
        <v>10.5</v>
      </c>
      <c r="H616">
        <v>1</v>
      </c>
      <c r="I616">
        <v>0</v>
      </c>
      <c r="J616" s="1" t="s">
        <v>175</v>
      </c>
      <c r="K616" s="1" t="s">
        <v>336</v>
      </c>
    </row>
    <row r="617" spans="1:11" x14ac:dyDescent="0.25">
      <c r="A617" s="2">
        <v>45916.509120370371</v>
      </c>
      <c r="B617" s="1" t="s">
        <v>350</v>
      </c>
      <c r="C617" s="1" t="s">
        <v>358</v>
      </c>
      <c r="D617" s="1" t="s">
        <v>10</v>
      </c>
      <c r="E617" s="1" t="s">
        <v>11</v>
      </c>
      <c r="F617" s="1" t="s">
        <v>12</v>
      </c>
      <c r="G617">
        <v>10.5</v>
      </c>
      <c r="H617">
        <v>1</v>
      </c>
      <c r="I617">
        <v>0</v>
      </c>
      <c r="J617" s="1" t="s">
        <v>175</v>
      </c>
      <c r="K617" s="1" t="s">
        <v>341</v>
      </c>
    </row>
    <row r="618" spans="1:11" x14ac:dyDescent="0.25">
      <c r="A618" s="2">
        <v>45916.509120370371</v>
      </c>
      <c r="B618" s="1" t="s">
        <v>350</v>
      </c>
      <c r="C618" s="1" t="s">
        <v>358</v>
      </c>
      <c r="D618" s="1" t="s">
        <v>10</v>
      </c>
      <c r="E618" s="1" t="s">
        <v>11</v>
      </c>
      <c r="F618" s="1" t="s">
        <v>12</v>
      </c>
      <c r="G618">
        <v>10.5</v>
      </c>
      <c r="H618">
        <v>1</v>
      </c>
      <c r="I618">
        <v>0</v>
      </c>
      <c r="J618" s="1" t="s">
        <v>175</v>
      </c>
      <c r="K618" s="1" t="s">
        <v>343</v>
      </c>
    </row>
    <row r="619" spans="1:11" x14ac:dyDescent="0.25">
      <c r="A619" s="2">
        <v>45916.518680555557</v>
      </c>
      <c r="B619" s="1" t="s">
        <v>350</v>
      </c>
      <c r="C619" s="1" t="s">
        <v>358</v>
      </c>
      <c r="D619" s="1" t="s">
        <v>10</v>
      </c>
      <c r="E619" s="1" t="s">
        <v>11</v>
      </c>
      <c r="F619" s="1" t="s">
        <v>15</v>
      </c>
      <c r="G619">
        <v>3</v>
      </c>
      <c r="H619">
        <v>0</v>
      </c>
      <c r="I619">
        <v>0</v>
      </c>
      <c r="J619" s="1"/>
      <c r="K619" s="1" t="s">
        <v>341</v>
      </c>
    </row>
    <row r="620" spans="1:11" x14ac:dyDescent="0.25">
      <c r="A620" s="2">
        <v>45916.567696759259</v>
      </c>
      <c r="B620" s="1" t="s">
        <v>351</v>
      </c>
      <c r="C620" s="1" t="s">
        <v>358</v>
      </c>
      <c r="D620" s="1" t="s">
        <v>10</v>
      </c>
      <c r="E620" s="1" t="s">
        <v>11</v>
      </c>
      <c r="F620" s="1" t="s">
        <v>15</v>
      </c>
      <c r="G620">
        <v>3</v>
      </c>
      <c r="H620">
        <v>0</v>
      </c>
      <c r="I620">
        <v>0</v>
      </c>
      <c r="J620" s="1" t="s">
        <v>176</v>
      </c>
      <c r="K620" s="1" t="s">
        <v>342</v>
      </c>
    </row>
    <row r="621" spans="1:11" x14ac:dyDescent="0.25">
      <c r="A621" s="2">
        <v>45916.567696759259</v>
      </c>
      <c r="B621" s="1" t="s">
        <v>351</v>
      </c>
      <c r="C621" s="1" t="s">
        <v>358</v>
      </c>
      <c r="D621" s="1" t="s">
        <v>10</v>
      </c>
      <c r="E621" s="1" t="s">
        <v>11</v>
      </c>
      <c r="F621" s="1" t="s">
        <v>15</v>
      </c>
      <c r="G621">
        <v>3</v>
      </c>
      <c r="H621">
        <v>0</v>
      </c>
      <c r="I621">
        <v>0</v>
      </c>
      <c r="J621" s="1" t="s">
        <v>176</v>
      </c>
      <c r="K621" s="1" t="s">
        <v>345</v>
      </c>
    </row>
    <row r="622" spans="1:11" x14ac:dyDescent="0.25">
      <c r="A622" s="2">
        <v>45916.59337962963</v>
      </c>
      <c r="B622" s="1" t="s">
        <v>348</v>
      </c>
      <c r="C622" s="1" t="s">
        <v>358</v>
      </c>
      <c r="D622" s="1" t="s">
        <v>10</v>
      </c>
      <c r="E622" s="1" t="s">
        <v>11</v>
      </c>
      <c r="F622" s="1" t="s">
        <v>15</v>
      </c>
      <c r="G622">
        <v>3</v>
      </c>
      <c r="H622">
        <v>0</v>
      </c>
      <c r="I622">
        <v>0</v>
      </c>
      <c r="J622" s="1"/>
      <c r="K622" s="1" t="s">
        <v>342</v>
      </c>
    </row>
    <row r="623" spans="1:11" x14ac:dyDescent="0.25">
      <c r="A623" s="2">
        <v>45916.593425925923</v>
      </c>
      <c r="B623" s="1" t="s">
        <v>348</v>
      </c>
      <c r="C623" s="1" t="s">
        <v>358</v>
      </c>
      <c r="D623" s="1" t="s">
        <v>10</v>
      </c>
      <c r="E623" s="1" t="s">
        <v>11</v>
      </c>
      <c r="F623" s="1" t="s">
        <v>15</v>
      </c>
      <c r="G623">
        <v>3</v>
      </c>
      <c r="H623">
        <v>0</v>
      </c>
      <c r="I623">
        <v>0</v>
      </c>
      <c r="J623" s="1"/>
      <c r="K623" s="1" t="s">
        <v>342</v>
      </c>
    </row>
    <row r="624" spans="1:11" x14ac:dyDescent="0.25">
      <c r="A624" s="2">
        <v>45916.62159722222</v>
      </c>
      <c r="B624" s="1" t="s">
        <v>348</v>
      </c>
      <c r="C624" s="1" t="s">
        <v>358</v>
      </c>
      <c r="D624" s="1" t="s">
        <v>10</v>
      </c>
      <c r="E624" s="1" t="s">
        <v>11</v>
      </c>
      <c r="F624" s="1" t="s">
        <v>15</v>
      </c>
      <c r="G624">
        <v>3</v>
      </c>
      <c r="H624">
        <v>0</v>
      </c>
      <c r="I624">
        <v>0</v>
      </c>
      <c r="J624" s="1"/>
      <c r="K624" s="1" t="s">
        <v>342</v>
      </c>
    </row>
    <row r="625" spans="1:11" x14ac:dyDescent="0.25">
      <c r="A625" s="2">
        <v>45916.629155092596</v>
      </c>
      <c r="B625" s="1" t="s">
        <v>349</v>
      </c>
      <c r="C625" s="1" t="s">
        <v>358</v>
      </c>
      <c r="D625" s="1" t="s">
        <v>10</v>
      </c>
      <c r="E625" s="1" t="s">
        <v>11</v>
      </c>
      <c r="F625" s="1" t="s">
        <v>15</v>
      </c>
      <c r="G625">
        <v>3</v>
      </c>
      <c r="H625">
        <v>0</v>
      </c>
      <c r="I625">
        <v>0</v>
      </c>
      <c r="J625" s="1"/>
      <c r="K625" s="1" t="s">
        <v>342</v>
      </c>
    </row>
    <row r="626" spans="1:11" x14ac:dyDescent="0.25">
      <c r="A626" s="2">
        <v>45916.748078703706</v>
      </c>
      <c r="B626" s="1" t="s">
        <v>355</v>
      </c>
      <c r="C626" s="1" t="s">
        <v>358</v>
      </c>
      <c r="D626" s="1" t="s">
        <v>10</v>
      </c>
      <c r="E626" s="1" t="s">
        <v>11</v>
      </c>
      <c r="F626" s="1" t="s">
        <v>15</v>
      </c>
      <c r="G626">
        <v>3</v>
      </c>
      <c r="H626">
        <v>0</v>
      </c>
      <c r="I626">
        <v>0</v>
      </c>
      <c r="J626" s="1"/>
      <c r="K626" s="1" t="s">
        <v>341</v>
      </c>
    </row>
    <row r="627" spans="1:11" x14ac:dyDescent="0.25">
      <c r="A627" s="2">
        <v>45916.748148148145</v>
      </c>
      <c r="B627" s="1" t="s">
        <v>355</v>
      </c>
      <c r="C627" s="1" t="s">
        <v>358</v>
      </c>
      <c r="D627" s="1" t="s">
        <v>10</v>
      </c>
      <c r="E627" s="1" t="s">
        <v>11</v>
      </c>
      <c r="F627" s="1" t="s">
        <v>14</v>
      </c>
      <c r="G627">
        <v>0.5</v>
      </c>
      <c r="H627">
        <v>0</v>
      </c>
      <c r="I627">
        <v>0</v>
      </c>
      <c r="J627" s="1"/>
      <c r="K627" s="1" t="s">
        <v>343</v>
      </c>
    </row>
    <row r="628" spans="1:11" x14ac:dyDescent="0.25">
      <c r="A628" s="2">
        <v>45916.748356481483</v>
      </c>
      <c r="B628" s="1" t="s">
        <v>355</v>
      </c>
      <c r="C628" s="1" t="s">
        <v>358</v>
      </c>
      <c r="D628" s="1" t="s">
        <v>10</v>
      </c>
      <c r="E628" s="1" t="s">
        <v>11</v>
      </c>
      <c r="F628" s="1" t="s">
        <v>14</v>
      </c>
      <c r="G628">
        <v>0.5</v>
      </c>
      <c r="H628">
        <v>0</v>
      </c>
      <c r="I628">
        <v>0</v>
      </c>
      <c r="J628" s="1"/>
      <c r="K628" s="1" t="s">
        <v>343</v>
      </c>
    </row>
    <row r="629" spans="1:11" x14ac:dyDescent="0.25">
      <c r="A629" s="2">
        <v>45916.748449074075</v>
      </c>
      <c r="B629" s="1" t="s">
        <v>355</v>
      </c>
      <c r="C629" s="1" t="s">
        <v>358</v>
      </c>
      <c r="D629" s="1" t="s">
        <v>10</v>
      </c>
      <c r="E629" s="1" t="s">
        <v>11</v>
      </c>
      <c r="F629" s="1" t="s">
        <v>14</v>
      </c>
      <c r="G629">
        <v>0.5</v>
      </c>
      <c r="H629">
        <v>0</v>
      </c>
      <c r="I629">
        <v>0</v>
      </c>
      <c r="J629" s="1"/>
      <c r="K629" s="1" t="s">
        <v>345</v>
      </c>
    </row>
    <row r="630" spans="1:11" x14ac:dyDescent="0.25">
      <c r="A630" s="2">
        <v>45917.444733796299</v>
      </c>
      <c r="B630" s="1" t="s">
        <v>347</v>
      </c>
      <c r="C630" s="1" t="s">
        <v>359</v>
      </c>
      <c r="D630" s="1" t="s">
        <v>10</v>
      </c>
      <c r="E630" s="1" t="s">
        <v>11</v>
      </c>
      <c r="F630" s="1" t="s">
        <v>12</v>
      </c>
      <c r="G630">
        <v>10.5</v>
      </c>
      <c r="H630">
        <v>1</v>
      </c>
      <c r="I630">
        <v>0</v>
      </c>
      <c r="J630" s="1"/>
      <c r="K630" s="1" t="s">
        <v>340</v>
      </c>
    </row>
    <row r="631" spans="1:11" x14ac:dyDescent="0.25">
      <c r="A631" s="2">
        <v>45917.444953703707</v>
      </c>
      <c r="B631" s="1" t="s">
        <v>347</v>
      </c>
      <c r="C631" s="1" t="s">
        <v>359</v>
      </c>
      <c r="D631" s="1" t="s">
        <v>10</v>
      </c>
      <c r="E631" s="1" t="s">
        <v>17</v>
      </c>
      <c r="F631" s="1" t="s">
        <v>14</v>
      </c>
      <c r="G631">
        <v>0.5</v>
      </c>
      <c r="H631">
        <v>0</v>
      </c>
      <c r="I631">
        <v>0</v>
      </c>
      <c r="J631" s="1"/>
      <c r="K631" s="1" t="s">
        <v>342</v>
      </c>
    </row>
    <row r="632" spans="1:11" x14ac:dyDescent="0.25">
      <c r="A632" s="2">
        <v>45917.444953703707</v>
      </c>
      <c r="B632" s="1" t="s">
        <v>347</v>
      </c>
      <c r="C632" s="1" t="s">
        <v>359</v>
      </c>
      <c r="D632" s="1" t="s">
        <v>10</v>
      </c>
      <c r="E632" s="1" t="s">
        <v>17</v>
      </c>
      <c r="F632" s="1" t="s">
        <v>14</v>
      </c>
      <c r="G632">
        <v>0.5</v>
      </c>
      <c r="H632">
        <v>0</v>
      </c>
      <c r="I632">
        <v>0</v>
      </c>
      <c r="J632" s="1"/>
      <c r="K632" s="1" t="s">
        <v>343</v>
      </c>
    </row>
    <row r="633" spans="1:11" x14ac:dyDescent="0.25">
      <c r="A633" s="2">
        <v>45917.583958333336</v>
      </c>
      <c r="B633" s="1" t="s">
        <v>348</v>
      </c>
      <c r="C633" s="1" t="s">
        <v>359</v>
      </c>
      <c r="D633" s="1" t="s">
        <v>10</v>
      </c>
      <c r="E633" s="1" t="s">
        <v>11</v>
      </c>
      <c r="F633" s="1" t="s">
        <v>12</v>
      </c>
      <c r="G633">
        <v>10.5</v>
      </c>
      <c r="H633">
        <v>0</v>
      </c>
      <c r="I633">
        <v>0</v>
      </c>
      <c r="J633" s="1"/>
      <c r="K633" s="1" t="s">
        <v>343</v>
      </c>
    </row>
    <row r="634" spans="1:11" x14ac:dyDescent="0.25">
      <c r="A634" s="2">
        <v>45917.602881944447</v>
      </c>
      <c r="B634" s="1" t="s">
        <v>348</v>
      </c>
      <c r="C634" s="1" t="s">
        <v>359</v>
      </c>
      <c r="D634" s="1" t="s">
        <v>10</v>
      </c>
      <c r="E634" s="1" t="s">
        <v>17</v>
      </c>
      <c r="F634" s="1" t="s">
        <v>14</v>
      </c>
      <c r="G634">
        <v>0.5</v>
      </c>
      <c r="H634">
        <v>0</v>
      </c>
      <c r="I634">
        <v>0</v>
      </c>
      <c r="J634" s="1"/>
      <c r="K634" s="1" t="s">
        <v>343</v>
      </c>
    </row>
    <row r="635" spans="1:11" x14ac:dyDescent="0.25">
      <c r="A635" s="2">
        <v>45917.744432870371</v>
      </c>
      <c r="B635" s="1" t="s">
        <v>355</v>
      </c>
      <c r="C635" s="1" t="s">
        <v>359</v>
      </c>
      <c r="D635" s="1" t="s">
        <v>10</v>
      </c>
      <c r="E635" s="1" t="s">
        <v>11</v>
      </c>
      <c r="F635" s="1" t="s">
        <v>15</v>
      </c>
      <c r="G635">
        <v>3</v>
      </c>
      <c r="H635">
        <v>1</v>
      </c>
      <c r="I635">
        <v>0</v>
      </c>
      <c r="J635" s="1"/>
      <c r="K635" s="1" t="s">
        <v>336</v>
      </c>
    </row>
    <row r="636" spans="1:11" x14ac:dyDescent="0.25">
      <c r="A636" s="2">
        <v>45917.744803240741</v>
      </c>
      <c r="B636" s="1" t="s">
        <v>355</v>
      </c>
      <c r="C636" s="1" t="s">
        <v>359</v>
      </c>
      <c r="D636" s="1" t="s">
        <v>10</v>
      </c>
      <c r="E636" s="1" t="s">
        <v>11</v>
      </c>
      <c r="F636" s="1" t="s">
        <v>15</v>
      </c>
      <c r="G636">
        <v>3</v>
      </c>
      <c r="H636">
        <v>0</v>
      </c>
      <c r="I636">
        <v>0</v>
      </c>
      <c r="J636" s="1"/>
      <c r="K636" s="1" t="s">
        <v>340</v>
      </c>
    </row>
    <row r="637" spans="1:11" x14ac:dyDescent="0.25">
      <c r="A637" s="2">
        <v>45917.744895833333</v>
      </c>
      <c r="B637" s="1" t="s">
        <v>355</v>
      </c>
      <c r="C637" s="1" t="s">
        <v>359</v>
      </c>
      <c r="D637" s="1" t="s">
        <v>10</v>
      </c>
      <c r="E637" s="1" t="s">
        <v>11</v>
      </c>
      <c r="F637" s="1" t="s">
        <v>14</v>
      </c>
      <c r="G637">
        <v>0.5</v>
      </c>
      <c r="H637">
        <v>0</v>
      </c>
      <c r="I637">
        <v>0</v>
      </c>
      <c r="J637" s="1"/>
      <c r="K637" s="1" t="s">
        <v>344</v>
      </c>
    </row>
    <row r="638" spans="1:11" x14ac:dyDescent="0.25">
      <c r="A638" s="2">
        <v>45918.390902777777</v>
      </c>
      <c r="B638" s="1" t="s">
        <v>352</v>
      </c>
      <c r="C638" s="1" t="s">
        <v>360</v>
      </c>
      <c r="D638" s="1" t="s">
        <v>10</v>
      </c>
      <c r="E638" s="1" t="s">
        <v>11</v>
      </c>
      <c r="F638" s="1" t="s">
        <v>12</v>
      </c>
      <c r="G638">
        <v>10.5</v>
      </c>
      <c r="H638">
        <v>1</v>
      </c>
      <c r="I638">
        <v>0</v>
      </c>
      <c r="J638" s="1"/>
      <c r="K638" s="1" t="s">
        <v>336</v>
      </c>
    </row>
    <row r="639" spans="1:11" x14ac:dyDescent="0.25">
      <c r="A639" s="2">
        <v>45918.457152777781</v>
      </c>
      <c r="B639" s="1" t="s">
        <v>347</v>
      </c>
      <c r="C639" s="1" t="s">
        <v>360</v>
      </c>
      <c r="D639" s="1" t="s">
        <v>10</v>
      </c>
      <c r="E639" s="1" t="s">
        <v>11</v>
      </c>
      <c r="F639" s="1" t="s">
        <v>12</v>
      </c>
      <c r="G639">
        <v>10.5</v>
      </c>
      <c r="H639">
        <v>0</v>
      </c>
      <c r="I639">
        <v>0</v>
      </c>
      <c r="J639" s="1"/>
      <c r="K639" s="1" t="s">
        <v>340</v>
      </c>
    </row>
    <row r="640" spans="1:11" x14ac:dyDescent="0.25">
      <c r="A640" s="2">
        <v>45918.53261574074</v>
      </c>
      <c r="B640" s="1" t="s">
        <v>350</v>
      </c>
      <c r="C640" s="1" t="s">
        <v>360</v>
      </c>
      <c r="D640" s="1" t="s">
        <v>10</v>
      </c>
      <c r="E640" s="1" t="s">
        <v>11</v>
      </c>
      <c r="F640" s="1" t="s">
        <v>12</v>
      </c>
      <c r="G640">
        <v>10.5</v>
      </c>
      <c r="H640">
        <v>1</v>
      </c>
      <c r="I640">
        <v>1</v>
      </c>
      <c r="J640" s="1"/>
      <c r="K640" s="1" t="s">
        <v>336</v>
      </c>
    </row>
    <row r="641" spans="1:11" x14ac:dyDescent="0.25">
      <c r="A641" s="2">
        <v>45918.532766203702</v>
      </c>
      <c r="B641" s="1" t="s">
        <v>350</v>
      </c>
      <c r="C641" s="1" t="s">
        <v>360</v>
      </c>
      <c r="D641" s="1" t="s">
        <v>10</v>
      </c>
      <c r="E641" s="1" t="s">
        <v>11</v>
      </c>
      <c r="F641" s="1" t="s">
        <v>18</v>
      </c>
      <c r="G641">
        <v>20</v>
      </c>
      <c r="H641">
        <v>0</v>
      </c>
      <c r="I641">
        <v>0</v>
      </c>
      <c r="J641" s="1"/>
      <c r="K641" s="1" t="s">
        <v>340</v>
      </c>
    </row>
    <row r="642" spans="1:11" x14ac:dyDescent="0.25">
      <c r="A642" s="2">
        <v>45918.538564814815</v>
      </c>
      <c r="B642" s="1" t="s">
        <v>350</v>
      </c>
      <c r="C642" s="1" t="s">
        <v>360</v>
      </c>
      <c r="D642" s="1" t="s">
        <v>10</v>
      </c>
      <c r="E642" s="1" t="s">
        <v>11</v>
      </c>
      <c r="F642" s="1" t="s">
        <v>15</v>
      </c>
      <c r="G642">
        <v>3</v>
      </c>
      <c r="H642">
        <v>1</v>
      </c>
      <c r="I642">
        <v>0</v>
      </c>
      <c r="J642" s="1"/>
      <c r="K642" s="1" t="s">
        <v>336</v>
      </c>
    </row>
    <row r="643" spans="1:11" x14ac:dyDescent="0.25">
      <c r="A643" s="2">
        <v>45919.413541666669</v>
      </c>
      <c r="B643" s="1" t="s">
        <v>352</v>
      </c>
      <c r="C643" s="1" t="s">
        <v>361</v>
      </c>
      <c r="D643" s="1" t="s">
        <v>10</v>
      </c>
      <c r="E643" s="1" t="s">
        <v>11</v>
      </c>
      <c r="F643" s="1" t="s">
        <v>12</v>
      </c>
      <c r="G643">
        <v>10.5</v>
      </c>
      <c r="H643">
        <v>0</v>
      </c>
      <c r="I643">
        <v>0</v>
      </c>
      <c r="J643" s="1"/>
      <c r="K643" s="1" t="s">
        <v>342</v>
      </c>
    </row>
    <row r="644" spans="1:11" x14ac:dyDescent="0.25">
      <c r="A644" s="2">
        <v>45919.522280092591</v>
      </c>
      <c r="B644" s="1" t="s">
        <v>350</v>
      </c>
      <c r="C644" s="1" t="s">
        <v>361</v>
      </c>
      <c r="D644" s="1" t="s">
        <v>10</v>
      </c>
      <c r="E644" s="1" t="s">
        <v>11</v>
      </c>
      <c r="F644" s="1" t="s">
        <v>18</v>
      </c>
      <c r="G644">
        <v>20</v>
      </c>
      <c r="H644">
        <v>0</v>
      </c>
      <c r="I644">
        <v>1</v>
      </c>
      <c r="J644" s="1"/>
      <c r="K644" s="1" t="s">
        <v>336</v>
      </c>
    </row>
    <row r="645" spans="1:11" x14ac:dyDescent="0.25">
      <c r="A645" s="2">
        <v>45919.522465277776</v>
      </c>
      <c r="B645" s="1" t="s">
        <v>350</v>
      </c>
      <c r="C645" s="1" t="s">
        <v>361</v>
      </c>
      <c r="D645" s="1" t="s">
        <v>10</v>
      </c>
      <c r="E645" s="1" t="s">
        <v>11</v>
      </c>
      <c r="F645" s="1" t="s">
        <v>18</v>
      </c>
      <c r="G645">
        <v>20</v>
      </c>
      <c r="H645">
        <v>0</v>
      </c>
      <c r="I645">
        <v>0</v>
      </c>
      <c r="J645" s="1"/>
      <c r="K645" s="1" t="s">
        <v>340</v>
      </c>
    </row>
    <row r="646" spans="1:11" x14ac:dyDescent="0.25">
      <c r="A646" s="2">
        <v>45919.589803240742</v>
      </c>
      <c r="B646" s="1" t="s">
        <v>348</v>
      </c>
      <c r="C646" s="1" t="s">
        <v>361</v>
      </c>
      <c r="D646" s="1" t="s">
        <v>10</v>
      </c>
      <c r="E646" s="1" t="s">
        <v>11</v>
      </c>
      <c r="F646" s="1" t="s">
        <v>15</v>
      </c>
      <c r="G646">
        <v>3</v>
      </c>
      <c r="H646">
        <v>0</v>
      </c>
      <c r="I646">
        <v>0</v>
      </c>
      <c r="J646" s="1" t="s">
        <v>177</v>
      </c>
      <c r="K646" s="1" t="s">
        <v>345</v>
      </c>
    </row>
    <row r="647" spans="1:11" x14ac:dyDescent="0.25">
      <c r="A647" s="2">
        <v>45919.667500000003</v>
      </c>
      <c r="B647" s="1" t="s">
        <v>353</v>
      </c>
      <c r="C647" s="1" t="s">
        <v>361</v>
      </c>
      <c r="D647" s="1" t="s">
        <v>10</v>
      </c>
      <c r="E647" s="1" t="s">
        <v>11</v>
      </c>
      <c r="F647" s="1" t="s">
        <v>15</v>
      </c>
      <c r="G647">
        <v>3</v>
      </c>
      <c r="H647">
        <v>0</v>
      </c>
      <c r="I647">
        <v>0</v>
      </c>
      <c r="J647" s="1" t="s">
        <v>178</v>
      </c>
      <c r="K647" s="1" t="s">
        <v>345</v>
      </c>
    </row>
    <row r="648" spans="1:11" x14ac:dyDescent="0.25">
      <c r="A648" s="2">
        <v>45920.460347222222</v>
      </c>
      <c r="B648" s="1" t="s">
        <v>354</v>
      </c>
      <c r="C648" s="1" t="s">
        <v>362</v>
      </c>
      <c r="D648" s="1" t="s">
        <v>10</v>
      </c>
      <c r="E648" s="1" t="s">
        <v>11</v>
      </c>
      <c r="F648" s="1" t="s">
        <v>15</v>
      </c>
      <c r="G648">
        <v>3</v>
      </c>
      <c r="H648">
        <v>0</v>
      </c>
      <c r="I648">
        <v>0</v>
      </c>
      <c r="J648" s="1" t="s">
        <v>179</v>
      </c>
      <c r="K648" s="1" t="s">
        <v>343</v>
      </c>
    </row>
    <row r="649" spans="1:11" x14ac:dyDescent="0.25">
      <c r="A649" s="2">
        <v>45922.4841087963</v>
      </c>
      <c r="B649" s="1" t="s">
        <v>354</v>
      </c>
      <c r="C649" s="1" t="s">
        <v>363</v>
      </c>
      <c r="D649" s="1" t="s">
        <v>10</v>
      </c>
      <c r="E649" s="1" t="s">
        <v>17</v>
      </c>
      <c r="F649" s="1" t="s">
        <v>12</v>
      </c>
      <c r="G649">
        <v>10.5</v>
      </c>
      <c r="H649">
        <v>0</v>
      </c>
      <c r="I649">
        <v>0</v>
      </c>
      <c r="J649" s="1"/>
      <c r="K649" s="1" t="s">
        <v>344</v>
      </c>
    </row>
    <row r="650" spans="1:11" x14ac:dyDescent="0.25">
      <c r="A650" s="2">
        <v>45922.4843287037</v>
      </c>
      <c r="B650" s="1" t="s">
        <v>354</v>
      </c>
      <c r="C650" s="1" t="s">
        <v>363</v>
      </c>
      <c r="D650" s="1" t="s">
        <v>10</v>
      </c>
      <c r="E650" s="1" t="s">
        <v>11</v>
      </c>
      <c r="F650" s="1" t="s">
        <v>14</v>
      </c>
      <c r="G650">
        <v>0.5</v>
      </c>
      <c r="H650">
        <v>0</v>
      </c>
      <c r="I650">
        <v>0</v>
      </c>
      <c r="J650" s="1"/>
      <c r="K650" s="1" t="s">
        <v>342</v>
      </c>
    </row>
    <row r="651" spans="1:11" x14ac:dyDescent="0.25">
      <c r="A651" s="2">
        <v>45922.484513888892</v>
      </c>
      <c r="B651" s="1" t="s">
        <v>354</v>
      </c>
      <c r="C651" s="1" t="s">
        <v>363</v>
      </c>
      <c r="D651" s="1" t="s">
        <v>10</v>
      </c>
      <c r="E651" s="1" t="s">
        <v>11</v>
      </c>
      <c r="F651" s="1" t="s">
        <v>12</v>
      </c>
      <c r="G651">
        <v>10.5</v>
      </c>
      <c r="H651">
        <v>1</v>
      </c>
      <c r="I651">
        <v>0</v>
      </c>
      <c r="J651" s="1"/>
      <c r="K651" s="1" t="s">
        <v>336</v>
      </c>
    </row>
    <row r="652" spans="1:11" x14ac:dyDescent="0.25">
      <c r="A652" s="2">
        <v>45922.484652777777</v>
      </c>
      <c r="B652" s="1" t="s">
        <v>354</v>
      </c>
      <c r="C652" s="1" t="s">
        <v>363</v>
      </c>
      <c r="D652" s="1" t="s">
        <v>10</v>
      </c>
      <c r="E652" s="1" t="s">
        <v>11</v>
      </c>
      <c r="F652" s="1" t="s">
        <v>15</v>
      </c>
      <c r="G652">
        <v>3</v>
      </c>
      <c r="H652">
        <v>1</v>
      </c>
      <c r="I652">
        <v>0</v>
      </c>
      <c r="J652" s="1"/>
      <c r="K652" s="1" t="s">
        <v>336</v>
      </c>
    </row>
    <row r="653" spans="1:11" x14ac:dyDescent="0.25">
      <c r="A653" s="2">
        <v>45922.484872685185</v>
      </c>
      <c r="B653" s="1" t="s">
        <v>354</v>
      </c>
      <c r="C653" s="1" t="s">
        <v>363</v>
      </c>
      <c r="D653" s="1" t="s">
        <v>10</v>
      </c>
      <c r="E653" s="1" t="s">
        <v>11</v>
      </c>
      <c r="F653" s="1" t="s">
        <v>14</v>
      </c>
      <c r="G653">
        <v>0.5</v>
      </c>
      <c r="H653">
        <v>0</v>
      </c>
      <c r="I653">
        <v>0</v>
      </c>
      <c r="J653" s="1"/>
      <c r="K653" s="1" t="s">
        <v>342</v>
      </c>
    </row>
    <row r="654" spans="1:11" x14ac:dyDescent="0.25">
      <c r="A654" s="2">
        <v>45922.499745370369</v>
      </c>
      <c r="B654" s="1" t="s">
        <v>354</v>
      </c>
      <c r="C654" s="1" t="s">
        <v>363</v>
      </c>
      <c r="D654" s="1" t="s">
        <v>10</v>
      </c>
      <c r="E654" s="1" t="s">
        <v>17</v>
      </c>
      <c r="F654" s="1" t="s">
        <v>14</v>
      </c>
      <c r="G654">
        <v>0.5</v>
      </c>
      <c r="H654">
        <v>0</v>
      </c>
      <c r="I654">
        <v>0</v>
      </c>
      <c r="J654" s="1"/>
      <c r="K654" s="1" t="s">
        <v>342</v>
      </c>
    </row>
    <row r="655" spans="1:11" x14ac:dyDescent="0.25">
      <c r="A655" s="2">
        <v>45922.499861111108</v>
      </c>
      <c r="B655" s="1" t="s">
        <v>354</v>
      </c>
      <c r="C655" s="1" t="s">
        <v>363</v>
      </c>
      <c r="D655" s="1" t="s">
        <v>10</v>
      </c>
      <c r="E655" s="1" t="s">
        <v>11</v>
      </c>
      <c r="F655" s="1" t="s">
        <v>14</v>
      </c>
      <c r="G655">
        <v>0.5</v>
      </c>
      <c r="H655">
        <v>0</v>
      </c>
      <c r="I655">
        <v>0</v>
      </c>
      <c r="J655" s="1"/>
      <c r="K655" s="1" t="s">
        <v>342</v>
      </c>
    </row>
    <row r="656" spans="1:11" x14ac:dyDescent="0.25">
      <c r="A656" s="2">
        <v>45922.503125000003</v>
      </c>
      <c r="B656" s="1" t="s">
        <v>350</v>
      </c>
      <c r="C656" s="1" t="s">
        <v>363</v>
      </c>
      <c r="D656" s="1" t="s">
        <v>10</v>
      </c>
      <c r="E656" s="1" t="s">
        <v>17</v>
      </c>
      <c r="F656" s="1" t="s">
        <v>14</v>
      </c>
      <c r="G656">
        <v>0.5</v>
      </c>
      <c r="H656">
        <v>0</v>
      </c>
      <c r="I656">
        <v>0</v>
      </c>
      <c r="J656" s="1"/>
      <c r="K656" s="1" t="s">
        <v>342</v>
      </c>
    </row>
    <row r="657" spans="1:11" x14ac:dyDescent="0.25">
      <c r="A657" s="2">
        <v>45922.510983796295</v>
      </c>
      <c r="B657" s="1" t="s">
        <v>350</v>
      </c>
      <c r="C657" s="1" t="s">
        <v>363</v>
      </c>
      <c r="D657" s="1" t="s">
        <v>10</v>
      </c>
      <c r="E657" s="1" t="s">
        <v>11</v>
      </c>
      <c r="F657" s="1" t="s">
        <v>12</v>
      </c>
      <c r="G657">
        <v>10.5</v>
      </c>
      <c r="H657">
        <v>0</v>
      </c>
      <c r="I657">
        <v>0</v>
      </c>
      <c r="J657" s="1"/>
      <c r="K657" s="1" t="s">
        <v>341</v>
      </c>
    </row>
    <row r="658" spans="1:11" x14ac:dyDescent="0.25">
      <c r="A658" s="2">
        <v>45922.542314814818</v>
      </c>
      <c r="B658" s="1" t="s">
        <v>351</v>
      </c>
      <c r="C658" s="1" t="s">
        <v>363</v>
      </c>
      <c r="D658" s="1" t="s">
        <v>10</v>
      </c>
      <c r="E658" s="1" t="s">
        <v>11</v>
      </c>
      <c r="F658" s="1" t="s">
        <v>15</v>
      </c>
      <c r="G658">
        <v>3</v>
      </c>
      <c r="H658">
        <v>0</v>
      </c>
      <c r="I658">
        <v>0</v>
      </c>
      <c r="J658" s="1"/>
      <c r="K658" s="1" t="s">
        <v>343</v>
      </c>
    </row>
    <row r="659" spans="1:11" x14ac:dyDescent="0.25">
      <c r="A659" s="2">
        <v>45922.56821759259</v>
      </c>
      <c r="B659" s="1" t="s">
        <v>351</v>
      </c>
      <c r="C659" s="1" t="s">
        <v>363</v>
      </c>
      <c r="D659" s="1" t="s">
        <v>10</v>
      </c>
      <c r="E659" s="1" t="s">
        <v>11</v>
      </c>
      <c r="F659" s="1" t="s">
        <v>14</v>
      </c>
      <c r="G659">
        <v>0.5</v>
      </c>
      <c r="H659">
        <v>0</v>
      </c>
      <c r="I659">
        <v>0</v>
      </c>
      <c r="J659" s="1"/>
      <c r="K659" s="1" t="s">
        <v>342</v>
      </c>
    </row>
    <row r="660" spans="1:11" x14ac:dyDescent="0.25">
      <c r="A660" s="2">
        <v>45922.568460648145</v>
      </c>
      <c r="B660" s="1" t="s">
        <v>351</v>
      </c>
      <c r="C660" s="1" t="s">
        <v>363</v>
      </c>
      <c r="D660" s="1" t="s">
        <v>10</v>
      </c>
      <c r="E660" s="1" t="s">
        <v>11</v>
      </c>
      <c r="F660" s="1" t="s">
        <v>14</v>
      </c>
      <c r="G660">
        <v>0.5</v>
      </c>
      <c r="H660">
        <v>0</v>
      </c>
      <c r="I660">
        <v>0</v>
      </c>
      <c r="J660" s="1"/>
      <c r="K660" s="1" t="s">
        <v>336</v>
      </c>
    </row>
    <row r="661" spans="1:11" x14ac:dyDescent="0.25">
      <c r="A661" s="2">
        <v>45922.569618055553</v>
      </c>
      <c r="B661" s="1" t="s">
        <v>351</v>
      </c>
      <c r="C661" s="1" t="s">
        <v>363</v>
      </c>
      <c r="D661" s="1" t="s">
        <v>10</v>
      </c>
      <c r="E661" s="1" t="s">
        <v>11</v>
      </c>
      <c r="F661" s="1" t="s">
        <v>15</v>
      </c>
      <c r="G661">
        <v>3</v>
      </c>
      <c r="H661">
        <v>0</v>
      </c>
      <c r="I661">
        <v>0</v>
      </c>
      <c r="J661" s="1"/>
      <c r="K661" s="1" t="s">
        <v>342</v>
      </c>
    </row>
    <row r="662" spans="1:11" x14ac:dyDescent="0.25">
      <c r="A662" s="2">
        <v>45922.573634259257</v>
      </c>
      <c r="B662" s="1" t="s">
        <v>351</v>
      </c>
      <c r="C662" s="1" t="s">
        <v>363</v>
      </c>
      <c r="D662" s="1" t="s">
        <v>10</v>
      </c>
      <c r="E662" s="1" t="s">
        <v>11</v>
      </c>
      <c r="F662" s="1" t="s">
        <v>15</v>
      </c>
      <c r="G662">
        <v>3</v>
      </c>
      <c r="H662">
        <v>0</v>
      </c>
      <c r="I662">
        <v>0</v>
      </c>
      <c r="J662" s="1"/>
      <c r="K662" s="1" t="s">
        <v>341</v>
      </c>
    </row>
    <row r="663" spans="1:11" x14ac:dyDescent="0.25">
      <c r="A663" s="2">
        <v>45922.573634259257</v>
      </c>
      <c r="B663" s="1" t="s">
        <v>351</v>
      </c>
      <c r="C663" s="1" t="s">
        <v>363</v>
      </c>
      <c r="D663" s="1" t="s">
        <v>10</v>
      </c>
      <c r="E663" s="1" t="s">
        <v>11</v>
      </c>
      <c r="F663" s="1" t="s">
        <v>15</v>
      </c>
      <c r="G663">
        <v>3</v>
      </c>
      <c r="H663">
        <v>0</v>
      </c>
      <c r="I663">
        <v>0</v>
      </c>
      <c r="J663" s="1"/>
      <c r="K663" s="1" t="s">
        <v>342</v>
      </c>
    </row>
    <row r="664" spans="1:11" x14ac:dyDescent="0.25">
      <c r="A664" s="2">
        <v>45922.585428240738</v>
      </c>
      <c r="B664" s="1" t="s">
        <v>348</v>
      </c>
      <c r="C664" s="1" t="s">
        <v>363</v>
      </c>
      <c r="D664" s="1" t="s">
        <v>10</v>
      </c>
      <c r="E664" s="1" t="s">
        <v>17</v>
      </c>
      <c r="F664" s="1" t="s">
        <v>12</v>
      </c>
      <c r="G664">
        <v>10.5</v>
      </c>
      <c r="H664">
        <v>0</v>
      </c>
      <c r="I664">
        <v>0</v>
      </c>
      <c r="J664" s="1" t="s">
        <v>180</v>
      </c>
      <c r="K664" s="1" t="s">
        <v>342</v>
      </c>
    </row>
    <row r="665" spans="1:11" x14ac:dyDescent="0.25">
      <c r="A665" s="2">
        <v>45922.597222222219</v>
      </c>
      <c r="B665" s="1" t="s">
        <v>348</v>
      </c>
      <c r="C665" s="1" t="s">
        <v>363</v>
      </c>
      <c r="D665" s="1" t="s">
        <v>10</v>
      </c>
      <c r="E665" s="1" t="s">
        <v>11</v>
      </c>
      <c r="F665" s="1" t="s">
        <v>15</v>
      </c>
      <c r="G665">
        <v>3</v>
      </c>
      <c r="H665">
        <v>0</v>
      </c>
      <c r="I665">
        <v>0</v>
      </c>
      <c r="J665" s="1" t="s">
        <v>181</v>
      </c>
      <c r="K665" s="1" t="s">
        <v>343</v>
      </c>
    </row>
    <row r="666" spans="1:11" x14ac:dyDescent="0.25">
      <c r="A666" s="2">
        <v>45922.621828703705</v>
      </c>
      <c r="B666" s="1" t="s">
        <v>348</v>
      </c>
      <c r="C666" s="1" t="s">
        <v>363</v>
      </c>
      <c r="D666" s="1" t="s">
        <v>10</v>
      </c>
      <c r="E666" s="1" t="s">
        <v>11</v>
      </c>
      <c r="F666" s="1" t="s">
        <v>15</v>
      </c>
      <c r="G666">
        <v>3</v>
      </c>
      <c r="H666">
        <v>0</v>
      </c>
      <c r="I666">
        <v>0</v>
      </c>
      <c r="J666" s="1" t="s">
        <v>182</v>
      </c>
      <c r="K666" s="1" t="s">
        <v>336</v>
      </c>
    </row>
    <row r="667" spans="1:11" x14ac:dyDescent="0.25">
      <c r="A667" s="2">
        <v>45923.530347222222</v>
      </c>
      <c r="B667" s="1" t="s">
        <v>350</v>
      </c>
      <c r="C667" s="1" t="s">
        <v>358</v>
      </c>
      <c r="D667" s="1" t="s">
        <v>10</v>
      </c>
      <c r="E667" s="1" t="s">
        <v>11</v>
      </c>
      <c r="F667" s="1" t="s">
        <v>15</v>
      </c>
      <c r="G667">
        <v>3</v>
      </c>
      <c r="H667">
        <v>0</v>
      </c>
      <c r="I667">
        <v>0</v>
      </c>
      <c r="J667" s="1"/>
      <c r="K667" s="1" t="s">
        <v>342</v>
      </c>
    </row>
    <row r="668" spans="1:11" x14ac:dyDescent="0.25">
      <c r="A668" s="2">
        <v>45923.530474537038</v>
      </c>
      <c r="B668" s="1" t="s">
        <v>350</v>
      </c>
      <c r="C668" s="1" t="s">
        <v>358</v>
      </c>
      <c r="D668" s="1" t="s">
        <v>10</v>
      </c>
      <c r="E668" s="1" t="s">
        <v>11</v>
      </c>
      <c r="F668" s="1" t="s">
        <v>14</v>
      </c>
      <c r="G668">
        <v>0.5</v>
      </c>
      <c r="H668">
        <v>0</v>
      </c>
      <c r="I668">
        <v>0</v>
      </c>
      <c r="J668" s="1"/>
      <c r="K668" s="1" t="s">
        <v>342</v>
      </c>
    </row>
    <row r="669" spans="1:11" x14ac:dyDescent="0.25">
      <c r="A669" s="2">
        <v>45923.530613425923</v>
      </c>
      <c r="B669" s="1" t="s">
        <v>350</v>
      </c>
      <c r="C669" s="1" t="s">
        <v>358</v>
      </c>
      <c r="D669" s="1" t="s">
        <v>10</v>
      </c>
      <c r="E669" s="1" t="s">
        <v>11</v>
      </c>
      <c r="F669" s="1" t="s">
        <v>15</v>
      </c>
      <c r="G669">
        <v>3</v>
      </c>
      <c r="H669">
        <v>0</v>
      </c>
      <c r="I669">
        <v>0</v>
      </c>
      <c r="J669" s="1"/>
      <c r="K669" s="1" t="s">
        <v>341</v>
      </c>
    </row>
    <row r="670" spans="1:11" x14ac:dyDescent="0.25">
      <c r="A670" s="2">
        <v>45923.534803240742</v>
      </c>
      <c r="B670" s="1" t="s">
        <v>350</v>
      </c>
      <c r="C670" s="1" t="s">
        <v>358</v>
      </c>
      <c r="D670" s="1" t="s">
        <v>20</v>
      </c>
      <c r="E670" s="1" t="s">
        <v>17</v>
      </c>
      <c r="F670" s="1" t="s">
        <v>15</v>
      </c>
      <c r="G670">
        <v>3</v>
      </c>
      <c r="H670">
        <v>1</v>
      </c>
      <c r="I670">
        <v>0</v>
      </c>
      <c r="J670" s="1"/>
      <c r="K670" s="1" t="s">
        <v>336</v>
      </c>
    </row>
    <row r="671" spans="1:11" x14ac:dyDescent="0.25">
      <c r="A671" s="2">
        <v>45924.505601851852</v>
      </c>
      <c r="B671" s="1" t="s">
        <v>350</v>
      </c>
      <c r="C671" s="1" t="s">
        <v>359</v>
      </c>
      <c r="D671" s="1" t="s">
        <v>10</v>
      </c>
      <c r="E671" s="1" t="s">
        <v>11</v>
      </c>
      <c r="F671" s="1" t="s">
        <v>12</v>
      </c>
      <c r="G671">
        <v>10.5</v>
      </c>
      <c r="H671">
        <v>1</v>
      </c>
      <c r="I671">
        <v>1</v>
      </c>
      <c r="J671" s="1"/>
      <c r="K671" s="1" t="s">
        <v>337</v>
      </c>
    </row>
    <row r="672" spans="1:11" x14ac:dyDescent="0.25">
      <c r="A672" s="2">
        <v>45924.50577546296</v>
      </c>
      <c r="B672" s="1" t="s">
        <v>350</v>
      </c>
      <c r="C672" s="1" t="s">
        <v>359</v>
      </c>
      <c r="D672" s="1" t="s">
        <v>10</v>
      </c>
      <c r="E672" s="1" t="s">
        <v>11</v>
      </c>
      <c r="F672" s="1" t="s">
        <v>12</v>
      </c>
      <c r="G672">
        <v>10.5</v>
      </c>
      <c r="H672">
        <v>1</v>
      </c>
      <c r="I672">
        <v>0</v>
      </c>
      <c r="J672" s="1"/>
      <c r="K672" s="1" t="s">
        <v>336</v>
      </c>
    </row>
    <row r="673" spans="1:11" x14ac:dyDescent="0.25">
      <c r="A673" s="2">
        <v>45924.505949074075</v>
      </c>
      <c r="B673" s="1" t="s">
        <v>350</v>
      </c>
      <c r="C673" s="1" t="s">
        <v>359</v>
      </c>
      <c r="D673" s="1" t="s">
        <v>10</v>
      </c>
      <c r="E673" s="1" t="s">
        <v>11</v>
      </c>
      <c r="F673" s="1" t="s">
        <v>14</v>
      </c>
      <c r="G673">
        <v>0.5</v>
      </c>
      <c r="H673">
        <v>0</v>
      </c>
      <c r="I673">
        <v>0</v>
      </c>
      <c r="J673" s="1"/>
      <c r="K673" s="1" t="s">
        <v>342</v>
      </c>
    </row>
    <row r="674" spans="1:11" x14ac:dyDescent="0.25">
      <c r="A674" s="2">
        <v>45924.541944444441</v>
      </c>
      <c r="B674" s="1" t="s">
        <v>351</v>
      </c>
      <c r="C674" s="1" t="s">
        <v>359</v>
      </c>
      <c r="D674" s="1" t="s">
        <v>10</v>
      </c>
      <c r="E674" s="1" t="s">
        <v>11</v>
      </c>
      <c r="F674" s="1" t="s">
        <v>12</v>
      </c>
      <c r="G674">
        <v>10.5</v>
      </c>
      <c r="H674">
        <v>1</v>
      </c>
      <c r="I674">
        <v>0</v>
      </c>
      <c r="J674" s="1"/>
      <c r="K674" s="1" t="s">
        <v>336</v>
      </c>
    </row>
    <row r="675" spans="1:11" x14ac:dyDescent="0.25">
      <c r="A675" s="2">
        <v>45924.541944444441</v>
      </c>
      <c r="B675" s="1" t="s">
        <v>351</v>
      </c>
      <c r="C675" s="1" t="s">
        <v>359</v>
      </c>
      <c r="D675" s="1" t="s">
        <v>10</v>
      </c>
      <c r="E675" s="1" t="s">
        <v>11</v>
      </c>
      <c r="F675" s="1" t="s">
        <v>12</v>
      </c>
      <c r="G675">
        <v>10.5</v>
      </c>
      <c r="H675">
        <v>1</v>
      </c>
      <c r="I675">
        <v>0</v>
      </c>
      <c r="J675" s="1"/>
      <c r="K675" s="1" t="s">
        <v>343</v>
      </c>
    </row>
    <row r="676" spans="1:11" x14ac:dyDescent="0.25">
      <c r="A676" s="2">
        <v>45924.591168981482</v>
      </c>
      <c r="B676" s="1" t="s">
        <v>348</v>
      </c>
      <c r="C676" s="1" t="s">
        <v>359</v>
      </c>
      <c r="D676" s="1" t="s">
        <v>10</v>
      </c>
      <c r="E676" s="1" t="s">
        <v>11</v>
      </c>
      <c r="F676" s="1" t="s">
        <v>15</v>
      </c>
      <c r="G676">
        <v>3</v>
      </c>
      <c r="H676">
        <v>1</v>
      </c>
      <c r="I676">
        <v>0</v>
      </c>
      <c r="J676" s="1"/>
      <c r="K676" s="1" t="s">
        <v>336</v>
      </c>
    </row>
    <row r="677" spans="1:11" x14ac:dyDescent="0.25">
      <c r="A677" s="2">
        <v>45924.591168981482</v>
      </c>
      <c r="B677" s="1" t="s">
        <v>348</v>
      </c>
      <c r="C677" s="1" t="s">
        <v>359</v>
      </c>
      <c r="D677" s="1" t="s">
        <v>10</v>
      </c>
      <c r="E677" s="1" t="s">
        <v>11</v>
      </c>
      <c r="F677" s="1" t="s">
        <v>15</v>
      </c>
      <c r="G677">
        <v>3</v>
      </c>
      <c r="H677">
        <v>1</v>
      </c>
      <c r="I677">
        <v>0</v>
      </c>
      <c r="J677" s="1"/>
      <c r="K677" s="1" t="s">
        <v>106</v>
      </c>
    </row>
    <row r="678" spans="1:11" x14ac:dyDescent="0.25">
      <c r="A678" s="2">
        <v>45924.617881944447</v>
      </c>
      <c r="B678" s="1" t="s">
        <v>348</v>
      </c>
      <c r="C678" s="1" t="s">
        <v>359</v>
      </c>
      <c r="D678" s="1" t="s">
        <v>10</v>
      </c>
      <c r="E678" s="1" t="s">
        <v>11</v>
      </c>
      <c r="F678" s="1" t="s">
        <v>15</v>
      </c>
      <c r="G678">
        <v>3</v>
      </c>
      <c r="H678">
        <v>1</v>
      </c>
      <c r="I678">
        <v>0</v>
      </c>
      <c r="J678" s="1"/>
      <c r="K678" s="1" t="s">
        <v>337</v>
      </c>
    </row>
    <row r="679" spans="1:11" x14ac:dyDescent="0.25">
      <c r="A679" s="2">
        <v>45924.617881944447</v>
      </c>
      <c r="B679" s="1" t="s">
        <v>348</v>
      </c>
      <c r="C679" s="1" t="s">
        <v>359</v>
      </c>
      <c r="D679" s="1" t="s">
        <v>10</v>
      </c>
      <c r="E679" s="1" t="s">
        <v>11</v>
      </c>
      <c r="F679" s="1" t="s">
        <v>15</v>
      </c>
      <c r="G679">
        <v>3</v>
      </c>
      <c r="H679">
        <v>1</v>
      </c>
      <c r="I679">
        <v>0</v>
      </c>
      <c r="J679" s="1"/>
      <c r="K679" s="1" t="s">
        <v>106</v>
      </c>
    </row>
    <row r="680" spans="1:11" x14ac:dyDescent="0.25">
      <c r="A680" s="2">
        <v>45924.617881944447</v>
      </c>
      <c r="B680" s="1" t="s">
        <v>348</v>
      </c>
      <c r="C680" s="1" t="s">
        <v>359</v>
      </c>
      <c r="D680" s="1" t="s">
        <v>10</v>
      </c>
      <c r="E680" s="1" t="s">
        <v>11</v>
      </c>
      <c r="F680" s="1" t="s">
        <v>15</v>
      </c>
      <c r="G680">
        <v>3</v>
      </c>
      <c r="H680">
        <v>1</v>
      </c>
      <c r="I680">
        <v>0</v>
      </c>
      <c r="J680" s="1"/>
      <c r="K680" s="1" t="s">
        <v>344</v>
      </c>
    </row>
    <row r="681" spans="1:11" x14ac:dyDescent="0.25">
      <c r="A681" s="2">
        <v>45924.746458333335</v>
      </c>
      <c r="B681" s="1" t="s">
        <v>355</v>
      </c>
      <c r="C681" s="1" t="s">
        <v>359</v>
      </c>
      <c r="D681" s="1" t="s">
        <v>10</v>
      </c>
      <c r="E681" s="1" t="s">
        <v>11</v>
      </c>
      <c r="F681" s="1" t="s">
        <v>15</v>
      </c>
      <c r="G681">
        <v>3</v>
      </c>
      <c r="H681">
        <v>1</v>
      </c>
      <c r="I681">
        <v>0</v>
      </c>
      <c r="J681" s="1"/>
      <c r="K681" s="1" t="s">
        <v>336</v>
      </c>
    </row>
    <row r="682" spans="1:11" x14ac:dyDescent="0.25">
      <c r="A682" s="2">
        <v>45924.746539351851</v>
      </c>
      <c r="B682" s="1" t="s">
        <v>355</v>
      </c>
      <c r="C682" s="1" t="s">
        <v>359</v>
      </c>
      <c r="D682" s="1" t="s">
        <v>10</v>
      </c>
      <c r="E682" s="1" t="s">
        <v>11</v>
      </c>
      <c r="F682" s="1" t="s">
        <v>15</v>
      </c>
      <c r="G682">
        <v>3</v>
      </c>
      <c r="H682">
        <v>0</v>
      </c>
      <c r="I682">
        <v>0</v>
      </c>
      <c r="J682" s="1"/>
      <c r="K682" s="1" t="s">
        <v>340</v>
      </c>
    </row>
    <row r="683" spans="1:11" x14ac:dyDescent="0.25">
      <c r="A683" s="2">
        <v>45924.746712962966</v>
      </c>
      <c r="B683" s="1" t="s">
        <v>355</v>
      </c>
      <c r="C683" s="1" t="s">
        <v>359</v>
      </c>
      <c r="D683" s="1" t="s">
        <v>20</v>
      </c>
      <c r="E683" s="1" t="s">
        <v>11</v>
      </c>
      <c r="F683" s="1" t="s">
        <v>15</v>
      </c>
      <c r="G683">
        <v>3</v>
      </c>
      <c r="H683">
        <v>0</v>
      </c>
      <c r="I683">
        <v>0</v>
      </c>
      <c r="J683" s="1"/>
      <c r="K683" s="1" t="s">
        <v>344</v>
      </c>
    </row>
    <row r="684" spans="1:11" x14ac:dyDescent="0.25">
      <c r="A684" s="2">
        <v>45924.746979166666</v>
      </c>
      <c r="B684" s="1" t="s">
        <v>355</v>
      </c>
      <c r="C684" s="1" t="s">
        <v>359</v>
      </c>
      <c r="D684" s="1" t="s">
        <v>20</v>
      </c>
      <c r="E684" s="1" t="s">
        <v>11</v>
      </c>
      <c r="F684" s="1" t="s">
        <v>15</v>
      </c>
      <c r="G684">
        <v>3</v>
      </c>
      <c r="H684">
        <v>0</v>
      </c>
      <c r="I684">
        <v>0</v>
      </c>
      <c r="J684" s="1"/>
      <c r="K684" s="1" t="s">
        <v>343</v>
      </c>
    </row>
    <row r="685" spans="1:11" x14ac:dyDescent="0.25">
      <c r="A685" s="2">
        <v>45924.746979166666</v>
      </c>
      <c r="B685" s="1" t="s">
        <v>355</v>
      </c>
      <c r="C685" s="1" t="s">
        <v>359</v>
      </c>
      <c r="D685" s="1" t="s">
        <v>20</v>
      </c>
      <c r="E685" s="1" t="s">
        <v>11</v>
      </c>
      <c r="F685" s="1" t="s">
        <v>15</v>
      </c>
      <c r="G685">
        <v>3</v>
      </c>
      <c r="H685">
        <v>0</v>
      </c>
      <c r="I685">
        <v>0</v>
      </c>
      <c r="J685" s="1"/>
      <c r="K685" s="1" t="s">
        <v>344</v>
      </c>
    </row>
    <row r="686" spans="1:11" x14ac:dyDescent="0.25">
      <c r="A686" s="2">
        <v>45924.747662037036</v>
      </c>
      <c r="B686" s="1" t="s">
        <v>355</v>
      </c>
      <c r="C686" s="1" t="s">
        <v>359</v>
      </c>
      <c r="D686" s="1" t="s">
        <v>10</v>
      </c>
      <c r="E686" s="1" t="s">
        <v>11</v>
      </c>
      <c r="F686" s="1" t="s">
        <v>15</v>
      </c>
      <c r="G686">
        <v>3</v>
      </c>
      <c r="H686">
        <v>0</v>
      </c>
      <c r="I686">
        <v>0</v>
      </c>
      <c r="J686" s="1"/>
      <c r="K686" s="1" t="s">
        <v>106</v>
      </c>
    </row>
    <row r="687" spans="1:11" x14ac:dyDescent="0.25">
      <c r="A687" s="2">
        <v>45925.475960648146</v>
      </c>
      <c r="B687" s="1" t="s">
        <v>354</v>
      </c>
      <c r="C687" s="1" t="s">
        <v>360</v>
      </c>
      <c r="D687" s="1" t="s">
        <v>10</v>
      </c>
      <c r="E687" s="1" t="s">
        <v>11</v>
      </c>
      <c r="F687" s="1" t="s">
        <v>18</v>
      </c>
      <c r="G687">
        <v>20</v>
      </c>
      <c r="H687">
        <v>1</v>
      </c>
      <c r="I687">
        <v>0</v>
      </c>
      <c r="J687" s="1"/>
      <c r="K687" s="1" t="s">
        <v>336</v>
      </c>
    </row>
    <row r="688" spans="1:11" x14ac:dyDescent="0.25">
      <c r="A688" s="2">
        <v>45925.475960648146</v>
      </c>
      <c r="B688" s="1" t="s">
        <v>354</v>
      </c>
      <c r="C688" s="1" t="s">
        <v>360</v>
      </c>
      <c r="D688" s="1" t="s">
        <v>10</v>
      </c>
      <c r="E688" s="1" t="s">
        <v>11</v>
      </c>
      <c r="F688" s="1" t="s">
        <v>18</v>
      </c>
      <c r="G688">
        <v>20</v>
      </c>
      <c r="H688">
        <v>1</v>
      </c>
      <c r="I688">
        <v>0</v>
      </c>
      <c r="J688" s="1"/>
      <c r="K688" s="1" t="s">
        <v>106</v>
      </c>
    </row>
    <row r="689" spans="1:11" x14ac:dyDescent="0.25">
      <c r="A689" s="2">
        <v>45925.476099537038</v>
      </c>
      <c r="B689" s="1" t="s">
        <v>354</v>
      </c>
      <c r="C689" s="1" t="s">
        <v>360</v>
      </c>
      <c r="D689" s="1" t="s">
        <v>20</v>
      </c>
      <c r="E689" s="1" t="s">
        <v>11</v>
      </c>
      <c r="F689" s="1" t="s">
        <v>14</v>
      </c>
      <c r="G689">
        <v>0.5</v>
      </c>
      <c r="H689">
        <v>0</v>
      </c>
      <c r="I689">
        <v>0</v>
      </c>
      <c r="J689" s="1"/>
      <c r="K689" s="1" t="s">
        <v>344</v>
      </c>
    </row>
    <row r="690" spans="1:11" x14ac:dyDescent="0.25">
      <c r="A690" s="2">
        <v>45925.496770833335</v>
      </c>
      <c r="B690" s="1" t="s">
        <v>354</v>
      </c>
      <c r="C690" s="1" t="s">
        <v>360</v>
      </c>
      <c r="D690" s="1" t="s">
        <v>10</v>
      </c>
      <c r="E690" s="1" t="s">
        <v>11</v>
      </c>
      <c r="F690" s="1" t="s">
        <v>12</v>
      </c>
      <c r="G690">
        <v>10.5</v>
      </c>
      <c r="H690">
        <v>0</v>
      </c>
      <c r="I690">
        <v>0</v>
      </c>
      <c r="J690" s="1"/>
      <c r="K690" s="1" t="s">
        <v>106</v>
      </c>
    </row>
    <row r="691" spans="1:11" x14ac:dyDescent="0.25">
      <c r="A691" s="2">
        <v>45925.540046296293</v>
      </c>
      <c r="B691" s="1" t="s">
        <v>350</v>
      </c>
      <c r="C691" s="1" t="s">
        <v>360</v>
      </c>
      <c r="D691" s="1" t="s">
        <v>10</v>
      </c>
      <c r="E691" s="1" t="s">
        <v>11</v>
      </c>
      <c r="F691" s="1" t="s">
        <v>15</v>
      </c>
      <c r="G691">
        <v>3</v>
      </c>
      <c r="H691">
        <v>0</v>
      </c>
      <c r="I691">
        <v>0</v>
      </c>
      <c r="J691" s="1"/>
      <c r="K691" s="1" t="s">
        <v>336</v>
      </c>
    </row>
    <row r="692" spans="1:11" x14ac:dyDescent="0.25">
      <c r="A692" s="2">
        <v>45925.575613425928</v>
      </c>
      <c r="B692" s="1" t="s">
        <v>351</v>
      </c>
      <c r="C692" s="1" t="s">
        <v>360</v>
      </c>
      <c r="D692" s="1" t="s">
        <v>10</v>
      </c>
      <c r="E692" s="1" t="s">
        <v>11</v>
      </c>
      <c r="F692" s="1" t="s">
        <v>14</v>
      </c>
      <c r="G692">
        <v>0.5</v>
      </c>
      <c r="H692">
        <v>0</v>
      </c>
      <c r="I692">
        <v>0</v>
      </c>
      <c r="J692" s="1"/>
      <c r="K692" s="1" t="s">
        <v>344</v>
      </c>
    </row>
    <row r="693" spans="1:11" x14ac:dyDescent="0.25">
      <c r="A693" s="2">
        <v>45925.625752314816</v>
      </c>
      <c r="B693" s="1" t="s">
        <v>349</v>
      </c>
      <c r="C693" s="1" t="s">
        <v>360</v>
      </c>
      <c r="D693" s="1" t="s">
        <v>10</v>
      </c>
      <c r="E693" s="1" t="s">
        <v>11</v>
      </c>
      <c r="F693" s="1" t="s">
        <v>12</v>
      </c>
      <c r="G693">
        <v>10.5</v>
      </c>
      <c r="H693">
        <v>0</v>
      </c>
      <c r="I693">
        <v>0</v>
      </c>
      <c r="J693" s="1"/>
      <c r="K693" s="1" t="s">
        <v>340</v>
      </c>
    </row>
    <row r="694" spans="1:11" x14ac:dyDescent="0.25">
      <c r="A694" s="2">
        <v>45925.745462962965</v>
      </c>
      <c r="B694" s="1" t="s">
        <v>355</v>
      </c>
      <c r="C694" s="1" t="s">
        <v>360</v>
      </c>
      <c r="D694" s="1" t="s">
        <v>10</v>
      </c>
      <c r="E694" s="1" t="s">
        <v>11</v>
      </c>
      <c r="F694" s="1" t="s">
        <v>12</v>
      </c>
      <c r="G694">
        <v>10.5</v>
      </c>
      <c r="H694">
        <v>1</v>
      </c>
      <c r="I694">
        <v>0</v>
      </c>
      <c r="J694" s="1"/>
      <c r="K694" s="1" t="s">
        <v>336</v>
      </c>
    </row>
    <row r="695" spans="1:11" x14ac:dyDescent="0.25">
      <c r="A695" s="2">
        <v>45925.745555555557</v>
      </c>
      <c r="B695" s="1" t="s">
        <v>355</v>
      </c>
      <c r="C695" s="1" t="s">
        <v>360</v>
      </c>
      <c r="D695" s="1" t="s">
        <v>10</v>
      </c>
      <c r="E695" s="1" t="s">
        <v>11</v>
      </c>
      <c r="F695" s="1" t="s">
        <v>15</v>
      </c>
      <c r="G695">
        <v>3</v>
      </c>
      <c r="H695">
        <v>0</v>
      </c>
      <c r="I695">
        <v>0</v>
      </c>
      <c r="J695" s="1"/>
      <c r="K695" s="1" t="s">
        <v>340</v>
      </c>
    </row>
    <row r="696" spans="1:11" x14ac:dyDescent="0.25">
      <c r="A696" s="2">
        <v>45925.745636574073</v>
      </c>
      <c r="B696" s="1" t="s">
        <v>355</v>
      </c>
      <c r="C696" s="1" t="s">
        <v>360</v>
      </c>
      <c r="D696" s="1" t="s">
        <v>10</v>
      </c>
      <c r="E696" s="1" t="s">
        <v>11</v>
      </c>
      <c r="F696" s="1" t="s">
        <v>15</v>
      </c>
      <c r="G696">
        <v>3</v>
      </c>
      <c r="H696">
        <v>0</v>
      </c>
      <c r="I696">
        <v>0</v>
      </c>
      <c r="J696" s="1"/>
      <c r="K696" s="1" t="s">
        <v>341</v>
      </c>
    </row>
    <row r="697" spans="1:11" x14ac:dyDescent="0.25">
      <c r="A697" s="2">
        <v>45925.745706018519</v>
      </c>
      <c r="B697" s="1" t="s">
        <v>355</v>
      </c>
      <c r="C697" s="1" t="s">
        <v>360</v>
      </c>
      <c r="D697" s="1" t="s">
        <v>10</v>
      </c>
      <c r="E697" s="1" t="s">
        <v>11</v>
      </c>
      <c r="F697" s="1" t="s">
        <v>14</v>
      </c>
      <c r="G697">
        <v>0.5</v>
      </c>
      <c r="H697">
        <v>0</v>
      </c>
      <c r="I697">
        <v>0</v>
      </c>
      <c r="J697" s="1"/>
      <c r="K697" s="1" t="s">
        <v>344</v>
      </c>
    </row>
    <row r="698" spans="1:11" x14ac:dyDescent="0.25">
      <c r="A698" s="2">
        <v>45925.74596064815</v>
      </c>
      <c r="B698" s="1" t="s">
        <v>355</v>
      </c>
      <c r="C698" s="1" t="s">
        <v>360</v>
      </c>
      <c r="D698" s="1" t="s">
        <v>10</v>
      </c>
      <c r="E698" s="1" t="s">
        <v>11</v>
      </c>
      <c r="F698" s="1" t="s">
        <v>14</v>
      </c>
      <c r="G698">
        <v>0.5</v>
      </c>
      <c r="H698">
        <v>0</v>
      </c>
      <c r="I698">
        <v>0</v>
      </c>
      <c r="J698" s="1"/>
      <c r="K698" s="1" t="s">
        <v>343</v>
      </c>
    </row>
    <row r="699" spans="1:11" x14ac:dyDescent="0.25">
      <c r="A699" s="2">
        <v>45926.397986111115</v>
      </c>
      <c r="B699" s="1" t="s">
        <v>352</v>
      </c>
      <c r="C699" s="1" t="s">
        <v>361</v>
      </c>
      <c r="D699" s="1" t="s">
        <v>10</v>
      </c>
      <c r="E699" s="1" t="s">
        <v>11</v>
      </c>
      <c r="F699" s="1" t="s">
        <v>14</v>
      </c>
      <c r="G699">
        <v>0.5</v>
      </c>
      <c r="H699">
        <v>0</v>
      </c>
      <c r="I699">
        <v>0</v>
      </c>
      <c r="J699" s="1"/>
      <c r="K699" s="1" t="s">
        <v>344</v>
      </c>
    </row>
    <row r="700" spans="1:11" x14ac:dyDescent="0.25">
      <c r="A700" s="2">
        <v>45926.467395833337</v>
      </c>
      <c r="B700" s="1" t="s">
        <v>354</v>
      </c>
      <c r="C700" s="1" t="s">
        <v>361</v>
      </c>
      <c r="D700" s="1" t="s">
        <v>10</v>
      </c>
      <c r="E700" s="1" t="s">
        <v>11</v>
      </c>
      <c r="F700" s="1" t="s">
        <v>15</v>
      </c>
      <c r="G700">
        <v>3</v>
      </c>
      <c r="H700">
        <v>0</v>
      </c>
      <c r="I700">
        <v>0</v>
      </c>
      <c r="J700" s="1"/>
      <c r="K700" s="1" t="s">
        <v>336</v>
      </c>
    </row>
    <row r="701" spans="1:11" x14ac:dyDescent="0.25">
      <c r="A701" s="2">
        <v>45926.576932870368</v>
      </c>
      <c r="B701" s="1" t="s">
        <v>351</v>
      </c>
      <c r="C701" s="1" t="s">
        <v>361</v>
      </c>
      <c r="D701" s="1" t="s">
        <v>10</v>
      </c>
      <c r="E701" s="1" t="s">
        <v>11</v>
      </c>
      <c r="F701" s="1" t="s">
        <v>14</v>
      </c>
      <c r="G701">
        <v>0.5</v>
      </c>
      <c r="H701">
        <v>0</v>
      </c>
      <c r="I701">
        <v>0</v>
      </c>
      <c r="J701" s="1"/>
      <c r="K701" s="1" t="s">
        <v>343</v>
      </c>
    </row>
    <row r="702" spans="1:11" x14ac:dyDescent="0.25">
      <c r="A702" s="2">
        <v>45926.746944444443</v>
      </c>
      <c r="B702" s="1" t="s">
        <v>355</v>
      </c>
      <c r="C702" s="1" t="s">
        <v>361</v>
      </c>
      <c r="D702" s="1" t="s">
        <v>10</v>
      </c>
      <c r="E702" s="1" t="s">
        <v>11</v>
      </c>
      <c r="F702" s="1" t="s">
        <v>15</v>
      </c>
      <c r="G702">
        <v>3</v>
      </c>
      <c r="H702">
        <v>0</v>
      </c>
      <c r="I702">
        <v>0</v>
      </c>
      <c r="J702" s="1"/>
      <c r="K702" s="1" t="s">
        <v>340</v>
      </c>
    </row>
    <row r="703" spans="1:11" x14ac:dyDescent="0.25">
      <c r="A703" s="2">
        <v>45926.747071759259</v>
      </c>
      <c r="B703" s="1" t="s">
        <v>355</v>
      </c>
      <c r="C703" s="1" t="s">
        <v>361</v>
      </c>
      <c r="D703" s="1" t="s">
        <v>10</v>
      </c>
      <c r="E703" s="1" t="s">
        <v>11</v>
      </c>
      <c r="F703" s="1" t="s">
        <v>12</v>
      </c>
      <c r="G703">
        <v>10.5</v>
      </c>
      <c r="H703">
        <v>0</v>
      </c>
      <c r="I703">
        <v>0</v>
      </c>
      <c r="J703" s="1"/>
      <c r="K703" s="1" t="s">
        <v>340</v>
      </c>
    </row>
    <row r="704" spans="1:11" x14ac:dyDescent="0.25">
      <c r="A704" s="2">
        <v>45926.747187499997</v>
      </c>
      <c r="B704" s="1" t="s">
        <v>355</v>
      </c>
      <c r="C704" s="1" t="s">
        <v>361</v>
      </c>
      <c r="D704" s="1" t="s">
        <v>10</v>
      </c>
      <c r="E704" s="1" t="s">
        <v>11</v>
      </c>
      <c r="F704" s="1" t="s">
        <v>15</v>
      </c>
      <c r="G704">
        <v>3</v>
      </c>
      <c r="H704">
        <v>1</v>
      </c>
      <c r="I704">
        <v>0</v>
      </c>
      <c r="J704" s="1"/>
      <c r="K704" s="1" t="s">
        <v>336</v>
      </c>
    </row>
    <row r="705" spans="1:11" x14ac:dyDescent="0.25">
      <c r="A705" s="2">
        <v>45926.747488425928</v>
      </c>
      <c r="B705" s="1" t="s">
        <v>355</v>
      </c>
      <c r="C705" s="1" t="s">
        <v>361</v>
      </c>
      <c r="D705" s="1" t="s">
        <v>10</v>
      </c>
      <c r="E705" s="1" t="s">
        <v>11</v>
      </c>
      <c r="F705" s="1" t="s">
        <v>15</v>
      </c>
      <c r="G705">
        <v>3</v>
      </c>
      <c r="H705">
        <v>0</v>
      </c>
      <c r="I705">
        <v>0</v>
      </c>
      <c r="J705" s="1"/>
      <c r="K705" s="1" t="s">
        <v>336</v>
      </c>
    </row>
    <row r="706" spans="1:11" x14ac:dyDescent="0.25">
      <c r="A706" s="2">
        <v>45926.74763888889</v>
      </c>
      <c r="B706" s="1" t="s">
        <v>355</v>
      </c>
      <c r="C706" s="1" t="s">
        <v>361</v>
      </c>
      <c r="D706" s="1" t="s">
        <v>10</v>
      </c>
      <c r="E706" s="1" t="s">
        <v>11</v>
      </c>
      <c r="F706" s="1" t="s">
        <v>14</v>
      </c>
      <c r="G706">
        <v>0.5</v>
      </c>
      <c r="H706">
        <v>0</v>
      </c>
      <c r="I706">
        <v>0</v>
      </c>
      <c r="J706" s="1"/>
      <c r="K706" s="1" t="s">
        <v>344</v>
      </c>
    </row>
    <row r="707" spans="1:11" x14ac:dyDescent="0.25">
      <c r="A707" s="2">
        <v>45926.747731481482</v>
      </c>
      <c r="B707" s="1" t="s">
        <v>355</v>
      </c>
      <c r="C707" s="1" t="s">
        <v>361</v>
      </c>
      <c r="D707" s="1" t="s">
        <v>10</v>
      </c>
      <c r="E707" s="1" t="s">
        <v>11</v>
      </c>
      <c r="F707" s="1" t="s">
        <v>14</v>
      </c>
      <c r="G707">
        <v>0.5</v>
      </c>
      <c r="H707">
        <v>0</v>
      </c>
      <c r="I707">
        <v>0</v>
      </c>
      <c r="J707" s="1"/>
      <c r="K707" s="1" t="s">
        <v>344</v>
      </c>
    </row>
    <row r="708" spans="1:11" x14ac:dyDescent="0.25">
      <c r="A708" s="2">
        <v>45926.747870370367</v>
      </c>
      <c r="B708" s="1" t="s">
        <v>355</v>
      </c>
      <c r="C708" s="1" t="s">
        <v>361</v>
      </c>
      <c r="D708" s="1" t="s">
        <v>10</v>
      </c>
      <c r="E708" s="1" t="s">
        <v>11</v>
      </c>
      <c r="F708" s="1" t="s">
        <v>15</v>
      </c>
      <c r="G708">
        <v>3</v>
      </c>
      <c r="H708">
        <v>0</v>
      </c>
      <c r="I708">
        <v>0</v>
      </c>
      <c r="J708" s="1"/>
      <c r="K708" s="1" t="s">
        <v>343</v>
      </c>
    </row>
    <row r="709" spans="1:11" x14ac:dyDescent="0.25">
      <c r="A709" s="2">
        <v>45927.429062499999</v>
      </c>
      <c r="B709" s="1" t="s">
        <v>347</v>
      </c>
      <c r="C709" s="1" t="s">
        <v>362</v>
      </c>
      <c r="D709" s="1" t="s">
        <v>10</v>
      </c>
      <c r="E709" s="1" t="s">
        <v>11</v>
      </c>
      <c r="F709" s="1" t="s">
        <v>14</v>
      </c>
      <c r="G709">
        <v>0.5</v>
      </c>
      <c r="H709">
        <v>0</v>
      </c>
      <c r="I709">
        <v>0</v>
      </c>
      <c r="J709" s="1" t="s">
        <v>183</v>
      </c>
      <c r="K709" s="1" t="s">
        <v>343</v>
      </c>
    </row>
    <row r="710" spans="1:11" x14ac:dyDescent="0.25">
      <c r="A710" s="2">
        <v>45927.429618055554</v>
      </c>
      <c r="B710" s="1" t="s">
        <v>347</v>
      </c>
      <c r="C710" s="1" t="s">
        <v>362</v>
      </c>
      <c r="D710" s="1" t="s">
        <v>10</v>
      </c>
      <c r="E710" s="1" t="s">
        <v>11</v>
      </c>
      <c r="F710" s="1" t="s">
        <v>15</v>
      </c>
      <c r="G710">
        <v>3</v>
      </c>
      <c r="H710">
        <v>0</v>
      </c>
      <c r="I710">
        <v>0</v>
      </c>
      <c r="J710" s="1" t="s">
        <v>184</v>
      </c>
      <c r="K710" s="1" t="s">
        <v>336</v>
      </c>
    </row>
    <row r="711" spans="1:11" x14ac:dyDescent="0.25">
      <c r="A711" s="2">
        <v>45927.429618055554</v>
      </c>
      <c r="B711" s="1" t="s">
        <v>347</v>
      </c>
      <c r="C711" s="1" t="s">
        <v>362</v>
      </c>
      <c r="D711" s="1" t="s">
        <v>10</v>
      </c>
      <c r="E711" s="1" t="s">
        <v>11</v>
      </c>
      <c r="F711" s="1" t="s">
        <v>15</v>
      </c>
      <c r="G711">
        <v>3</v>
      </c>
      <c r="H711">
        <v>0</v>
      </c>
      <c r="I711">
        <v>0</v>
      </c>
      <c r="J711" s="1" t="s">
        <v>184</v>
      </c>
      <c r="K711" s="1" t="s">
        <v>345</v>
      </c>
    </row>
    <row r="712" spans="1:11" x14ac:dyDescent="0.25">
      <c r="A712" s="2">
        <v>45927.441736111112</v>
      </c>
      <c r="B712" s="1" t="s">
        <v>347</v>
      </c>
      <c r="C712" s="1" t="s">
        <v>362</v>
      </c>
      <c r="D712" s="1" t="s">
        <v>10</v>
      </c>
      <c r="E712" s="1" t="s">
        <v>11</v>
      </c>
      <c r="F712" s="1" t="s">
        <v>15</v>
      </c>
      <c r="G712">
        <v>3</v>
      </c>
      <c r="H712">
        <v>0</v>
      </c>
      <c r="I712">
        <v>0</v>
      </c>
      <c r="J712" s="1"/>
      <c r="K712" s="1" t="s">
        <v>342</v>
      </c>
    </row>
    <row r="713" spans="1:11" x14ac:dyDescent="0.25">
      <c r="A713" s="2">
        <v>45927.441736111112</v>
      </c>
      <c r="B713" s="1" t="s">
        <v>347</v>
      </c>
      <c r="C713" s="1" t="s">
        <v>362</v>
      </c>
      <c r="D713" s="1" t="s">
        <v>10</v>
      </c>
      <c r="E713" s="1" t="s">
        <v>11</v>
      </c>
      <c r="F713" s="1" t="s">
        <v>15</v>
      </c>
      <c r="G713">
        <v>3</v>
      </c>
      <c r="H713">
        <v>0</v>
      </c>
      <c r="I713">
        <v>0</v>
      </c>
      <c r="J713" s="1"/>
      <c r="K713" s="1" t="s">
        <v>343</v>
      </c>
    </row>
    <row r="714" spans="1:11" x14ac:dyDescent="0.25">
      <c r="A714" s="2">
        <v>45927.446111111109</v>
      </c>
      <c r="B714" s="1" t="s">
        <v>347</v>
      </c>
      <c r="C714" s="1" t="s">
        <v>362</v>
      </c>
      <c r="D714" s="1" t="s">
        <v>10</v>
      </c>
      <c r="E714" s="1" t="s">
        <v>11</v>
      </c>
      <c r="F714" s="1" t="s">
        <v>14</v>
      </c>
      <c r="G714">
        <v>0.5</v>
      </c>
      <c r="H714">
        <v>0</v>
      </c>
      <c r="I714">
        <v>0</v>
      </c>
      <c r="J714" s="1"/>
      <c r="K714" s="1" t="s">
        <v>343</v>
      </c>
    </row>
    <row r="715" spans="1:11" x14ac:dyDescent="0.25">
      <c r="A715" s="2">
        <v>45927.481192129628</v>
      </c>
      <c r="B715" s="1" t="s">
        <v>354</v>
      </c>
      <c r="C715" s="1" t="s">
        <v>362</v>
      </c>
      <c r="D715" s="1" t="s">
        <v>10</v>
      </c>
      <c r="E715" s="1" t="s">
        <v>11</v>
      </c>
      <c r="F715" s="1" t="s">
        <v>15</v>
      </c>
      <c r="G715">
        <v>3</v>
      </c>
      <c r="H715">
        <v>0</v>
      </c>
      <c r="I715">
        <v>0</v>
      </c>
      <c r="J715" s="1"/>
      <c r="K715" s="1" t="s">
        <v>341</v>
      </c>
    </row>
    <row r="716" spans="1:11" x14ac:dyDescent="0.25">
      <c r="A716" s="2">
        <v>45929.523321759261</v>
      </c>
      <c r="B716" s="1" t="s">
        <v>350</v>
      </c>
      <c r="C716" s="1" t="s">
        <v>363</v>
      </c>
      <c r="D716" s="1" t="s">
        <v>10</v>
      </c>
      <c r="E716" s="1" t="s">
        <v>17</v>
      </c>
      <c r="F716" s="1" t="s">
        <v>12</v>
      </c>
      <c r="G716">
        <v>10.5</v>
      </c>
      <c r="H716">
        <v>0</v>
      </c>
      <c r="I716">
        <v>0</v>
      </c>
      <c r="J716" s="1"/>
      <c r="K716" s="1" t="s">
        <v>341</v>
      </c>
    </row>
    <row r="717" spans="1:11" x14ac:dyDescent="0.25">
      <c r="A717" s="2">
        <v>45929.580335648148</v>
      </c>
      <c r="B717" s="1" t="s">
        <v>351</v>
      </c>
      <c r="C717" s="1" t="s">
        <v>363</v>
      </c>
      <c r="D717" s="1" t="s">
        <v>10</v>
      </c>
      <c r="E717" s="1" t="s">
        <v>11</v>
      </c>
      <c r="F717" s="1" t="s">
        <v>12</v>
      </c>
      <c r="G717">
        <v>10.5</v>
      </c>
      <c r="H717">
        <v>0</v>
      </c>
      <c r="I717">
        <v>0</v>
      </c>
      <c r="J717" s="1"/>
      <c r="K717" s="1" t="s">
        <v>340</v>
      </c>
    </row>
    <row r="718" spans="1:11" x14ac:dyDescent="0.25">
      <c r="A718" s="2">
        <v>45929.580393518518</v>
      </c>
      <c r="B718" s="1" t="s">
        <v>351</v>
      </c>
      <c r="C718" s="1" t="s">
        <v>363</v>
      </c>
      <c r="D718" s="1" t="s">
        <v>10</v>
      </c>
      <c r="E718" s="1" t="s">
        <v>11</v>
      </c>
      <c r="F718" s="1" t="s">
        <v>14</v>
      </c>
      <c r="G718">
        <v>0.5</v>
      </c>
      <c r="H718">
        <v>0</v>
      </c>
      <c r="I718">
        <v>0</v>
      </c>
      <c r="J718" s="1"/>
      <c r="K718" s="1" t="s">
        <v>344</v>
      </c>
    </row>
    <row r="719" spans="1:11" x14ac:dyDescent="0.25">
      <c r="A719" s="2">
        <v>45929.607430555552</v>
      </c>
      <c r="B719" s="1" t="s">
        <v>348</v>
      </c>
      <c r="C719" s="1" t="s">
        <v>363</v>
      </c>
      <c r="D719" s="1" t="s">
        <v>10</v>
      </c>
      <c r="E719" s="1" t="s">
        <v>11</v>
      </c>
      <c r="F719" s="1" t="s">
        <v>15</v>
      </c>
      <c r="G719">
        <v>3</v>
      </c>
      <c r="H719">
        <v>0</v>
      </c>
      <c r="I719">
        <v>0</v>
      </c>
      <c r="J719" s="1"/>
      <c r="K719" s="1" t="s">
        <v>336</v>
      </c>
    </row>
    <row r="720" spans="1:11" x14ac:dyDescent="0.25">
      <c r="A720" s="2">
        <v>45929.617129629631</v>
      </c>
      <c r="B720" s="1" t="s">
        <v>348</v>
      </c>
      <c r="C720" s="1" t="s">
        <v>363</v>
      </c>
      <c r="D720" s="1" t="s">
        <v>20</v>
      </c>
      <c r="E720" s="1" t="s">
        <v>11</v>
      </c>
      <c r="F720" s="1" t="s">
        <v>15</v>
      </c>
      <c r="G720">
        <v>3</v>
      </c>
      <c r="H720">
        <v>0</v>
      </c>
      <c r="I720">
        <v>0</v>
      </c>
      <c r="J720" s="1" t="s">
        <v>185</v>
      </c>
      <c r="K720" s="1" t="s">
        <v>337</v>
      </c>
    </row>
    <row r="721" spans="1:11" x14ac:dyDescent="0.25">
      <c r="A721" s="2">
        <v>45929.628125000003</v>
      </c>
      <c r="B721" s="1" t="s">
        <v>349</v>
      </c>
      <c r="C721" s="1" t="s">
        <v>363</v>
      </c>
      <c r="D721" s="1" t="s">
        <v>10</v>
      </c>
      <c r="E721" s="1" t="s">
        <v>11</v>
      </c>
      <c r="F721" s="1" t="s">
        <v>15</v>
      </c>
      <c r="G721">
        <v>3</v>
      </c>
      <c r="H721">
        <v>0</v>
      </c>
      <c r="I721">
        <v>0</v>
      </c>
      <c r="J721" s="1"/>
      <c r="K721" s="1" t="s">
        <v>341</v>
      </c>
    </row>
    <row r="722" spans="1:11" x14ac:dyDescent="0.25">
      <c r="A722" s="2">
        <v>45929.66474537037</v>
      </c>
      <c r="B722" s="1" t="s">
        <v>349</v>
      </c>
      <c r="C722" s="1" t="s">
        <v>363</v>
      </c>
      <c r="D722" s="1" t="s">
        <v>10</v>
      </c>
      <c r="E722" s="1" t="s">
        <v>11</v>
      </c>
      <c r="F722" s="1" t="s">
        <v>15</v>
      </c>
      <c r="G722">
        <v>3</v>
      </c>
      <c r="H722">
        <v>0</v>
      </c>
      <c r="I722">
        <v>0</v>
      </c>
      <c r="J722" s="1"/>
      <c r="K722" s="1" t="s">
        <v>342</v>
      </c>
    </row>
    <row r="723" spans="1:11" x14ac:dyDescent="0.25">
      <c r="A723" s="2">
        <v>45929.665162037039</v>
      </c>
      <c r="B723" s="1" t="s">
        <v>349</v>
      </c>
      <c r="C723" s="1" t="s">
        <v>363</v>
      </c>
      <c r="D723" s="1" t="s">
        <v>10</v>
      </c>
      <c r="E723" s="1" t="s">
        <v>11</v>
      </c>
      <c r="F723" s="1" t="s">
        <v>14</v>
      </c>
      <c r="G723">
        <v>0.5</v>
      </c>
      <c r="H723">
        <v>0</v>
      </c>
      <c r="I723">
        <v>0</v>
      </c>
      <c r="J723" s="1"/>
      <c r="K723" s="1" t="s">
        <v>344</v>
      </c>
    </row>
    <row r="724" spans="1:11" x14ac:dyDescent="0.25">
      <c r="A724" s="2">
        <v>45929.665300925924</v>
      </c>
      <c r="B724" s="1" t="s">
        <v>349</v>
      </c>
      <c r="C724" s="1" t="s">
        <v>363</v>
      </c>
      <c r="D724" s="1" t="s">
        <v>10</v>
      </c>
      <c r="E724" s="1" t="s">
        <v>11</v>
      </c>
      <c r="F724" s="1" t="s">
        <v>15</v>
      </c>
      <c r="G724">
        <v>3</v>
      </c>
      <c r="H724">
        <v>0</v>
      </c>
      <c r="I724">
        <v>0</v>
      </c>
      <c r="J724" s="1" t="s">
        <v>186</v>
      </c>
      <c r="K724" s="1" t="s">
        <v>343</v>
      </c>
    </row>
    <row r="725" spans="1:11" x14ac:dyDescent="0.25">
      <c r="A725" s="2">
        <v>45929.665300925924</v>
      </c>
      <c r="B725" s="1" t="s">
        <v>349</v>
      </c>
      <c r="C725" s="1" t="s">
        <v>363</v>
      </c>
      <c r="D725" s="1" t="s">
        <v>10</v>
      </c>
      <c r="E725" s="1" t="s">
        <v>11</v>
      </c>
      <c r="F725" s="1" t="s">
        <v>15</v>
      </c>
      <c r="G725">
        <v>3</v>
      </c>
      <c r="H725">
        <v>0</v>
      </c>
      <c r="I725">
        <v>0</v>
      </c>
      <c r="J725" s="1" t="s">
        <v>186</v>
      </c>
      <c r="K725" s="1" t="s">
        <v>344</v>
      </c>
    </row>
    <row r="726" spans="1:11" x14ac:dyDescent="0.25">
      <c r="A726" s="2">
        <v>45929.670497685183</v>
      </c>
      <c r="B726" s="1" t="s">
        <v>353</v>
      </c>
      <c r="C726" s="1" t="s">
        <v>363</v>
      </c>
      <c r="D726" s="1" t="s">
        <v>10</v>
      </c>
      <c r="E726" s="1" t="s">
        <v>11</v>
      </c>
      <c r="F726" s="1" t="s">
        <v>12</v>
      </c>
      <c r="G726">
        <v>10.5</v>
      </c>
      <c r="H726">
        <v>0</v>
      </c>
      <c r="I726">
        <v>0</v>
      </c>
      <c r="J726" s="1"/>
      <c r="K726" s="1" t="s">
        <v>342</v>
      </c>
    </row>
    <row r="727" spans="1:11" x14ac:dyDescent="0.25">
      <c r="A727" s="2">
        <v>45929.692106481481</v>
      </c>
      <c r="B727" s="1" t="s">
        <v>353</v>
      </c>
      <c r="C727" s="1" t="s">
        <v>363</v>
      </c>
      <c r="D727" s="1" t="s">
        <v>10</v>
      </c>
      <c r="E727" s="1" t="s">
        <v>11</v>
      </c>
      <c r="F727" s="1" t="s">
        <v>14</v>
      </c>
      <c r="G727">
        <v>0.5</v>
      </c>
      <c r="H727">
        <v>0</v>
      </c>
      <c r="I727">
        <v>0</v>
      </c>
      <c r="J727" s="1" t="s">
        <v>187</v>
      </c>
      <c r="K727" s="1" t="s">
        <v>344</v>
      </c>
    </row>
    <row r="728" spans="1:11" x14ac:dyDescent="0.25">
      <c r="A728" s="2">
        <v>45929.692407407405</v>
      </c>
      <c r="B728" s="1" t="s">
        <v>353</v>
      </c>
      <c r="C728" s="1" t="s">
        <v>363</v>
      </c>
      <c r="D728" s="1" t="s">
        <v>10</v>
      </c>
      <c r="E728" s="1" t="s">
        <v>11</v>
      </c>
      <c r="F728" s="1" t="s">
        <v>15</v>
      </c>
      <c r="G728">
        <v>3</v>
      </c>
      <c r="H728">
        <v>0</v>
      </c>
      <c r="I728">
        <v>0</v>
      </c>
      <c r="J728" s="1" t="s">
        <v>188</v>
      </c>
      <c r="K728" s="1" t="s">
        <v>343</v>
      </c>
    </row>
    <row r="729" spans="1:11" x14ac:dyDescent="0.25">
      <c r="A729" s="2">
        <v>45930.509722222225</v>
      </c>
      <c r="B729" s="1" t="s">
        <v>350</v>
      </c>
      <c r="C729" s="1" t="s">
        <v>358</v>
      </c>
      <c r="D729" s="1" t="s">
        <v>10</v>
      </c>
      <c r="E729" s="1" t="s">
        <v>11</v>
      </c>
      <c r="F729" s="1" t="s">
        <v>12</v>
      </c>
      <c r="G729">
        <v>10.5</v>
      </c>
      <c r="H729">
        <v>0</v>
      </c>
      <c r="I729">
        <v>0</v>
      </c>
      <c r="J729" s="1"/>
      <c r="K729" s="1" t="s">
        <v>340</v>
      </c>
    </row>
    <row r="730" spans="1:11" x14ac:dyDescent="0.25">
      <c r="A730" s="2">
        <v>45930.595983796295</v>
      </c>
      <c r="B730" s="1" t="s">
        <v>348</v>
      </c>
      <c r="C730" s="1" t="s">
        <v>358</v>
      </c>
      <c r="D730" s="1" t="s">
        <v>10</v>
      </c>
      <c r="E730" s="1" t="s">
        <v>11</v>
      </c>
      <c r="F730" s="1" t="s">
        <v>15</v>
      </c>
      <c r="G730">
        <v>3</v>
      </c>
      <c r="H730">
        <v>0</v>
      </c>
      <c r="I730">
        <v>0</v>
      </c>
      <c r="J730" s="1"/>
      <c r="K730" s="1" t="s">
        <v>341</v>
      </c>
    </row>
    <row r="731" spans="1:11" x14ac:dyDescent="0.25">
      <c r="A731" s="2">
        <v>45930.608796296299</v>
      </c>
      <c r="B731" s="1" t="s">
        <v>348</v>
      </c>
      <c r="C731" s="1" t="s">
        <v>358</v>
      </c>
      <c r="D731" s="1" t="s">
        <v>10</v>
      </c>
      <c r="E731" s="1" t="s">
        <v>11</v>
      </c>
      <c r="F731" s="1" t="s">
        <v>18</v>
      </c>
      <c r="G731">
        <v>20</v>
      </c>
      <c r="H731">
        <v>0</v>
      </c>
      <c r="I731">
        <v>0</v>
      </c>
      <c r="J731" s="1"/>
      <c r="K731" s="1" t="s">
        <v>340</v>
      </c>
    </row>
    <row r="732" spans="1:11" x14ac:dyDescent="0.25">
      <c r="A732" s="2">
        <v>45931.445162037038</v>
      </c>
      <c r="B732" s="1" t="s">
        <v>347</v>
      </c>
      <c r="C732" s="1" t="s">
        <v>359</v>
      </c>
      <c r="D732" s="1" t="s">
        <v>10</v>
      </c>
      <c r="E732" s="1" t="s">
        <v>11</v>
      </c>
      <c r="F732" s="1" t="s">
        <v>18</v>
      </c>
      <c r="G732">
        <v>20</v>
      </c>
      <c r="H732">
        <v>1</v>
      </c>
      <c r="I732">
        <v>0</v>
      </c>
      <c r="J732" s="1"/>
      <c r="K732" s="1" t="s">
        <v>337</v>
      </c>
    </row>
    <row r="733" spans="1:11" x14ac:dyDescent="0.25">
      <c r="A733" s="2">
        <v>45931.445162037038</v>
      </c>
      <c r="B733" s="1" t="s">
        <v>347</v>
      </c>
      <c r="C733" s="1" t="s">
        <v>359</v>
      </c>
      <c r="D733" s="1" t="s">
        <v>10</v>
      </c>
      <c r="E733" s="1" t="s">
        <v>11</v>
      </c>
      <c r="F733" s="1" t="s">
        <v>18</v>
      </c>
      <c r="G733">
        <v>20</v>
      </c>
      <c r="H733">
        <v>1</v>
      </c>
      <c r="I733">
        <v>0</v>
      </c>
      <c r="J733" s="1"/>
      <c r="K733" s="1" t="s">
        <v>340</v>
      </c>
    </row>
    <row r="734" spans="1:11" x14ac:dyDescent="0.25">
      <c r="A734" s="2">
        <v>45931.445162037038</v>
      </c>
      <c r="B734" s="1" t="s">
        <v>347</v>
      </c>
      <c r="C734" s="1" t="s">
        <v>359</v>
      </c>
      <c r="D734" s="1" t="s">
        <v>10</v>
      </c>
      <c r="E734" s="1" t="s">
        <v>11</v>
      </c>
      <c r="F734" s="1" t="s">
        <v>18</v>
      </c>
      <c r="G734">
        <v>20</v>
      </c>
      <c r="H734">
        <v>1</v>
      </c>
      <c r="I734">
        <v>0</v>
      </c>
      <c r="J734" s="1"/>
      <c r="K734" s="1" t="s">
        <v>106</v>
      </c>
    </row>
    <row r="735" spans="1:11" x14ac:dyDescent="0.25">
      <c r="A735" s="2">
        <v>45931.445162037038</v>
      </c>
      <c r="B735" s="1" t="s">
        <v>347</v>
      </c>
      <c r="C735" s="1" t="s">
        <v>359</v>
      </c>
      <c r="D735" s="1" t="s">
        <v>10</v>
      </c>
      <c r="E735" s="1" t="s">
        <v>11</v>
      </c>
      <c r="F735" s="1" t="s">
        <v>18</v>
      </c>
      <c r="G735">
        <v>20</v>
      </c>
      <c r="H735">
        <v>1</v>
      </c>
      <c r="I735">
        <v>0</v>
      </c>
      <c r="J735" s="1"/>
      <c r="K735" s="1" t="s">
        <v>343</v>
      </c>
    </row>
    <row r="736" spans="1:11" x14ac:dyDescent="0.25">
      <c r="A736" s="2">
        <v>45931.454976851855</v>
      </c>
      <c r="B736" s="1" t="s">
        <v>347</v>
      </c>
      <c r="C736" s="1" t="s">
        <v>359</v>
      </c>
      <c r="D736" s="1" t="s">
        <v>10</v>
      </c>
      <c r="E736" s="1" t="s">
        <v>11</v>
      </c>
      <c r="F736" s="1" t="s">
        <v>15</v>
      </c>
      <c r="G736">
        <v>3</v>
      </c>
      <c r="H736">
        <v>0</v>
      </c>
      <c r="I736">
        <v>0</v>
      </c>
      <c r="J736" s="1" t="s">
        <v>189</v>
      </c>
      <c r="K736" s="1" t="s">
        <v>345</v>
      </c>
    </row>
    <row r="737" spans="1:11" x14ac:dyDescent="0.25">
      <c r="A737" s="2">
        <v>45931.52553240741</v>
      </c>
      <c r="B737" s="1" t="s">
        <v>350</v>
      </c>
      <c r="C737" s="1" t="s">
        <v>359</v>
      </c>
      <c r="D737" s="1" t="s">
        <v>10</v>
      </c>
      <c r="E737" s="1" t="s">
        <v>11</v>
      </c>
      <c r="F737" s="1" t="s">
        <v>12</v>
      </c>
      <c r="G737">
        <v>10.5</v>
      </c>
      <c r="H737">
        <v>1</v>
      </c>
      <c r="I737">
        <v>0</v>
      </c>
      <c r="J737" s="1"/>
      <c r="K737" s="1" t="s">
        <v>340</v>
      </c>
    </row>
    <row r="738" spans="1:11" x14ac:dyDescent="0.25">
      <c r="A738" s="2">
        <v>45931.52584490741</v>
      </c>
      <c r="B738" s="1" t="s">
        <v>350</v>
      </c>
      <c r="C738" s="1" t="s">
        <v>359</v>
      </c>
      <c r="D738" s="1" t="s">
        <v>10</v>
      </c>
      <c r="E738" s="1" t="s">
        <v>11</v>
      </c>
      <c r="F738" s="1" t="s">
        <v>12</v>
      </c>
      <c r="G738">
        <v>10.5</v>
      </c>
      <c r="H738">
        <v>0</v>
      </c>
      <c r="I738">
        <v>0</v>
      </c>
      <c r="J738" s="1"/>
      <c r="K738" s="1" t="s">
        <v>341</v>
      </c>
    </row>
    <row r="739" spans="1:11" x14ac:dyDescent="0.25">
      <c r="A739" s="2">
        <v>45931.52584490741</v>
      </c>
      <c r="B739" s="1" t="s">
        <v>350</v>
      </c>
      <c r="C739" s="1" t="s">
        <v>359</v>
      </c>
      <c r="D739" s="1" t="s">
        <v>10</v>
      </c>
      <c r="E739" s="1" t="s">
        <v>11</v>
      </c>
      <c r="F739" s="1" t="s">
        <v>12</v>
      </c>
      <c r="G739">
        <v>10.5</v>
      </c>
      <c r="H739">
        <v>0</v>
      </c>
      <c r="I739">
        <v>0</v>
      </c>
      <c r="J739" s="1"/>
      <c r="K739" s="1" t="s">
        <v>342</v>
      </c>
    </row>
    <row r="740" spans="1:11" x14ac:dyDescent="0.25">
      <c r="A740" s="2">
        <v>45931.526030092595</v>
      </c>
      <c r="B740" s="1" t="s">
        <v>350</v>
      </c>
      <c r="C740" s="1" t="s">
        <v>359</v>
      </c>
      <c r="D740" s="1" t="s">
        <v>10</v>
      </c>
      <c r="E740" s="1" t="s">
        <v>11</v>
      </c>
      <c r="F740" s="1" t="s">
        <v>15</v>
      </c>
      <c r="G740">
        <v>3</v>
      </c>
      <c r="H740">
        <v>0</v>
      </c>
      <c r="I740">
        <v>0</v>
      </c>
      <c r="J740" s="1"/>
      <c r="K740" s="1" t="s">
        <v>343</v>
      </c>
    </row>
    <row r="741" spans="1:11" x14ac:dyDescent="0.25">
      <c r="A741" s="2">
        <v>45931.610011574077</v>
      </c>
      <c r="B741" s="1" t="s">
        <v>348</v>
      </c>
      <c r="C741" s="1" t="s">
        <v>359</v>
      </c>
      <c r="D741" s="1" t="s">
        <v>10</v>
      </c>
      <c r="E741" s="1" t="s">
        <v>11</v>
      </c>
      <c r="F741" s="1" t="s">
        <v>12</v>
      </c>
      <c r="G741">
        <v>10.5</v>
      </c>
      <c r="H741">
        <v>1</v>
      </c>
      <c r="I741">
        <v>0</v>
      </c>
      <c r="J741" s="1"/>
      <c r="K741" s="1" t="s">
        <v>340</v>
      </c>
    </row>
    <row r="742" spans="1:11" x14ac:dyDescent="0.25">
      <c r="A742" s="2">
        <v>45931.610011574077</v>
      </c>
      <c r="B742" s="1" t="s">
        <v>348</v>
      </c>
      <c r="C742" s="1" t="s">
        <v>359</v>
      </c>
      <c r="D742" s="1" t="s">
        <v>10</v>
      </c>
      <c r="E742" s="1" t="s">
        <v>11</v>
      </c>
      <c r="F742" s="1" t="s">
        <v>12</v>
      </c>
      <c r="G742">
        <v>10.5</v>
      </c>
      <c r="H742">
        <v>1</v>
      </c>
      <c r="I742">
        <v>0</v>
      </c>
      <c r="J742" s="1"/>
      <c r="K742" s="1" t="s">
        <v>343</v>
      </c>
    </row>
    <row r="743" spans="1:11" x14ac:dyDescent="0.25">
      <c r="A743" s="2">
        <v>45931.610069444447</v>
      </c>
      <c r="B743" s="1" t="s">
        <v>348</v>
      </c>
      <c r="C743" s="1" t="s">
        <v>359</v>
      </c>
      <c r="D743" s="1" t="s">
        <v>10</v>
      </c>
      <c r="E743" s="1" t="s">
        <v>11</v>
      </c>
      <c r="F743" s="1" t="s">
        <v>15</v>
      </c>
      <c r="G743">
        <v>3</v>
      </c>
      <c r="H743">
        <v>0</v>
      </c>
      <c r="I743">
        <v>0</v>
      </c>
      <c r="J743" s="1"/>
      <c r="K743" s="1" t="s">
        <v>343</v>
      </c>
    </row>
    <row r="744" spans="1:11" x14ac:dyDescent="0.25">
      <c r="A744" s="2">
        <v>45931.625983796293</v>
      </c>
      <c r="B744" s="1" t="s">
        <v>349</v>
      </c>
      <c r="C744" s="1" t="s">
        <v>359</v>
      </c>
      <c r="D744" s="1" t="s">
        <v>10</v>
      </c>
      <c r="E744" s="1" t="s">
        <v>11</v>
      </c>
      <c r="F744" s="1" t="s">
        <v>15</v>
      </c>
      <c r="G744">
        <v>3</v>
      </c>
      <c r="H744">
        <v>0</v>
      </c>
      <c r="I744">
        <v>0</v>
      </c>
      <c r="J744" s="1"/>
      <c r="K744" s="1" t="s">
        <v>341</v>
      </c>
    </row>
    <row r="745" spans="1:11" x14ac:dyDescent="0.25">
      <c r="A745" s="2">
        <v>45931.750069444446</v>
      </c>
      <c r="B745" s="1" t="s">
        <v>355</v>
      </c>
      <c r="C745" s="1" t="s">
        <v>359</v>
      </c>
      <c r="D745" s="1" t="s">
        <v>10</v>
      </c>
      <c r="E745" s="1" t="s">
        <v>11</v>
      </c>
      <c r="F745" s="1" t="s">
        <v>15</v>
      </c>
      <c r="G745">
        <v>3</v>
      </c>
      <c r="H745">
        <v>0</v>
      </c>
      <c r="I745">
        <v>0</v>
      </c>
      <c r="J745" s="1"/>
      <c r="K745" s="1" t="s">
        <v>341</v>
      </c>
    </row>
    <row r="746" spans="1:11" x14ac:dyDescent="0.25">
      <c r="A746" s="2">
        <v>45931.750138888892</v>
      </c>
      <c r="B746" s="1" t="s">
        <v>355</v>
      </c>
      <c r="C746" s="1" t="s">
        <v>359</v>
      </c>
      <c r="D746" s="1" t="s">
        <v>10</v>
      </c>
      <c r="E746" s="1" t="s">
        <v>11</v>
      </c>
      <c r="F746" s="1" t="s">
        <v>15</v>
      </c>
      <c r="G746">
        <v>3</v>
      </c>
      <c r="H746">
        <v>0</v>
      </c>
      <c r="I746">
        <v>0</v>
      </c>
      <c r="J746" s="1"/>
      <c r="K746" s="1" t="s">
        <v>341</v>
      </c>
    </row>
    <row r="747" spans="1:11" x14ac:dyDescent="0.25">
      <c r="A747" s="2">
        <v>45931.750439814816</v>
      </c>
      <c r="B747" s="1" t="s">
        <v>355</v>
      </c>
      <c r="C747" s="1" t="s">
        <v>359</v>
      </c>
      <c r="D747" s="1" t="s">
        <v>10</v>
      </c>
      <c r="E747" s="1" t="s">
        <v>11</v>
      </c>
      <c r="F747" s="1" t="s">
        <v>15</v>
      </c>
      <c r="G747">
        <v>3</v>
      </c>
      <c r="H747">
        <v>0</v>
      </c>
      <c r="I747">
        <v>0</v>
      </c>
      <c r="J747" s="1"/>
      <c r="K747" s="1" t="s">
        <v>340</v>
      </c>
    </row>
    <row r="748" spans="1:11" x14ac:dyDescent="0.25">
      <c r="A748" s="2">
        <v>45931.750578703701</v>
      </c>
      <c r="B748" s="1" t="s">
        <v>355</v>
      </c>
      <c r="C748" s="1" t="s">
        <v>359</v>
      </c>
      <c r="D748" s="1" t="s">
        <v>10</v>
      </c>
      <c r="E748" s="1" t="s">
        <v>11</v>
      </c>
      <c r="F748" s="1" t="s">
        <v>15</v>
      </c>
      <c r="G748">
        <v>3</v>
      </c>
      <c r="H748">
        <v>0</v>
      </c>
      <c r="I748">
        <v>0</v>
      </c>
      <c r="J748" s="1"/>
      <c r="K748" s="1" t="s">
        <v>342</v>
      </c>
    </row>
    <row r="749" spans="1:11" x14ac:dyDescent="0.25">
      <c r="A749" s="2">
        <v>45931.750821759262</v>
      </c>
      <c r="B749" s="1" t="s">
        <v>355</v>
      </c>
      <c r="C749" s="1" t="s">
        <v>359</v>
      </c>
      <c r="D749" s="1" t="s">
        <v>10</v>
      </c>
      <c r="E749" s="1" t="s">
        <v>11</v>
      </c>
      <c r="F749" s="1" t="s">
        <v>14</v>
      </c>
      <c r="G749">
        <v>0.5</v>
      </c>
      <c r="H749">
        <v>0</v>
      </c>
      <c r="I749">
        <v>0</v>
      </c>
      <c r="J749" s="1"/>
      <c r="K749" s="1" t="s">
        <v>344</v>
      </c>
    </row>
    <row r="750" spans="1:11" x14ac:dyDescent="0.25">
      <c r="A750" s="2">
        <v>45932.392256944448</v>
      </c>
      <c r="B750" s="1" t="s">
        <v>352</v>
      </c>
      <c r="C750" s="1" t="s">
        <v>360</v>
      </c>
      <c r="D750" s="1" t="s">
        <v>10</v>
      </c>
      <c r="E750" s="1" t="s">
        <v>17</v>
      </c>
      <c r="F750" s="1" t="s">
        <v>12</v>
      </c>
      <c r="G750">
        <v>10.5</v>
      </c>
      <c r="H750">
        <v>1</v>
      </c>
      <c r="I750">
        <v>0</v>
      </c>
      <c r="J750" s="1"/>
      <c r="K750" s="1" t="s">
        <v>340</v>
      </c>
    </row>
    <row r="751" spans="1:11" x14ac:dyDescent="0.25">
      <c r="A751" s="2">
        <v>45932.392488425925</v>
      </c>
      <c r="B751" s="1" t="s">
        <v>352</v>
      </c>
      <c r="C751" s="1" t="s">
        <v>360</v>
      </c>
      <c r="D751" s="1" t="s">
        <v>10</v>
      </c>
      <c r="E751" s="1" t="s">
        <v>11</v>
      </c>
      <c r="F751" s="1" t="s">
        <v>12</v>
      </c>
      <c r="G751">
        <v>10.5</v>
      </c>
      <c r="H751">
        <v>1</v>
      </c>
      <c r="I751">
        <v>0</v>
      </c>
      <c r="J751" s="1"/>
      <c r="K751" s="1" t="s">
        <v>336</v>
      </c>
    </row>
    <row r="752" spans="1:11" x14ac:dyDescent="0.25">
      <c r="A752" s="2">
        <v>45932.392488425925</v>
      </c>
      <c r="B752" s="1" t="s">
        <v>352</v>
      </c>
      <c r="C752" s="1" t="s">
        <v>360</v>
      </c>
      <c r="D752" s="1" t="s">
        <v>10</v>
      </c>
      <c r="E752" s="1" t="s">
        <v>11</v>
      </c>
      <c r="F752" s="1" t="s">
        <v>12</v>
      </c>
      <c r="G752">
        <v>10.5</v>
      </c>
      <c r="H752">
        <v>1</v>
      </c>
      <c r="I752">
        <v>0</v>
      </c>
      <c r="J752" s="1"/>
      <c r="K752" s="1" t="s">
        <v>106</v>
      </c>
    </row>
    <row r="753" spans="1:11" x14ac:dyDescent="0.25">
      <c r="A753" s="2">
        <v>45932.41238425926</v>
      </c>
      <c r="B753" s="1" t="s">
        <v>352</v>
      </c>
      <c r="C753" s="1" t="s">
        <v>360</v>
      </c>
      <c r="D753" s="1" t="s">
        <v>10</v>
      </c>
      <c r="E753" s="1" t="s">
        <v>11</v>
      </c>
      <c r="F753" s="1" t="s">
        <v>14</v>
      </c>
      <c r="G753">
        <v>0.5</v>
      </c>
      <c r="H753">
        <v>0</v>
      </c>
      <c r="I753">
        <v>0</v>
      </c>
      <c r="J753" s="1"/>
      <c r="K753" s="1" t="s">
        <v>344</v>
      </c>
    </row>
    <row r="754" spans="1:11" x14ac:dyDescent="0.25">
      <c r="A754" s="2">
        <v>45932.525393518517</v>
      </c>
      <c r="B754" s="1" t="s">
        <v>350</v>
      </c>
      <c r="C754" s="1" t="s">
        <v>360</v>
      </c>
      <c r="D754" s="1" t="s">
        <v>10</v>
      </c>
      <c r="E754" s="1" t="s">
        <v>11</v>
      </c>
      <c r="F754" s="1" t="s">
        <v>15</v>
      </c>
      <c r="G754">
        <v>3</v>
      </c>
      <c r="H754">
        <v>0</v>
      </c>
      <c r="I754">
        <v>0</v>
      </c>
      <c r="J754" s="1"/>
      <c r="K754" s="1" t="s">
        <v>343</v>
      </c>
    </row>
    <row r="755" spans="1:11" x14ac:dyDescent="0.25">
      <c r="A755" s="2">
        <v>45932.525625000002</v>
      </c>
      <c r="B755" s="1" t="s">
        <v>350</v>
      </c>
      <c r="C755" s="1" t="s">
        <v>360</v>
      </c>
      <c r="D755" s="1" t="s">
        <v>10</v>
      </c>
      <c r="E755" s="1" t="s">
        <v>11</v>
      </c>
      <c r="F755" s="1" t="s">
        <v>12</v>
      </c>
      <c r="G755">
        <v>10.5</v>
      </c>
      <c r="H755">
        <v>1</v>
      </c>
      <c r="I755">
        <v>1</v>
      </c>
      <c r="J755" s="1"/>
      <c r="K755" s="1" t="s">
        <v>337</v>
      </c>
    </row>
    <row r="756" spans="1:11" x14ac:dyDescent="0.25">
      <c r="A756" s="2">
        <v>45932.534143518518</v>
      </c>
      <c r="B756" s="1" t="s">
        <v>350</v>
      </c>
      <c r="C756" s="1" t="s">
        <v>360</v>
      </c>
      <c r="D756" s="1" t="s">
        <v>10</v>
      </c>
      <c r="E756" s="1" t="s">
        <v>11</v>
      </c>
      <c r="F756" s="1" t="s">
        <v>15</v>
      </c>
      <c r="G756">
        <v>3</v>
      </c>
      <c r="H756">
        <v>0</v>
      </c>
      <c r="I756">
        <v>0</v>
      </c>
      <c r="J756" s="1"/>
      <c r="K756" s="1" t="s">
        <v>343</v>
      </c>
    </row>
    <row r="757" spans="1:11" x14ac:dyDescent="0.25">
      <c r="A757" s="2">
        <v>45932.599710648145</v>
      </c>
      <c r="B757" s="1" t="s">
        <v>348</v>
      </c>
      <c r="C757" s="1" t="s">
        <v>360</v>
      </c>
      <c r="D757" s="1" t="s">
        <v>10</v>
      </c>
      <c r="E757" s="1" t="s">
        <v>11</v>
      </c>
      <c r="F757" s="1" t="s">
        <v>18</v>
      </c>
      <c r="G757">
        <v>20</v>
      </c>
      <c r="H757">
        <v>1</v>
      </c>
      <c r="I757">
        <v>0</v>
      </c>
      <c r="J757" s="1" t="s">
        <v>190</v>
      </c>
      <c r="K757" s="1" t="s">
        <v>336</v>
      </c>
    </row>
    <row r="758" spans="1:11" x14ac:dyDescent="0.25">
      <c r="A758" s="2">
        <v>45932.612708333334</v>
      </c>
      <c r="B758" s="1" t="s">
        <v>348</v>
      </c>
      <c r="C758" s="1" t="s">
        <v>360</v>
      </c>
      <c r="D758" s="1" t="s">
        <v>10</v>
      </c>
      <c r="E758" s="1" t="s">
        <v>11</v>
      </c>
      <c r="F758" s="1" t="s">
        <v>14</v>
      </c>
      <c r="G758">
        <v>0.5</v>
      </c>
      <c r="H758">
        <v>0</v>
      </c>
      <c r="I758">
        <v>0</v>
      </c>
      <c r="J758" s="1" t="s">
        <v>191</v>
      </c>
      <c r="K758" s="1" t="s">
        <v>345</v>
      </c>
    </row>
    <row r="759" spans="1:11" x14ac:dyDescent="0.25">
      <c r="A759" s="2">
        <v>45932.622662037036</v>
      </c>
      <c r="B759" s="1" t="s">
        <v>348</v>
      </c>
      <c r="C759" s="1" t="s">
        <v>360</v>
      </c>
      <c r="D759" s="1" t="s">
        <v>10</v>
      </c>
      <c r="E759" s="1" t="s">
        <v>11</v>
      </c>
      <c r="F759" s="1" t="s">
        <v>12</v>
      </c>
      <c r="G759">
        <v>10.5</v>
      </c>
      <c r="H759">
        <v>0</v>
      </c>
      <c r="I759">
        <v>0</v>
      </c>
      <c r="J759" s="1" t="s">
        <v>192</v>
      </c>
      <c r="K759" s="1" t="s">
        <v>345</v>
      </c>
    </row>
    <row r="760" spans="1:11" x14ac:dyDescent="0.25">
      <c r="A760" s="2">
        <v>45933.421157407407</v>
      </c>
      <c r="B760" s="1" t="s">
        <v>347</v>
      </c>
      <c r="C760" s="1" t="s">
        <v>361</v>
      </c>
      <c r="D760" s="1" t="s">
        <v>10</v>
      </c>
      <c r="E760" s="1" t="s">
        <v>11</v>
      </c>
      <c r="F760" s="1" t="s">
        <v>12</v>
      </c>
      <c r="G760">
        <v>10.5</v>
      </c>
      <c r="H760">
        <v>1</v>
      </c>
      <c r="I760">
        <v>0</v>
      </c>
      <c r="J760" s="1"/>
      <c r="K760" s="1" t="s">
        <v>337</v>
      </c>
    </row>
    <row r="761" spans="1:11" x14ac:dyDescent="0.25">
      <c r="A761" s="2">
        <v>45933.499918981484</v>
      </c>
      <c r="B761" s="1" t="s">
        <v>354</v>
      </c>
      <c r="C761" s="1" t="s">
        <v>361</v>
      </c>
      <c r="D761" s="1" t="s">
        <v>10</v>
      </c>
      <c r="E761" s="1" t="s">
        <v>17</v>
      </c>
      <c r="F761" s="1" t="s">
        <v>14</v>
      </c>
      <c r="G761">
        <v>0.5</v>
      </c>
      <c r="H761">
        <v>0</v>
      </c>
      <c r="I761">
        <v>0</v>
      </c>
      <c r="J761" s="1"/>
      <c r="K761" s="1" t="s">
        <v>344</v>
      </c>
    </row>
    <row r="762" spans="1:11" x14ac:dyDescent="0.25">
      <c r="A762" s="2">
        <v>45933.551041666666</v>
      </c>
      <c r="B762" s="1" t="s">
        <v>351</v>
      </c>
      <c r="C762" s="1" t="s">
        <v>361</v>
      </c>
      <c r="D762" s="1" t="s">
        <v>20</v>
      </c>
      <c r="E762" s="1" t="s">
        <v>11</v>
      </c>
      <c r="F762" s="1" t="s">
        <v>18</v>
      </c>
      <c r="G762">
        <v>20</v>
      </c>
      <c r="H762">
        <v>1</v>
      </c>
      <c r="I762">
        <v>0</v>
      </c>
      <c r="J762" s="1"/>
      <c r="K762" s="1" t="s">
        <v>336</v>
      </c>
    </row>
    <row r="763" spans="1:11" x14ac:dyDescent="0.25">
      <c r="A763" s="2">
        <v>45933.588287037041</v>
      </c>
      <c r="B763" s="1" t="s">
        <v>348</v>
      </c>
      <c r="C763" s="1" t="s">
        <v>361</v>
      </c>
      <c r="D763" s="1" t="s">
        <v>10</v>
      </c>
      <c r="E763" s="1" t="s">
        <v>11</v>
      </c>
      <c r="F763" s="1" t="s">
        <v>15</v>
      </c>
      <c r="G763">
        <v>3</v>
      </c>
      <c r="H763">
        <v>0</v>
      </c>
      <c r="I763">
        <v>0</v>
      </c>
      <c r="J763" s="1"/>
      <c r="K763" s="1" t="s">
        <v>343</v>
      </c>
    </row>
    <row r="764" spans="1:11" x14ac:dyDescent="0.25">
      <c r="A764" s="2">
        <v>45933.745856481481</v>
      </c>
      <c r="B764" s="1" t="s">
        <v>355</v>
      </c>
      <c r="C764" s="1" t="s">
        <v>361</v>
      </c>
      <c r="D764" s="1" t="s">
        <v>10</v>
      </c>
      <c r="E764" s="1" t="s">
        <v>11</v>
      </c>
      <c r="F764" s="1" t="s">
        <v>15</v>
      </c>
      <c r="G764">
        <v>3</v>
      </c>
      <c r="H764">
        <v>0</v>
      </c>
      <c r="I764">
        <v>0</v>
      </c>
      <c r="J764" s="1"/>
      <c r="K764" s="1" t="s">
        <v>340</v>
      </c>
    </row>
    <row r="765" spans="1:11" x14ac:dyDescent="0.25">
      <c r="A765" s="2">
        <v>45933.745949074073</v>
      </c>
      <c r="B765" s="1" t="s">
        <v>355</v>
      </c>
      <c r="C765" s="1" t="s">
        <v>361</v>
      </c>
      <c r="D765" s="1" t="s">
        <v>10</v>
      </c>
      <c r="E765" s="1" t="s">
        <v>11</v>
      </c>
      <c r="F765" s="1" t="s">
        <v>15</v>
      </c>
      <c r="G765">
        <v>3</v>
      </c>
      <c r="H765">
        <v>0</v>
      </c>
      <c r="I765">
        <v>0</v>
      </c>
      <c r="J765" s="1"/>
      <c r="K765" s="1" t="s">
        <v>340</v>
      </c>
    </row>
    <row r="766" spans="1:11" x14ac:dyDescent="0.25">
      <c r="A766" s="2">
        <v>45933.746122685188</v>
      </c>
      <c r="B766" s="1" t="s">
        <v>355</v>
      </c>
      <c r="C766" s="1" t="s">
        <v>361</v>
      </c>
      <c r="D766" s="1" t="s">
        <v>10</v>
      </c>
      <c r="E766" s="1" t="s">
        <v>11</v>
      </c>
      <c r="F766" s="1" t="s">
        <v>15</v>
      </c>
      <c r="G766">
        <v>3</v>
      </c>
      <c r="H766">
        <v>0</v>
      </c>
      <c r="I766">
        <v>0</v>
      </c>
      <c r="J766" s="1"/>
      <c r="K766" s="1" t="s">
        <v>106</v>
      </c>
    </row>
    <row r="767" spans="1:11" x14ac:dyDescent="0.25">
      <c r="A767" s="2">
        <v>45933.746192129627</v>
      </c>
      <c r="B767" s="1" t="s">
        <v>355</v>
      </c>
      <c r="C767" s="1" t="s">
        <v>361</v>
      </c>
      <c r="D767" s="1" t="s">
        <v>10</v>
      </c>
      <c r="E767" s="1" t="s">
        <v>11</v>
      </c>
      <c r="F767" s="1" t="s">
        <v>15</v>
      </c>
      <c r="G767">
        <v>3</v>
      </c>
      <c r="H767">
        <v>0</v>
      </c>
      <c r="I767">
        <v>0</v>
      </c>
      <c r="J767" s="1"/>
      <c r="K767" s="1" t="s">
        <v>106</v>
      </c>
    </row>
    <row r="768" spans="1:11" x14ac:dyDescent="0.25">
      <c r="A768" s="2">
        <v>45933.74627314815</v>
      </c>
      <c r="B768" s="1" t="s">
        <v>355</v>
      </c>
      <c r="C768" s="1" t="s">
        <v>361</v>
      </c>
      <c r="D768" s="1" t="s">
        <v>10</v>
      </c>
      <c r="E768" s="1" t="s">
        <v>11</v>
      </c>
      <c r="F768" s="1" t="s">
        <v>15</v>
      </c>
      <c r="G768">
        <v>3</v>
      </c>
      <c r="H768">
        <v>0</v>
      </c>
      <c r="I768">
        <v>0</v>
      </c>
      <c r="J768" s="1"/>
      <c r="K768" s="1" t="s">
        <v>343</v>
      </c>
    </row>
    <row r="769" spans="1:11" x14ac:dyDescent="0.25">
      <c r="A769" s="2">
        <v>45933.746388888889</v>
      </c>
      <c r="B769" s="1" t="s">
        <v>355</v>
      </c>
      <c r="C769" s="1" t="s">
        <v>361</v>
      </c>
      <c r="D769" s="1" t="s">
        <v>10</v>
      </c>
      <c r="E769" s="1" t="s">
        <v>11</v>
      </c>
      <c r="F769" s="1" t="s">
        <v>14</v>
      </c>
      <c r="G769">
        <v>0.5</v>
      </c>
      <c r="H769">
        <v>0</v>
      </c>
      <c r="I769">
        <v>0</v>
      </c>
      <c r="J769" s="1"/>
      <c r="K769" s="1" t="s">
        <v>344</v>
      </c>
    </row>
    <row r="770" spans="1:11" x14ac:dyDescent="0.25">
      <c r="A770" s="2">
        <v>45933.746550925927</v>
      </c>
      <c r="B770" s="1" t="s">
        <v>355</v>
      </c>
      <c r="C770" s="1" t="s">
        <v>361</v>
      </c>
      <c r="D770" s="1" t="s">
        <v>10</v>
      </c>
      <c r="E770" s="1" t="s">
        <v>11</v>
      </c>
      <c r="F770" s="1" t="s">
        <v>14</v>
      </c>
      <c r="G770">
        <v>0.5</v>
      </c>
      <c r="H770">
        <v>1</v>
      </c>
      <c r="I770">
        <v>0</v>
      </c>
      <c r="J770" s="1"/>
      <c r="K770" s="1" t="s">
        <v>336</v>
      </c>
    </row>
    <row r="771" spans="1:11" x14ac:dyDescent="0.25">
      <c r="A771" s="2">
        <v>45934.403946759259</v>
      </c>
      <c r="B771" s="1" t="s">
        <v>352</v>
      </c>
      <c r="C771" s="1" t="s">
        <v>362</v>
      </c>
      <c r="D771" s="1" t="s">
        <v>10</v>
      </c>
      <c r="E771" s="1" t="s">
        <v>11</v>
      </c>
      <c r="F771" s="1" t="s">
        <v>12</v>
      </c>
      <c r="G771">
        <v>10.5</v>
      </c>
      <c r="H771">
        <v>1</v>
      </c>
      <c r="I771">
        <v>1</v>
      </c>
      <c r="J771" s="1" t="s">
        <v>193</v>
      </c>
      <c r="K771" s="1" t="s">
        <v>336</v>
      </c>
    </row>
    <row r="772" spans="1:11" x14ac:dyDescent="0.25">
      <c r="A772" s="2">
        <v>45934.461469907408</v>
      </c>
      <c r="B772" s="1" t="s">
        <v>354</v>
      </c>
      <c r="C772" s="1" t="s">
        <v>362</v>
      </c>
      <c r="D772" s="1" t="s">
        <v>10</v>
      </c>
      <c r="E772" s="1" t="s">
        <v>11</v>
      </c>
      <c r="F772" s="1" t="s">
        <v>18</v>
      </c>
      <c r="G772">
        <v>20</v>
      </c>
      <c r="H772">
        <v>0</v>
      </c>
      <c r="I772">
        <v>0</v>
      </c>
      <c r="J772" s="1"/>
      <c r="K772" s="1" t="s">
        <v>340</v>
      </c>
    </row>
    <row r="773" spans="1:11" x14ac:dyDescent="0.25">
      <c r="A773" s="2">
        <v>45934.461817129632</v>
      </c>
      <c r="B773" s="1" t="s">
        <v>354</v>
      </c>
      <c r="C773" s="1" t="s">
        <v>362</v>
      </c>
      <c r="D773" s="1" t="s">
        <v>10</v>
      </c>
      <c r="E773" s="1" t="s">
        <v>11</v>
      </c>
      <c r="F773" s="1" t="s">
        <v>12</v>
      </c>
      <c r="G773">
        <v>10.5</v>
      </c>
      <c r="H773">
        <v>1</v>
      </c>
      <c r="I773">
        <v>0</v>
      </c>
      <c r="J773" s="1" t="s">
        <v>194</v>
      </c>
      <c r="K773" s="1" t="s">
        <v>337</v>
      </c>
    </row>
    <row r="774" spans="1:11" x14ac:dyDescent="0.25">
      <c r="A774" s="2">
        <v>45934.511006944442</v>
      </c>
      <c r="B774" s="1" t="s">
        <v>350</v>
      </c>
      <c r="C774" s="1" t="s">
        <v>362</v>
      </c>
      <c r="D774" s="1" t="s">
        <v>10</v>
      </c>
      <c r="E774" s="1" t="s">
        <v>11</v>
      </c>
      <c r="F774" s="1" t="s">
        <v>12</v>
      </c>
      <c r="G774">
        <v>10.5</v>
      </c>
      <c r="H774">
        <v>0</v>
      </c>
      <c r="I774">
        <v>0</v>
      </c>
      <c r="J774" s="1"/>
      <c r="K774" s="1" t="s">
        <v>340</v>
      </c>
    </row>
    <row r="775" spans="1:11" x14ac:dyDescent="0.25">
      <c r="A775" s="2">
        <v>45936.540636574071</v>
      </c>
      <c r="B775" s="1" t="s">
        <v>350</v>
      </c>
      <c r="C775" s="1" t="s">
        <v>363</v>
      </c>
      <c r="D775" s="1" t="s">
        <v>10</v>
      </c>
      <c r="E775" s="1" t="s">
        <v>11</v>
      </c>
      <c r="F775" s="1" t="s">
        <v>15</v>
      </c>
      <c r="G775">
        <v>3</v>
      </c>
      <c r="H775">
        <v>0</v>
      </c>
      <c r="I775">
        <v>0</v>
      </c>
      <c r="J775" s="1"/>
      <c r="K775" s="1" t="s">
        <v>340</v>
      </c>
    </row>
    <row r="776" spans="1:11" x14ac:dyDescent="0.25">
      <c r="A776" s="2">
        <v>45936.548020833332</v>
      </c>
      <c r="B776" s="1" t="s">
        <v>351</v>
      </c>
      <c r="C776" s="1" t="s">
        <v>363</v>
      </c>
      <c r="D776" s="1" t="s">
        <v>10</v>
      </c>
      <c r="E776" s="1" t="s">
        <v>11</v>
      </c>
      <c r="F776" s="1" t="s">
        <v>18</v>
      </c>
      <c r="G776">
        <v>20</v>
      </c>
      <c r="H776">
        <v>0</v>
      </c>
      <c r="I776">
        <v>0</v>
      </c>
      <c r="J776" s="1"/>
      <c r="K776" s="1" t="s">
        <v>336</v>
      </c>
    </row>
    <row r="777" spans="1:11" x14ac:dyDescent="0.25">
      <c r="A777" s="2">
        <v>45936.548020833332</v>
      </c>
      <c r="B777" s="1" t="s">
        <v>351</v>
      </c>
      <c r="C777" s="1" t="s">
        <v>363</v>
      </c>
      <c r="D777" s="1" t="s">
        <v>10</v>
      </c>
      <c r="E777" s="1" t="s">
        <v>11</v>
      </c>
      <c r="F777" s="1" t="s">
        <v>18</v>
      </c>
      <c r="G777">
        <v>20</v>
      </c>
      <c r="H777">
        <v>0</v>
      </c>
      <c r="I777">
        <v>0</v>
      </c>
      <c r="J777" s="1"/>
      <c r="K777" s="1" t="s">
        <v>340</v>
      </c>
    </row>
    <row r="778" spans="1:11" x14ac:dyDescent="0.25">
      <c r="A778" s="2">
        <v>45936.548020833332</v>
      </c>
      <c r="B778" s="1" t="s">
        <v>351</v>
      </c>
      <c r="C778" s="1" t="s">
        <v>363</v>
      </c>
      <c r="D778" s="1" t="s">
        <v>10</v>
      </c>
      <c r="E778" s="1" t="s">
        <v>11</v>
      </c>
      <c r="F778" s="1" t="s">
        <v>18</v>
      </c>
      <c r="G778">
        <v>20</v>
      </c>
      <c r="H778">
        <v>0</v>
      </c>
      <c r="I778">
        <v>0</v>
      </c>
      <c r="J778" s="1"/>
      <c r="K778" s="1" t="s">
        <v>341</v>
      </c>
    </row>
    <row r="779" spans="1:11" x14ac:dyDescent="0.25">
      <c r="A779" s="2">
        <v>45936.593206018515</v>
      </c>
      <c r="B779" s="1" t="s">
        <v>348</v>
      </c>
      <c r="C779" s="1" t="s">
        <v>363</v>
      </c>
      <c r="D779" s="1" t="s">
        <v>10</v>
      </c>
      <c r="E779" s="1" t="s">
        <v>17</v>
      </c>
      <c r="F779" s="1" t="s">
        <v>15</v>
      </c>
      <c r="G779">
        <v>3</v>
      </c>
      <c r="H779">
        <v>0</v>
      </c>
      <c r="I779">
        <v>0</v>
      </c>
      <c r="J779" s="1"/>
      <c r="K779" s="1" t="s">
        <v>343</v>
      </c>
    </row>
    <row r="780" spans="1:11" x14ac:dyDescent="0.25">
      <c r="A780" s="2">
        <v>45936.593611111108</v>
      </c>
      <c r="B780" s="1" t="s">
        <v>348</v>
      </c>
      <c r="C780" s="1" t="s">
        <v>363</v>
      </c>
      <c r="D780" s="1" t="s">
        <v>10</v>
      </c>
      <c r="E780" s="1" t="s">
        <v>17</v>
      </c>
      <c r="F780" s="1" t="s">
        <v>15</v>
      </c>
      <c r="G780">
        <v>3</v>
      </c>
      <c r="H780">
        <v>0</v>
      </c>
      <c r="I780">
        <v>0</v>
      </c>
      <c r="J780" s="1" t="s">
        <v>195</v>
      </c>
      <c r="K780" s="1" t="s">
        <v>345</v>
      </c>
    </row>
    <row r="781" spans="1:11" x14ac:dyDescent="0.25">
      <c r="A781" s="2">
        <v>45936.609178240738</v>
      </c>
      <c r="B781" s="1" t="s">
        <v>348</v>
      </c>
      <c r="C781" s="1" t="s">
        <v>363</v>
      </c>
      <c r="D781" s="1" t="s">
        <v>10</v>
      </c>
      <c r="E781" s="1" t="s">
        <v>11</v>
      </c>
      <c r="F781" s="1" t="s">
        <v>12</v>
      </c>
      <c r="G781">
        <v>10.5</v>
      </c>
      <c r="H781">
        <v>0</v>
      </c>
      <c r="I781">
        <v>0</v>
      </c>
      <c r="J781" s="1" t="s">
        <v>196</v>
      </c>
      <c r="K781" s="1" t="s">
        <v>336</v>
      </c>
    </row>
    <row r="782" spans="1:11" x14ac:dyDescent="0.25">
      <c r="A782" s="2">
        <v>45936.609178240738</v>
      </c>
      <c r="B782" s="1" t="s">
        <v>348</v>
      </c>
      <c r="C782" s="1" t="s">
        <v>363</v>
      </c>
      <c r="D782" s="1" t="s">
        <v>10</v>
      </c>
      <c r="E782" s="1" t="s">
        <v>11</v>
      </c>
      <c r="F782" s="1" t="s">
        <v>12</v>
      </c>
      <c r="G782">
        <v>10.5</v>
      </c>
      <c r="H782">
        <v>0</v>
      </c>
      <c r="I782">
        <v>0</v>
      </c>
      <c r="J782" s="1" t="s">
        <v>196</v>
      </c>
      <c r="K782" s="1" t="s">
        <v>340</v>
      </c>
    </row>
    <row r="783" spans="1:11" x14ac:dyDescent="0.25">
      <c r="A783" s="2">
        <v>45936.609178240738</v>
      </c>
      <c r="B783" s="1" t="s">
        <v>348</v>
      </c>
      <c r="C783" s="1" t="s">
        <v>363</v>
      </c>
      <c r="D783" s="1" t="s">
        <v>10</v>
      </c>
      <c r="E783" s="1" t="s">
        <v>11</v>
      </c>
      <c r="F783" s="1" t="s">
        <v>12</v>
      </c>
      <c r="G783">
        <v>10.5</v>
      </c>
      <c r="H783">
        <v>0</v>
      </c>
      <c r="I783">
        <v>0</v>
      </c>
      <c r="J783" s="1" t="s">
        <v>196</v>
      </c>
      <c r="K783" s="1" t="s">
        <v>106</v>
      </c>
    </row>
    <row r="784" spans="1:11" x14ac:dyDescent="0.25">
      <c r="A784" s="2">
        <v>45936.620451388888</v>
      </c>
      <c r="B784" s="1" t="s">
        <v>348</v>
      </c>
      <c r="C784" s="1" t="s">
        <v>363</v>
      </c>
      <c r="D784" s="1" t="s">
        <v>10</v>
      </c>
      <c r="E784" s="1" t="s">
        <v>17</v>
      </c>
      <c r="F784" s="1" t="s">
        <v>12</v>
      </c>
      <c r="G784">
        <v>10.5</v>
      </c>
      <c r="H784">
        <v>0</v>
      </c>
      <c r="I784">
        <v>0</v>
      </c>
      <c r="J784" s="1"/>
      <c r="K784" s="1" t="s">
        <v>340</v>
      </c>
    </row>
    <row r="785" spans="1:11" x14ac:dyDescent="0.25">
      <c r="A785" s="2">
        <v>45936.627060185187</v>
      </c>
      <c r="B785" s="1" t="s">
        <v>349</v>
      </c>
      <c r="C785" s="1" t="s">
        <v>363</v>
      </c>
      <c r="D785" s="1" t="s">
        <v>10</v>
      </c>
      <c r="E785" s="1" t="s">
        <v>11</v>
      </c>
      <c r="F785" s="1" t="s">
        <v>15</v>
      </c>
      <c r="G785">
        <v>3</v>
      </c>
      <c r="H785">
        <v>0</v>
      </c>
      <c r="I785">
        <v>0</v>
      </c>
      <c r="J785" s="1" t="s">
        <v>197</v>
      </c>
      <c r="K785" s="1" t="s">
        <v>342</v>
      </c>
    </row>
    <row r="786" spans="1:11" x14ac:dyDescent="0.25">
      <c r="A786" s="2">
        <v>45936.634305555555</v>
      </c>
      <c r="B786" s="1" t="s">
        <v>349</v>
      </c>
      <c r="C786" s="1" t="s">
        <v>363</v>
      </c>
      <c r="D786" s="1" t="s">
        <v>10</v>
      </c>
      <c r="E786" s="1" t="s">
        <v>11</v>
      </c>
      <c r="F786" s="1" t="s">
        <v>14</v>
      </c>
      <c r="G786">
        <v>0.5</v>
      </c>
      <c r="H786">
        <v>0</v>
      </c>
      <c r="I786">
        <v>0</v>
      </c>
      <c r="J786" s="1"/>
      <c r="K786" s="1" t="s">
        <v>344</v>
      </c>
    </row>
    <row r="787" spans="1:11" x14ac:dyDescent="0.25">
      <c r="A787" s="2">
        <v>45937.594583333332</v>
      </c>
      <c r="B787" s="1" t="s">
        <v>348</v>
      </c>
      <c r="C787" s="1" t="s">
        <v>358</v>
      </c>
      <c r="D787" s="1" t="s">
        <v>20</v>
      </c>
      <c r="E787" s="1" t="s">
        <v>11</v>
      </c>
      <c r="F787" s="1" t="s">
        <v>12</v>
      </c>
      <c r="G787">
        <v>10.5</v>
      </c>
      <c r="H787">
        <v>0</v>
      </c>
      <c r="I787">
        <v>0</v>
      </c>
      <c r="J787" s="1"/>
      <c r="K787" s="1" t="s">
        <v>340</v>
      </c>
    </row>
    <row r="788" spans="1:11" x14ac:dyDescent="0.25">
      <c r="A788" s="2">
        <v>45937.595150462963</v>
      </c>
      <c r="B788" s="1" t="s">
        <v>348</v>
      </c>
      <c r="C788" s="1" t="s">
        <v>358</v>
      </c>
      <c r="D788" s="1" t="s">
        <v>10</v>
      </c>
      <c r="E788" s="1" t="s">
        <v>11</v>
      </c>
      <c r="F788" s="1" t="s">
        <v>15</v>
      </c>
      <c r="G788">
        <v>3</v>
      </c>
      <c r="H788">
        <v>0</v>
      </c>
      <c r="I788">
        <v>0</v>
      </c>
      <c r="J788" s="1" t="s">
        <v>198</v>
      </c>
      <c r="K788" s="1" t="s">
        <v>345</v>
      </c>
    </row>
    <row r="789" spans="1:11" x14ac:dyDescent="0.25">
      <c r="A789" s="2">
        <v>45937.607349537036</v>
      </c>
      <c r="B789" s="1" t="s">
        <v>348</v>
      </c>
      <c r="C789" s="1" t="s">
        <v>358</v>
      </c>
      <c r="D789" s="1" t="s">
        <v>10</v>
      </c>
      <c r="E789" s="1" t="s">
        <v>11</v>
      </c>
      <c r="F789" s="1" t="s">
        <v>14</v>
      </c>
      <c r="G789">
        <v>0.5</v>
      </c>
      <c r="H789">
        <v>0</v>
      </c>
      <c r="I789">
        <v>0</v>
      </c>
      <c r="J789" s="1"/>
      <c r="K789" s="1" t="s">
        <v>344</v>
      </c>
    </row>
    <row r="790" spans="1:11" x14ac:dyDescent="0.25">
      <c r="A790" s="2">
        <v>45937.623738425929</v>
      </c>
      <c r="B790" s="1" t="s">
        <v>348</v>
      </c>
      <c r="C790" s="1" t="s">
        <v>358</v>
      </c>
      <c r="D790" s="1" t="s">
        <v>10</v>
      </c>
      <c r="E790" s="1" t="s">
        <v>11</v>
      </c>
      <c r="F790" s="1" t="s">
        <v>14</v>
      </c>
      <c r="G790">
        <v>0.5</v>
      </c>
      <c r="H790">
        <v>0</v>
      </c>
      <c r="I790">
        <v>0</v>
      </c>
      <c r="J790" s="1" t="s">
        <v>199</v>
      </c>
      <c r="K790" s="1" t="s">
        <v>345</v>
      </c>
    </row>
    <row r="791" spans="1:11" x14ac:dyDescent="0.25">
      <c r="A791" s="2">
        <v>45937.742280092592</v>
      </c>
      <c r="B791" s="1" t="s">
        <v>355</v>
      </c>
      <c r="C791" s="1" t="s">
        <v>358</v>
      </c>
      <c r="D791" s="1" t="s">
        <v>10</v>
      </c>
      <c r="E791" s="1" t="s">
        <v>11</v>
      </c>
      <c r="F791" s="1" t="s">
        <v>15</v>
      </c>
      <c r="G791">
        <v>3</v>
      </c>
      <c r="H791">
        <v>0</v>
      </c>
      <c r="I791">
        <v>0</v>
      </c>
      <c r="J791" s="1"/>
      <c r="K791" s="1" t="s">
        <v>340</v>
      </c>
    </row>
    <row r="792" spans="1:11" x14ac:dyDescent="0.25">
      <c r="A792" s="2">
        <v>45937.742442129631</v>
      </c>
      <c r="B792" s="1" t="s">
        <v>355</v>
      </c>
      <c r="C792" s="1" t="s">
        <v>358</v>
      </c>
      <c r="D792" s="1" t="s">
        <v>10</v>
      </c>
      <c r="E792" s="1" t="s">
        <v>11</v>
      </c>
      <c r="F792" s="1" t="s">
        <v>14</v>
      </c>
      <c r="G792">
        <v>0.5</v>
      </c>
      <c r="H792">
        <v>0</v>
      </c>
      <c r="I792">
        <v>0</v>
      </c>
      <c r="J792" s="1"/>
      <c r="K792" s="1" t="s">
        <v>344</v>
      </c>
    </row>
    <row r="793" spans="1:11" x14ac:dyDescent="0.25">
      <c r="A793" s="2">
        <v>45937.742789351854</v>
      </c>
      <c r="B793" s="1" t="s">
        <v>355</v>
      </c>
      <c r="C793" s="1" t="s">
        <v>358</v>
      </c>
      <c r="D793" s="1" t="s">
        <v>10</v>
      </c>
      <c r="E793" s="1" t="s">
        <v>11</v>
      </c>
      <c r="F793" s="1" t="s">
        <v>15</v>
      </c>
      <c r="G793">
        <v>3</v>
      </c>
      <c r="H793">
        <v>0</v>
      </c>
      <c r="I793">
        <v>0</v>
      </c>
      <c r="J793" s="1"/>
      <c r="K793" s="1" t="s">
        <v>343</v>
      </c>
    </row>
    <row r="794" spans="1:11" x14ac:dyDescent="0.25">
      <c r="A794" s="2">
        <v>45938.483657407407</v>
      </c>
      <c r="B794" s="1" t="s">
        <v>354</v>
      </c>
      <c r="C794" s="1" t="s">
        <v>359</v>
      </c>
      <c r="D794" s="1" t="s">
        <v>10</v>
      </c>
      <c r="E794" s="1" t="s">
        <v>11</v>
      </c>
      <c r="F794" s="1" t="s">
        <v>12</v>
      </c>
      <c r="G794">
        <v>10.5</v>
      </c>
      <c r="H794">
        <v>1</v>
      </c>
      <c r="I794">
        <v>0</v>
      </c>
      <c r="J794" s="1"/>
      <c r="K794" s="1" t="s">
        <v>340</v>
      </c>
    </row>
    <row r="795" spans="1:11" x14ac:dyDescent="0.25">
      <c r="A795" s="2">
        <v>45938.483657407407</v>
      </c>
      <c r="B795" s="1" t="s">
        <v>354</v>
      </c>
      <c r="C795" s="1" t="s">
        <v>359</v>
      </c>
      <c r="D795" s="1" t="s">
        <v>10</v>
      </c>
      <c r="E795" s="1" t="s">
        <v>11</v>
      </c>
      <c r="F795" s="1" t="s">
        <v>12</v>
      </c>
      <c r="G795">
        <v>10.5</v>
      </c>
      <c r="H795">
        <v>1</v>
      </c>
      <c r="I795">
        <v>0</v>
      </c>
      <c r="J795" s="1"/>
      <c r="K795" s="1" t="s">
        <v>343</v>
      </c>
    </row>
    <row r="796" spans="1:11" x14ac:dyDescent="0.25">
      <c r="A796" s="2">
        <v>45938.624340277776</v>
      </c>
      <c r="B796" s="1" t="s">
        <v>348</v>
      </c>
      <c r="C796" s="1" t="s">
        <v>359</v>
      </c>
      <c r="D796" s="1" t="s">
        <v>10</v>
      </c>
      <c r="E796" s="1" t="s">
        <v>11</v>
      </c>
      <c r="F796" s="1" t="s">
        <v>15</v>
      </c>
      <c r="G796">
        <v>3</v>
      </c>
      <c r="H796">
        <v>0</v>
      </c>
      <c r="I796">
        <v>0</v>
      </c>
      <c r="J796" s="1"/>
      <c r="K796" s="1" t="s">
        <v>341</v>
      </c>
    </row>
    <row r="797" spans="1:11" x14ac:dyDescent="0.25">
      <c r="A797" s="2">
        <v>45938.745011574072</v>
      </c>
      <c r="B797" s="1" t="s">
        <v>355</v>
      </c>
      <c r="C797" s="1" t="s">
        <v>359</v>
      </c>
      <c r="D797" s="1" t="s">
        <v>10</v>
      </c>
      <c r="E797" s="1" t="s">
        <v>11</v>
      </c>
      <c r="F797" s="1" t="s">
        <v>15</v>
      </c>
      <c r="G797">
        <v>3</v>
      </c>
      <c r="H797">
        <v>1</v>
      </c>
      <c r="I797">
        <v>0</v>
      </c>
      <c r="J797" s="1"/>
      <c r="K797" s="1" t="s">
        <v>336</v>
      </c>
    </row>
    <row r="798" spans="1:11" x14ac:dyDescent="0.25">
      <c r="A798" s="2">
        <v>45938.745115740741</v>
      </c>
      <c r="B798" s="1" t="s">
        <v>355</v>
      </c>
      <c r="C798" s="1" t="s">
        <v>359</v>
      </c>
      <c r="D798" s="1" t="s">
        <v>10</v>
      </c>
      <c r="E798" s="1" t="s">
        <v>11</v>
      </c>
      <c r="F798" s="1" t="s">
        <v>15</v>
      </c>
      <c r="G798">
        <v>3</v>
      </c>
      <c r="H798">
        <v>0</v>
      </c>
      <c r="I798">
        <v>0</v>
      </c>
      <c r="J798" s="1"/>
      <c r="K798" s="1" t="s">
        <v>342</v>
      </c>
    </row>
    <row r="799" spans="1:11" x14ac:dyDescent="0.25">
      <c r="A799" s="2">
        <v>45938.745243055557</v>
      </c>
      <c r="B799" s="1" t="s">
        <v>355</v>
      </c>
      <c r="C799" s="1" t="s">
        <v>359</v>
      </c>
      <c r="D799" s="1" t="s">
        <v>10</v>
      </c>
      <c r="E799" s="1" t="s">
        <v>11</v>
      </c>
      <c r="F799" s="1" t="s">
        <v>14</v>
      </c>
      <c r="G799">
        <v>0.5</v>
      </c>
      <c r="H799">
        <v>0</v>
      </c>
      <c r="I799">
        <v>0</v>
      </c>
      <c r="J799" s="1"/>
      <c r="K799" s="1" t="s">
        <v>344</v>
      </c>
    </row>
    <row r="800" spans="1:11" x14ac:dyDescent="0.25">
      <c r="A800" s="2">
        <v>45938.745497685188</v>
      </c>
      <c r="B800" s="1" t="s">
        <v>355</v>
      </c>
      <c r="C800" s="1" t="s">
        <v>359</v>
      </c>
      <c r="D800" s="1" t="s">
        <v>10</v>
      </c>
      <c r="E800" s="1" t="s">
        <v>11</v>
      </c>
      <c r="F800" s="1" t="s">
        <v>15</v>
      </c>
      <c r="G800">
        <v>3</v>
      </c>
      <c r="H800">
        <v>1</v>
      </c>
      <c r="I800">
        <v>0</v>
      </c>
      <c r="J800" s="1"/>
      <c r="K800" s="1" t="s">
        <v>336</v>
      </c>
    </row>
    <row r="801" spans="1:11" x14ac:dyDescent="0.25">
      <c r="A801" s="2">
        <v>45939.385335648149</v>
      </c>
      <c r="B801" s="1" t="s">
        <v>352</v>
      </c>
      <c r="C801" s="1" t="s">
        <v>360</v>
      </c>
      <c r="D801" s="1" t="s">
        <v>20</v>
      </c>
      <c r="E801" s="1" t="s">
        <v>11</v>
      </c>
      <c r="F801" s="1" t="s">
        <v>15</v>
      </c>
      <c r="G801">
        <v>3</v>
      </c>
      <c r="H801">
        <v>0</v>
      </c>
      <c r="I801">
        <v>0</v>
      </c>
      <c r="J801" s="1" t="s">
        <v>200</v>
      </c>
      <c r="K801" s="1" t="s">
        <v>345</v>
      </c>
    </row>
    <row r="802" spans="1:11" x14ac:dyDescent="0.25">
      <c r="A802" s="2">
        <v>45939.396423611113</v>
      </c>
      <c r="B802" s="1" t="s">
        <v>352</v>
      </c>
      <c r="C802" s="1" t="s">
        <v>360</v>
      </c>
      <c r="D802" s="1" t="s">
        <v>10</v>
      </c>
      <c r="E802" s="1" t="s">
        <v>11</v>
      </c>
      <c r="F802" s="1" t="s">
        <v>15</v>
      </c>
      <c r="G802">
        <v>3</v>
      </c>
      <c r="H802">
        <v>0</v>
      </c>
      <c r="I802">
        <v>0</v>
      </c>
      <c r="J802" s="1"/>
      <c r="K802" s="1" t="s">
        <v>336</v>
      </c>
    </row>
    <row r="803" spans="1:11" x14ac:dyDescent="0.25">
      <c r="A803" s="2">
        <v>45939.396504629629</v>
      </c>
      <c r="B803" s="1" t="s">
        <v>352</v>
      </c>
      <c r="C803" s="1" t="s">
        <v>360</v>
      </c>
      <c r="D803" s="1" t="s">
        <v>20</v>
      </c>
      <c r="E803" s="1" t="s">
        <v>11</v>
      </c>
      <c r="F803" s="1" t="s">
        <v>12</v>
      </c>
      <c r="G803">
        <v>10.5</v>
      </c>
      <c r="H803">
        <v>1</v>
      </c>
      <c r="I803">
        <v>0</v>
      </c>
      <c r="J803" s="1"/>
      <c r="K803" s="1" t="s">
        <v>336</v>
      </c>
    </row>
    <row r="804" spans="1:11" x14ac:dyDescent="0.25">
      <c r="A804" s="2">
        <v>45939.413611111115</v>
      </c>
      <c r="B804" s="1" t="s">
        <v>352</v>
      </c>
      <c r="C804" s="1" t="s">
        <v>360</v>
      </c>
      <c r="D804" s="1" t="s">
        <v>10</v>
      </c>
      <c r="E804" s="1" t="s">
        <v>11</v>
      </c>
      <c r="F804" s="1" t="s">
        <v>14</v>
      </c>
      <c r="G804">
        <v>0.5</v>
      </c>
      <c r="H804">
        <v>0</v>
      </c>
      <c r="I804">
        <v>0</v>
      </c>
      <c r="J804" s="1"/>
      <c r="K804" s="1" t="s">
        <v>343</v>
      </c>
    </row>
    <row r="805" spans="1:11" x14ac:dyDescent="0.25">
      <c r="A805" s="2">
        <v>45939.419351851851</v>
      </c>
      <c r="B805" s="1" t="s">
        <v>347</v>
      </c>
      <c r="C805" s="1" t="s">
        <v>360</v>
      </c>
      <c r="D805" s="1" t="s">
        <v>10</v>
      </c>
      <c r="E805" s="1" t="s">
        <v>11</v>
      </c>
      <c r="F805" s="1" t="s">
        <v>12</v>
      </c>
      <c r="G805">
        <v>10.5</v>
      </c>
      <c r="H805">
        <v>0</v>
      </c>
      <c r="I805">
        <v>0</v>
      </c>
      <c r="J805" s="1"/>
      <c r="K805" s="1" t="s">
        <v>336</v>
      </c>
    </row>
    <row r="806" spans="1:11" x14ac:dyDescent="0.25">
      <c r="A806" s="2">
        <v>45939.44494212963</v>
      </c>
      <c r="B806" s="1" t="s">
        <v>347</v>
      </c>
      <c r="C806" s="1" t="s">
        <v>360</v>
      </c>
      <c r="D806" s="1" t="s">
        <v>20</v>
      </c>
      <c r="E806" s="1" t="s">
        <v>11</v>
      </c>
      <c r="F806" s="1" t="s">
        <v>12</v>
      </c>
      <c r="G806">
        <v>10.5</v>
      </c>
      <c r="H806">
        <v>1</v>
      </c>
      <c r="I806">
        <v>1</v>
      </c>
      <c r="J806" s="1"/>
      <c r="K806" s="1" t="s">
        <v>336</v>
      </c>
    </row>
    <row r="807" spans="1:11" x14ac:dyDescent="0.25">
      <c r="A807" s="2">
        <v>45939.59752314815</v>
      </c>
      <c r="B807" s="1" t="s">
        <v>348</v>
      </c>
      <c r="C807" s="1" t="s">
        <v>360</v>
      </c>
      <c r="D807" s="1" t="s">
        <v>10</v>
      </c>
      <c r="E807" s="1" t="s">
        <v>11</v>
      </c>
      <c r="F807" s="1" t="s">
        <v>15</v>
      </c>
      <c r="G807">
        <v>3</v>
      </c>
      <c r="H807">
        <v>0</v>
      </c>
      <c r="I807">
        <v>0</v>
      </c>
      <c r="J807" s="1"/>
      <c r="K807" s="1" t="s">
        <v>341</v>
      </c>
    </row>
    <row r="808" spans="1:11" x14ac:dyDescent="0.25">
      <c r="A808" s="2">
        <v>45939.627789351849</v>
      </c>
      <c r="B808" s="1" t="s">
        <v>349</v>
      </c>
      <c r="C808" s="1" t="s">
        <v>360</v>
      </c>
      <c r="D808" s="1" t="s">
        <v>10</v>
      </c>
      <c r="E808" s="1" t="s">
        <v>11</v>
      </c>
      <c r="F808" s="1" t="s">
        <v>15</v>
      </c>
      <c r="G808">
        <v>3</v>
      </c>
      <c r="H808">
        <v>1</v>
      </c>
      <c r="I808">
        <v>0</v>
      </c>
      <c r="J808" s="1"/>
      <c r="K808" s="1" t="s">
        <v>336</v>
      </c>
    </row>
    <row r="809" spans="1:11" x14ac:dyDescent="0.25">
      <c r="A809" s="2">
        <v>45940.412592592591</v>
      </c>
      <c r="B809" s="1" t="s">
        <v>352</v>
      </c>
      <c r="C809" s="1" t="s">
        <v>361</v>
      </c>
      <c r="D809" s="1" t="s">
        <v>10</v>
      </c>
      <c r="E809" s="1" t="s">
        <v>11</v>
      </c>
      <c r="F809" s="1" t="s">
        <v>14</v>
      </c>
      <c r="G809">
        <v>0.5</v>
      </c>
      <c r="H809">
        <v>0</v>
      </c>
      <c r="I809">
        <v>0</v>
      </c>
      <c r="J809" s="1"/>
      <c r="K809" s="1" t="s">
        <v>343</v>
      </c>
    </row>
    <row r="810" spans="1:11" x14ac:dyDescent="0.25">
      <c r="A810" s="2">
        <v>45940.497812499998</v>
      </c>
      <c r="B810" s="1" t="s">
        <v>354</v>
      </c>
      <c r="C810" s="1" t="s">
        <v>361</v>
      </c>
      <c r="D810" s="1" t="s">
        <v>10</v>
      </c>
      <c r="E810" s="1" t="s">
        <v>11</v>
      </c>
      <c r="F810" s="1" t="s">
        <v>15</v>
      </c>
      <c r="G810">
        <v>3</v>
      </c>
      <c r="H810">
        <v>0</v>
      </c>
      <c r="I810">
        <v>0</v>
      </c>
      <c r="J810" s="1"/>
      <c r="K810" s="1" t="s">
        <v>341</v>
      </c>
    </row>
    <row r="811" spans="1:11" x14ac:dyDescent="0.25">
      <c r="A811" s="2">
        <v>45940.527986111112</v>
      </c>
      <c r="B811" s="1" t="s">
        <v>350</v>
      </c>
      <c r="C811" s="1" t="s">
        <v>361</v>
      </c>
      <c r="D811" s="1" t="s">
        <v>20</v>
      </c>
      <c r="E811" s="1" t="s">
        <v>11</v>
      </c>
      <c r="F811" s="1" t="s">
        <v>12</v>
      </c>
      <c r="G811">
        <v>10.5</v>
      </c>
      <c r="H811">
        <v>1</v>
      </c>
      <c r="I811">
        <v>0</v>
      </c>
      <c r="J811" s="1"/>
      <c r="K811" s="1" t="s">
        <v>336</v>
      </c>
    </row>
    <row r="812" spans="1:11" x14ac:dyDescent="0.25">
      <c r="A812" s="2">
        <v>45940.547835648147</v>
      </c>
      <c r="B812" s="1" t="s">
        <v>351</v>
      </c>
      <c r="C812" s="1" t="s">
        <v>361</v>
      </c>
      <c r="D812" s="1" t="s">
        <v>20</v>
      </c>
      <c r="E812" s="1" t="s">
        <v>11</v>
      </c>
      <c r="F812" s="1" t="s">
        <v>12</v>
      </c>
      <c r="G812">
        <v>10.5</v>
      </c>
      <c r="H812">
        <v>0</v>
      </c>
      <c r="I812">
        <v>0</v>
      </c>
      <c r="J812" s="1" t="s">
        <v>201</v>
      </c>
      <c r="K812" s="1" t="s">
        <v>336</v>
      </c>
    </row>
    <row r="813" spans="1:11" x14ac:dyDescent="0.25">
      <c r="A813" s="2">
        <v>45940.667754629627</v>
      </c>
      <c r="B813" s="1" t="s">
        <v>353</v>
      </c>
      <c r="C813" s="1" t="s">
        <v>361</v>
      </c>
      <c r="D813" s="1" t="s">
        <v>10</v>
      </c>
      <c r="E813" s="1" t="s">
        <v>11</v>
      </c>
      <c r="F813" s="1" t="s">
        <v>15</v>
      </c>
      <c r="G813">
        <v>3</v>
      </c>
      <c r="H813">
        <v>0</v>
      </c>
      <c r="I813">
        <v>0</v>
      </c>
      <c r="J813" s="1" t="s">
        <v>202</v>
      </c>
      <c r="K813" s="1" t="s">
        <v>345</v>
      </c>
    </row>
    <row r="814" spans="1:11" x14ac:dyDescent="0.25">
      <c r="A814" s="2">
        <v>45940.667881944442</v>
      </c>
      <c r="B814" s="1" t="s">
        <v>353</v>
      </c>
      <c r="C814" s="1" t="s">
        <v>361</v>
      </c>
      <c r="D814" s="1" t="s">
        <v>10</v>
      </c>
      <c r="E814" s="1" t="s">
        <v>11</v>
      </c>
      <c r="F814" s="1" t="s">
        <v>15</v>
      </c>
      <c r="G814">
        <v>3</v>
      </c>
      <c r="H814">
        <v>1</v>
      </c>
      <c r="I814">
        <v>0</v>
      </c>
      <c r="J814" s="1"/>
      <c r="K814" s="1" t="s">
        <v>336</v>
      </c>
    </row>
    <row r="815" spans="1:11" x14ac:dyDescent="0.25">
      <c r="A815" s="2">
        <v>45940.667974537035</v>
      </c>
      <c r="B815" s="1" t="s">
        <v>353</v>
      </c>
      <c r="C815" s="1" t="s">
        <v>361</v>
      </c>
      <c r="D815" s="1" t="s">
        <v>10</v>
      </c>
      <c r="E815" s="1" t="s">
        <v>11</v>
      </c>
      <c r="F815" s="1" t="s">
        <v>15</v>
      </c>
      <c r="G815">
        <v>3</v>
      </c>
      <c r="H815">
        <v>1</v>
      </c>
      <c r="I815">
        <v>0</v>
      </c>
      <c r="J815" s="1"/>
      <c r="K815" s="1" t="s">
        <v>336</v>
      </c>
    </row>
    <row r="816" spans="1:11" x14ac:dyDescent="0.25">
      <c r="A816" s="2">
        <v>45941.498726851853</v>
      </c>
      <c r="B816" s="1" t="s">
        <v>354</v>
      </c>
      <c r="C816" s="1" t="s">
        <v>362</v>
      </c>
      <c r="D816" s="1" t="s">
        <v>10</v>
      </c>
      <c r="E816" s="1" t="s">
        <v>11</v>
      </c>
      <c r="F816" s="1" t="s">
        <v>12</v>
      </c>
      <c r="G816">
        <v>10.5</v>
      </c>
      <c r="H816">
        <v>1</v>
      </c>
      <c r="I816">
        <v>0</v>
      </c>
      <c r="J816" s="1"/>
      <c r="K816" s="1" t="s">
        <v>336</v>
      </c>
    </row>
    <row r="817" spans="1:11" x14ac:dyDescent="0.25">
      <c r="A817" s="2">
        <v>45941.498819444445</v>
      </c>
      <c r="B817" s="1" t="s">
        <v>354</v>
      </c>
      <c r="C817" s="1" t="s">
        <v>362</v>
      </c>
      <c r="D817" s="1" t="s">
        <v>10</v>
      </c>
      <c r="E817" s="1" t="s">
        <v>11</v>
      </c>
      <c r="F817" s="1" t="s">
        <v>15</v>
      </c>
      <c r="G817">
        <v>3</v>
      </c>
      <c r="H817">
        <v>0</v>
      </c>
      <c r="I817">
        <v>0</v>
      </c>
      <c r="J817" s="1"/>
      <c r="K817" s="1" t="s">
        <v>344</v>
      </c>
    </row>
    <row r="818" spans="1:11" x14ac:dyDescent="0.25">
      <c r="A818" s="2">
        <v>45941.49894675926</v>
      </c>
      <c r="B818" s="1" t="s">
        <v>354</v>
      </c>
      <c r="C818" s="1" t="s">
        <v>362</v>
      </c>
      <c r="D818" s="1" t="s">
        <v>20</v>
      </c>
      <c r="E818" s="1" t="s">
        <v>11</v>
      </c>
      <c r="F818" s="1" t="s">
        <v>15</v>
      </c>
      <c r="G818">
        <v>3</v>
      </c>
      <c r="H818">
        <v>0</v>
      </c>
      <c r="I818">
        <v>0</v>
      </c>
      <c r="J818" s="1"/>
      <c r="K818" s="1" t="s">
        <v>345</v>
      </c>
    </row>
    <row r="819" spans="1:11" x14ac:dyDescent="0.25">
      <c r="A819" s="2">
        <v>45943.445937500001</v>
      </c>
      <c r="B819" s="1" t="s">
        <v>347</v>
      </c>
      <c r="C819" s="1" t="s">
        <v>363</v>
      </c>
      <c r="D819" s="1" t="s">
        <v>10</v>
      </c>
      <c r="E819" s="1" t="s">
        <v>11</v>
      </c>
      <c r="F819" s="1" t="s">
        <v>12</v>
      </c>
      <c r="G819">
        <v>10.5</v>
      </c>
      <c r="H819">
        <v>0</v>
      </c>
      <c r="I819">
        <v>0</v>
      </c>
      <c r="J819" s="1" t="s">
        <v>162</v>
      </c>
      <c r="K819" s="1" t="s">
        <v>342</v>
      </c>
    </row>
    <row r="820" spans="1:11" x14ac:dyDescent="0.25">
      <c r="A820" s="2">
        <v>45943.446122685185</v>
      </c>
      <c r="B820" s="1" t="s">
        <v>347</v>
      </c>
      <c r="C820" s="1" t="s">
        <v>363</v>
      </c>
      <c r="D820" s="1" t="s">
        <v>10</v>
      </c>
      <c r="E820" s="1" t="s">
        <v>11</v>
      </c>
      <c r="F820" s="1" t="s">
        <v>15</v>
      </c>
      <c r="G820">
        <v>3</v>
      </c>
      <c r="H820">
        <v>0</v>
      </c>
      <c r="I820">
        <v>0</v>
      </c>
      <c r="J820" s="1" t="s">
        <v>127</v>
      </c>
      <c r="K820" s="1" t="s">
        <v>342</v>
      </c>
    </row>
    <row r="821" spans="1:11" x14ac:dyDescent="0.25">
      <c r="A821" s="2">
        <v>45943.457499999997</v>
      </c>
      <c r="B821" s="1" t="s">
        <v>347</v>
      </c>
      <c r="C821" s="1" t="s">
        <v>363</v>
      </c>
      <c r="D821" s="1" t="s">
        <v>10</v>
      </c>
      <c r="E821" s="1" t="s">
        <v>11</v>
      </c>
      <c r="F821" s="1" t="s">
        <v>12</v>
      </c>
      <c r="G821">
        <v>10.5</v>
      </c>
      <c r="H821">
        <v>0</v>
      </c>
      <c r="I821">
        <v>0</v>
      </c>
      <c r="J821" s="1"/>
      <c r="K821" s="1" t="s">
        <v>106</v>
      </c>
    </row>
    <row r="822" spans="1:11" x14ac:dyDescent="0.25">
      <c r="A822" s="2">
        <v>45943.480185185188</v>
      </c>
      <c r="B822" s="1" t="s">
        <v>354</v>
      </c>
      <c r="C822" s="1" t="s">
        <v>363</v>
      </c>
      <c r="D822" s="1" t="s">
        <v>10</v>
      </c>
      <c r="E822" s="1" t="s">
        <v>11</v>
      </c>
      <c r="F822" s="1" t="s">
        <v>18</v>
      </c>
      <c r="G822">
        <v>20</v>
      </c>
      <c r="H822">
        <v>1</v>
      </c>
      <c r="I822">
        <v>0</v>
      </c>
      <c r="J822" s="1"/>
      <c r="K822" s="1" t="s">
        <v>340</v>
      </c>
    </row>
    <row r="823" spans="1:11" x14ac:dyDescent="0.25">
      <c r="A823" s="2">
        <v>45943.480185185188</v>
      </c>
      <c r="B823" s="1" t="s">
        <v>354</v>
      </c>
      <c r="C823" s="1" t="s">
        <v>363</v>
      </c>
      <c r="D823" s="1" t="s">
        <v>10</v>
      </c>
      <c r="E823" s="1" t="s">
        <v>11</v>
      </c>
      <c r="F823" s="1" t="s">
        <v>18</v>
      </c>
      <c r="G823">
        <v>20</v>
      </c>
      <c r="H823">
        <v>1</v>
      </c>
      <c r="I823">
        <v>0</v>
      </c>
      <c r="J823" s="1"/>
      <c r="K823" s="1" t="s">
        <v>343</v>
      </c>
    </row>
    <row r="824" spans="1:11" x14ac:dyDescent="0.25">
      <c r="A824" s="2">
        <v>45943.505347222221</v>
      </c>
      <c r="B824" s="1" t="s">
        <v>350</v>
      </c>
      <c r="C824" s="1" t="s">
        <v>363</v>
      </c>
      <c r="D824" s="1" t="s">
        <v>10</v>
      </c>
      <c r="E824" s="1" t="s">
        <v>11</v>
      </c>
      <c r="F824" s="1" t="s">
        <v>12</v>
      </c>
      <c r="G824">
        <v>10.5</v>
      </c>
      <c r="H824">
        <v>0</v>
      </c>
      <c r="I824">
        <v>0</v>
      </c>
      <c r="J824" s="1"/>
      <c r="K824" s="1" t="s">
        <v>341</v>
      </c>
    </row>
    <row r="825" spans="1:11" x14ac:dyDescent="0.25">
      <c r="A825" s="2">
        <v>45943.505543981482</v>
      </c>
      <c r="B825" s="1" t="s">
        <v>350</v>
      </c>
      <c r="C825" s="1" t="s">
        <v>363</v>
      </c>
      <c r="D825" s="1" t="s">
        <v>10</v>
      </c>
      <c r="E825" s="1" t="s">
        <v>11</v>
      </c>
      <c r="F825" s="1" t="s">
        <v>12</v>
      </c>
      <c r="G825">
        <v>10.5</v>
      </c>
      <c r="H825">
        <v>1</v>
      </c>
      <c r="I825">
        <v>0</v>
      </c>
      <c r="J825" s="1"/>
      <c r="K825" s="1" t="s">
        <v>337</v>
      </c>
    </row>
    <row r="826" spans="1:11" x14ac:dyDescent="0.25">
      <c r="A826" s="2">
        <v>45943.50576388889</v>
      </c>
      <c r="B826" s="1" t="s">
        <v>350</v>
      </c>
      <c r="C826" s="1" t="s">
        <v>363</v>
      </c>
      <c r="D826" s="1" t="s">
        <v>10</v>
      </c>
      <c r="E826" s="1" t="s">
        <v>11</v>
      </c>
      <c r="F826" s="1" t="s">
        <v>18</v>
      </c>
      <c r="G826">
        <v>20</v>
      </c>
      <c r="H826">
        <v>1</v>
      </c>
      <c r="I826">
        <v>0</v>
      </c>
      <c r="J826" s="1"/>
      <c r="K826" s="1" t="s">
        <v>340</v>
      </c>
    </row>
    <row r="827" spans="1:11" x14ac:dyDescent="0.25">
      <c r="A827" s="2">
        <v>45943.50576388889</v>
      </c>
      <c r="B827" s="1" t="s">
        <v>350</v>
      </c>
      <c r="C827" s="1" t="s">
        <v>363</v>
      </c>
      <c r="D827" s="1" t="s">
        <v>10</v>
      </c>
      <c r="E827" s="1" t="s">
        <v>11</v>
      </c>
      <c r="F827" s="1" t="s">
        <v>18</v>
      </c>
      <c r="G827">
        <v>20</v>
      </c>
      <c r="H827">
        <v>1</v>
      </c>
      <c r="I827">
        <v>0</v>
      </c>
      <c r="J827" s="1"/>
      <c r="K827" s="1" t="s">
        <v>343</v>
      </c>
    </row>
    <row r="828" spans="1:11" x14ac:dyDescent="0.25">
      <c r="A828" s="2">
        <v>45943.561643518522</v>
      </c>
      <c r="B828" s="1" t="s">
        <v>351</v>
      </c>
      <c r="C828" s="1" t="s">
        <v>363</v>
      </c>
      <c r="D828" s="1" t="s">
        <v>10</v>
      </c>
      <c r="E828" s="1" t="s">
        <v>11</v>
      </c>
      <c r="F828" s="1" t="s">
        <v>14</v>
      </c>
      <c r="G828">
        <v>0.5</v>
      </c>
      <c r="H828">
        <v>0</v>
      </c>
      <c r="I828">
        <v>0</v>
      </c>
      <c r="J828" s="1"/>
      <c r="K828" s="1" t="s">
        <v>344</v>
      </c>
    </row>
    <row r="829" spans="1:11" x14ac:dyDescent="0.25">
      <c r="A829" s="2">
        <v>45943.561712962961</v>
      </c>
      <c r="B829" s="1" t="s">
        <v>351</v>
      </c>
      <c r="C829" s="1" t="s">
        <v>363</v>
      </c>
      <c r="D829" s="1" t="s">
        <v>10</v>
      </c>
      <c r="E829" s="1" t="s">
        <v>11</v>
      </c>
      <c r="F829" s="1" t="s">
        <v>15</v>
      </c>
      <c r="G829">
        <v>3</v>
      </c>
      <c r="H829">
        <v>0</v>
      </c>
      <c r="I829">
        <v>0</v>
      </c>
      <c r="J829" s="1"/>
      <c r="K829" s="1" t="s">
        <v>342</v>
      </c>
    </row>
    <row r="830" spans="1:11" x14ac:dyDescent="0.25">
      <c r="A830" s="2">
        <v>45943.568043981482</v>
      </c>
      <c r="B830" s="1" t="s">
        <v>351</v>
      </c>
      <c r="C830" s="1" t="s">
        <v>363</v>
      </c>
      <c r="D830" s="1" t="s">
        <v>20</v>
      </c>
      <c r="E830" s="1" t="s">
        <v>11</v>
      </c>
      <c r="F830" s="1" t="s">
        <v>15</v>
      </c>
      <c r="G830">
        <v>3</v>
      </c>
      <c r="H830">
        <v>0</v>
      </c>
      <c r="I830">
        <v>0</v>
      </c>
      <c r="J830" s="1" t="s">
        <v>203</v>
      </c>
      <c r="K830" s="1" t="s">
        <v>337</v>
      </c>
    </row>
    <row r="831" spans="1:11" x14ac:dyDescent="0.25">
      <c r="A831" s="2">
        <v>45943.568043981482</v>
      </c>
      <c r="B831" s="1" t="s">
        <v>351</v>
      </c>
      <c r="C831" s="1" t="s">
        <v>363</v>
      </c>
      <c r="D831" s="1" t="s">
        <v>20</v>
      </c>
      <c r="E831" s="1" t="s">
        <v>11</v>
      </c>
      <c r="F831" s="1" t="s">
        <v>15</v>
      </c>
      <c r="G831">
        <v>3</v>
      </c>
      <c r="H831">
        <v>0</v>
      </c>
      <c r="I831">
        <v>0</v>
      </c>
      <c r="J831" s="1" t="s">
        <v>203</v>
      </c>
      <c r="K831" s="1" t="s">
        <v>343</v>
      </c>
    </row>
    <row r="832" spans="1:11" x14ac:dyDescent="0.25">
      <c r="A832" s="2">
        <v>45943.569930555554</v>
      </c>
      <c r="B832" s="1" t="s">
        <v>351</v>
      </c>
      <c r="C832" s="1" t="s">
        <v>363</v>
      </c>
      <c r="D832" s="1" t="s">
        <v>10</v>
      </c>
      <c r="E832" s="1" t="s">
        <v>11</v>
      </c>
      <c r="F832" s="1" t="s">
        <v>14</v>
      </c>
      <c r="G832">
        <v>0.5</v>
      </c>
      <c r="H832">
        <v>0</v>
      </c>
      <c r="I832">
        <v>0</v>
      </c>
      <c r="J832" s="1"/>
      <c r="K832" s="1" t="s">
        <v>344</v>
      </c>
    </row>
    <row r="833" spans="1:11" x14ac:dyDescent="0.25">
      <c r="A833" s="2">
        <v>45943.585821759261</v>
      </c>
      <c r="B833" s="1" t="s">
        <v>348</v>
      </c>
      <c r="C833" s="1" t="s">
        <v>363</v>
      </c>
      <c r="D833" s="1" t="s">
        <v>10</v>
      </c>
      <c r="E833" s="1" t="s">
        <v>11</v>
      </c>
      <c r="F833" s="1" t="s">
        <v>15</v>
      </c>
      <c r="G833">
        <v>3</v>
      </c>
      <c r="H833">
        <v>0</v>
      </c>
      <c r="I833">
        <v>0</v>
      </c>
      <c r="J833" s="1"/>
      <c r="K833" s="1" t="s">
        <v>337</v>
      </c>
    </row>
    <row r="834" spans="1:11" x14ac:dyDescent="0.25">
      <c r="A834" s="2">
        <v>45943.6015162037</v>
      </c>
      <c r="B834" s="1" t="s">
        <v>348</v>
      </c>
      <c r="C834" s="1" t="s">
        <v>363</v>
      </c>
      <c r="D834" s="1" t="s">
        <v>20</v>
      </c>
      <c r="E834" s="1" t="s">
        <v>11</v>
      </c>
      <c r="F834" s="1" t="s">
        <v>15</v>
      </c>
      <c r="G834">
        <v>3</v>
      </c>
      <c r="H834">
        <v>0</v>
      </c>
      <c r="I834">
        <v>0</v>
      </c>
      <c r="J834" s="1" t="s">
        <v>204</v>
      </c>
      <c r="K834" s="1" t="s">
        <v>336</v>
      </c>
    </row>
    <row r="835" spans="1:11" x14ac:dyDescent="0.25">
      <c r="A835" s="2">
        <v>45943.6246875</v>
      </c>
      <c r="B835" s="1" t="s">
        <v>348</v>
      </c>
      <c r="C835" s="1" t="s">
        <v>363</v>
      </c>
      <c r="D835" s="1" t="s">
        <v>10</v>
      </c>
      <c r="E835" s="1" t="s">
        <v>11</v>
      </c>
      <c r="F835" s="1" t="s">
        <v>12</v>
      </c>
      <c r="G835">
        <v>10.5</v>
      </c>
      <c r="H835">
        <v>0</v>
      </c>
      <c r="I835">
        <v>0</v>
      </c>
      <c r="J835" s="1"/>
      <c r="K835" s="1" t="s">
        <v>340</v>
      </c>
    </row>
    <row r="836" spans="1:11" x14ac:dyDescent="0.25">
      <c r="A836" s="2">
        <v>45943.6246875</v>
      </c>
      <c r="B836" s="1" t="s">
        <v>348</v>
      </c>
      <c r="C836" s="1" t="s">
        <v>363</v>
      </c>
      <c r="D836" s="1" t="s">
        <v>10</v>
      </c>
      <c r="E836" s="1" t="s">
        <v>11</v>
      </c>
      <c r="F836" s="1" t="s">
        <v>12</v>
      </c>
      <c r="G836">
        <v>10.5</v>
      </c>
      <c r="H836">
        <v>0</v>
      </c>
      <c r="I836">
        <v>0</v>
      </c>
      <c r="J836" s="1"/>
      <c r="K836" s="1" t="s">
        <v>345</v>
      </c>
    </row>
    <row r="837" spans="1:11" x14ac:dyDescent="0.25">
      <c r="A837" s="2">
        <v>45943.629780092589</v>
      </c>
      <c r="B837" s="1" t="s">
        <v>349</v>
      </c>
      <c r="C837" s="1" t="s">
        <v>363</v>
      </c>
      <c r="D837" s="1" t="s">
        <v>10</v>
      </c>
      <c r="E837" s="1" t="s">
        <v>11</v>
      </c>
      <c r="F837" s="1" t="s">
        <v>12</v>
      </c>
      <c r="G837">
        <v>10.5</v>
      </c>
      <c r="H837">
        <v>0</v>
      </c>
      <c r="I837">
        <v>0</v>
      </c>
      <c r="J837" s="1" t="s">
        <v>205</v>
      </c>
      <c r="K837" s="1" t="s">
        <v>340</v>
      </c>
    </row>
    <row r="838" spans="1:11" x14ac:dyDescent="0.25">
      <c r="A838" s="2">
        <v>45943.64576388889</v>
      </c>
      <c r="B838" s="1" t="s">
        <v>349</v>
      </c>
      <c r="C838" s="1" t="s">
        <v>363</v>
      </c>
      <c r="D838" s="1" t="s">
        <v>10</v>
      </c>
      <c r="E838" s="1" t="s">
        <v>11</v>
      </c>
      <c r="F838" s="1" t="s">
        <v>18</v>
      </c>
      <c r="G838">
        <v>20</v>
      </c>
      <c r="H838">
        <v>0</v>
      </c>
      <c r="I838">
        <v>0</v>
      </c>
      <c r="J838" s="1" t="s">
        <v>206</v>
      </c>
      <c r="K838" s="1" t="s">
        <v>337</v>
      </c>
    </row>
    <row r="839" spans="1:11" x14ac:dyDescent="0.25">
      <c r="A839" s="2">
        <v>45943.64576388889</v>
      </c>
      <c r="B839" s="1" t="s">
        <v>349</v>
      </c>
      <c r="C839" s="1" t="s">
        <v>363</v>
      </c>
      <c r="D839" s="1" t="s">
        <v>10</v>
      </c>
      <c r="E839" s="1" t="s">
        <v>11</v>
      </c>
      <c r="F839" s="1" t="s">
        <v>18</v>
      </c>
      <c r="G839">
        <v>20</v>
      </c>
      <c r="H839">
        <v>0</v>
      </c>
      <c r="I839">
        <v>0</v>
      </c>
      <c r="J839" s="1" t="s">
        <v>206</v>
      </c>
      <c r="K839" s="1" t="s">
        <v>106</v>
      </c>
    </row>
    <row r="840" spans="1:11" x14ac:dyDescent="0.25">
      <c r="A840" s="2">
        <v>45943.64576388889</v>
      </c>
      <c r="B840" s="1" t="s">
        <v>349</v>
      </c>
      <c r="C840" s="1" t="s">
        <v>363</v>
      </c>
      <c r="D840" s="1" t="s">
        <v>10</v>
      </c>
      <c r="E840" s="1" t="s">
        <v>11</v>
      </c>
      <c r="F840" s="1" t="s">
        <v>18</v>
      </c>
      <c r="G840">
        <v>20</v>
      </c>
      <c r="H840">
        <v>0</v>
      </c>
      <c r="I840">
        <v>0</v>
      </c>
      <c r="J840" s="1" t="s">
        <v>206</v>
      </c>
      <c r="K840" s="1" t="s">
        <v>344</v>
      </c>
    </row>
    <row r="841" spans="1:11" x14ac:dyDescent="0.25">
      <c r="A841" s="2">
        <v>45943.64576388889</v>
      </c>
      <c r="B841" s="1" t="s">
        <v>349</v>
      </c>
      <c r="C841" s="1" t="s">
        <v>363</v>
      </c>
      <c r="D841" s="1" t="s">
        <v>10</v>
      </c>
      <c r="E841" s="1" t="s">
        <v>11</v>
      </c>
      <c r="F841" s="1" t="s">
        <v>18</v>
      </c>
      <c r="G841">
        <v>20</v>
      </c>
      <c r="H841">
        <v>0</v>
      </c>
      <c r="I841">
        <v>0</v>
      </c>
      <c r="J841" s="1" t="s">
        <v>206</v>
      </c>
      <c r="K841" s="1" t="s">
        <v>345</v>
      </c>
    </row>
    <row r="842" spans="1:11" x14ac:dyDescent="0.25">
      <c r="A842" s="2">
        <v>45943.654699074075</v>
      </c>
      <c r="B842" s="1" t="s">
        <v>349</v>
      </c>
      <c r="C842" s="1" t="s">
        <v>363</v>
      </c>
      <c r="D842" s="1" t="s">
        <v>10</v>
      </c>
      <c r="E842" s="1" t="s">
        <v>11</v>
      </c>
      <c r="F842" s="1" t="s">
        <v>12</v>
      </c>
      <c r="G842">
        <v>10.5</v>
      </c>
      <c r="H842">
        <v>0</v>
      </c>
      <c r="I842">
        <v>0</v>
      </c>
      <c r="J842" s="1"/>
      <c r="K842" s="1" t="s">
        <v>336</v>
      </c>
    </row>
    <row r="843" spans="1:11" x14ac:dyDescent="0.25">
      <c r="A843" s="2">
        <v>45943.65483796296</v>
      </c>
      <c r="B843" s="1" t="s">
        <v>349</v>
      </c>
      <c r="C843" s="1" t="s">
        <v>363</v>
      </c>
      <c r="D843" s="1" t="s">
        <v>10</v>
      </c>
      <c r="E843" s="1" t="s">
        <v>11</v>
      </c>
      <c r="F843" s="1" t="s">
        <v>14</v>
      </c>
      <c r="G843">
        <v>0.5</v>
      </c>
      <c r="H843">
        <v>0</v>
      </c>
      <c r="I843">
        <v>0</v>
      </c>
      <c r="J843" s="1" t="s">
        <v>207</v>
      </c>
      <c r="K843" s="1" t="s">
        <v>342</v>
      </c>
    </row>
    <row r="844" spans="1:11" x14ac:dyDescent="0.25">
      <c r="A844" s="2">
        <v>45943.662743055553</v>
      </c>
      <c r="B844" s="1" t="s">
        <v>349</v>
      </c>
      <c r="C844" s="1" t="s">
        <v>363</v>
      </c>
      <c r="D844" s="1" t="s">
        <v>10</v>
      </c>
      <c r="E844" s="1" t="s">
        <v>11</v>
      </c>
      <c r="F844" s="1" t="s">
        <v>15</v>
      </c>
      <c r="G844">
        <v>3</v>
      </c>
      <c r="H844">
        <v>0</v>
      </c>
      <c r="I844">
        <v>0</v>
      </c>
      <c r="J844" s="1"/>
      <c r="K844" s="1" t="s">
        <v>106</v>
      </c>
    </row>
    <row r="845" spans="1:11" x14ac:dyDescent="0.25">
      <c r="A845" s="2">
        <v>45943.662743055553</v>
      </c>
      <c r="B845" s="1" t="s">
        <v>349</v>
      </c>
      <c r="C845" s="1" t="s">
        <v>363</v>
      </c>
      <c r="D845" s="1" t="s">
        <v>10</v>
      </c>
      <c r="E845" s="1" t="s">
        <v>11</v>
      </c>
      <c r="F845" s="1" t="s">
        <v>15</v>
      </c>
      <c r="G845">
        <v>3</v>
      </c>
      <c r="H845">
        <v>0</v>
      </c>
      <c r="I845">
        <v>0</v>
      </c>
      <c r="J845" s="1"/>
      <c r="K845" s="1" t="s">
        <v>343</v>
      </c>
    </row>
    <row r="846" spans="1:11" x14ac:dyDescent="0.25">
      <c r="A846" s="2">
        <v>45943.712314814817</v>
      </c>
      <c r="B846" s="1" t="s">
        <v>355</v>
      </c>
      <c r="C846" s="1" t="s">
        <v>363</v>
      </c>
      <c r="D846" s="1" t="s">
        <v>10</v>
      </c>
      <c r="E846" s="1" t="s">
        <v>11</v>
      </c>
      <c r="F846" s="1" t="s">
        <v>15</v>
      </c>
      <c r="G846">
        <v>3</v>
      </c>
      <c r="H846">
        <v>0</v>
      </c>
      <c r="I846">
        <v>0</v>
      </c>
      <c r="J846" s="1"/>
      <c r="K846" s="1" t="s">
        <v>341</v>
      </c>
    </row>
    <row r="847" spans="1:11" x14ac:dyDescent="0.25">
      <c r="A847" s="2">
        <v>45944.598923611113</v>
      </c>
      <c r="B847" s="1" t="s">
        <v>348</v>
      </c>
      <c r="C847" s="1" t="s">
        <v>358</v>
      </c>
      <c r="D847" s="1" t="s">
        <v>10</v>
      </c>
      <c r="E847" s="1" t="s">
        <v>11</v>
      </c>
      <c r="F847" s="1" t="s">
        <v>12</v>
      </c>
      <c r="G847">
        <v>10.5</v>
      </c>
      <c r="H847">
        <v>0</v>
      </c>
      <c r="I847">
        <v>0</v>
      </c>
      <c r="J847" s="1"/>
      <c r="K847" s="1" t="s">
        <v>340</v>
      </c>
    </row>
    <row r="848" spans="1:11" x14ac:dyDescent="0.25">
      <c r="A848" s="2">
        <v>45944.611168981479</v>
      </c>
      <c r="B848" s="1" t="s">
        <v>348</v>
      </c>
      <c r="C848" s="1" t="s">
        <v>358</v>
      </c>
      <c r="D848" s="1" t="s">
        <v>10</v>
      </c>
      <c r="E848" s="1" t="s">
        <v>11</v>
      </c>
      <c r="F848" s="1" t="s">
        <v>14</v>
      </c>
      <c r="G848">
        <v>0.5</v>
      </c>
      <c r="H848">
        <v>0</v>
      </c>
      <c r="I848">
        <v>0</v>
      </c>
      <c r="J848" s="1"/>
      <c r="K848" s="1" t="s">
        <v>342</v>
      </c>
    </row>
    <row r="849" spans="1:11" x14ac:dyDescent="0.25">
      <c r="A849" s="2">
        <v>45944.611168981479</v>
      </c>
      <c r="B849" s="1" t="s">
        <v>348</v>
      </c>
      <c r="C849" s="1" t="s">
        <v>358</v>
      </c>
      <c r="D849" s="1" t="s">
        <v>10</v>
      </c>
      <c r="E849" s="1" t="s">
        <v>11</v>
      </c>
      <c r="F849" s="1" t="s">
        <v>14</v>
      </c>
      <c r="G849">
        <v>0.5</v>
      </c>
      <c r="H849">
        <v>0</v>
      </c>
      <c r="I849">
        <v>0</v>
      </c>
      <c r="J849" s="1"/>
      <c r="K849" s="1" t="s">
        <v>345</v>
      </c>
    </row>
    <row r="850" spans="1:11" x14ac:dyDescent="0.25">
      <c r="A850" s="2">
        <v>45944.611261574071</v>
      </c>
      <c r="B850" s="1" t="s">
        <v>348</v>
      </c>
      <c r="C850" s="1" t="s">
        <v>358</v>
      </c>
      <c r="D850" s="1" t="s">
        <v>10</v>
      </c>
      <c r="E850" s="1" t="s">
        <v>11</v>
      </c>
      <c r="F850" s="1" t="s">
        <v>15</v>
      </c>
      <c r="G850">
        <v>3</v>
      </c>
      <c r="H850">
        <v>1</v>
      </c>
      <c r="I850">
        <v>0</v>
      </c>
      <c r="J850" s="1"/>
      <c r="K850" s="1" t="s">
        <v>336</v>
      </c>
    </row>
    <row r="851" spans="1:11" x14ac:dyDescent="0.25">
      <c r="A851" s="2">
        <v>45944.637673611112</v>
      </c>
      <c r="B851" s="1" t="s">
        <v>349</v>
      </c>
      <c r="C851" s="1" t="s">
        <v>358</v>
      </c>
      <c r="D851" s="1" t="s">
        <v>10</v>
      </c>
      <c r="E851" s="1" t="s">
        <v>11</v>
      </c>
      <c r="F851" s="1" t="s">
        <v>18</v>
      </c>
      <c r="G851">
        <v>20</v>
      </c>
      <c r="H851">
        <v>1</v>
      </c>
      <c r="I851">
        <v>0</v>
      </c>
      <c r="J851" s="1"/>
      <c r="K851" s="1" t="s">
        <v>336</v>
      </c>
    </row>
    <row r="852" spans="1:11" x14ac:dyDescent="0.25">
      <c r="A852" s="2">
        <v>45944.637673611112</v>
      </c>
      <c r="B852" s="1" t="s">
        <v>349</v>
      </c>
      <c r="C852" s="1" t="s">
        <v>358</v>
      </c>
      <c r="D852" s="1" t="s">
        <v>10</v>
      </c>
      <c r="E852" s="1" t="s">
        <v>11</v>
      </c>
      <c r="F852" s="1" t="s">
        <v>18</v>
      </c>
      <c r="G852">
        <v>20</v>
      </c>
      <c r="H852">
        <v>1</v>
      </c>
      <c r="I852">
        <v>0</v>
      </c>
      <c r="J852" s="1"/>
      <c r="K852" s="1" t="s">
        <v>341</v>
      </c>
    </row>
    <row r="853" spans="1:11" x14ac:dyDescent="0.25">
      <c r="A853" s="2">
        <v>45944.747245370374</v>
      </c>
      <c r="B853" s="1" t="s">
        <v>355</v>
      </c>
      <c r="C853" s="1" t="s">
        <v>358</v>
      </c>
      <c r="D853" s="1" t="s">
        <v>10</v>
      </c>
      <c r="E853" s="1" t="s">
        <v>11</v>
      </c>
      <c r="F853" s="1" t="s">
        <v>15</v>
      </c>
      <c r="G853">
        <v>3</v>
      </c>
      <c r="H853">
        <v>0</v>
      </c>
      <c r="I853">
        <v>0</v>
      </c>
      <c r="J853" s="1"/>
      <c r="K853" s="1" t="s">
        <v>343</v>
      </c>
    </row>
    <row r="854" spans="1:11" x14ac:dyDescent="0.25">
      <c r="A854" s="2">
        <v>45944.74732638889</v>
      </c>
      <c r="B854" s="1" t="s">
        <v>355</v>
      </c>
      <c r="C854" s="1" t="s">
        <v>358</v>
      </c>
      <c r="D854" s="1" t="s">
        <v>10</v>
      </c>
      <c r="E854" s="1" t="s">
        <v>11</v>
      </c>
      <c r="F854" s="1" t="s">
        <v>14</v>
      </c>
      <c r="G854">
        <v>0.5</v>
      </c>
      <c r="H854">
        <v>0</v>
      </c>
      <c r="I854">
        <v>0</v>
      </c>
      <c r="J854" s="1"/>
      <c r="K854" s="1" t="s">
        <v>344</v>
      </c>
    </row>
    <row r="855" spans="1:11" x14ac:dyDescent="0.25">
      <c r="A855" s="2">
        <v>45944.747407407405</v>
      </c>
      <c r="B855" s="1" t="s">
        <v>355</v>
      </c>
      <c r="C855" s="1" t="s">
        <v>358</v>
      </c>
      <c r="D855" s="1" t="s">
        <v>10</v>
      </c>
      <c r="E855" s="1" t="s">
        <v>11</v>
      </c>
      <c r="F855" s="1" t="s">
        <v>14</v>
      </c>
      <c r="G855">
        <v>0.5</v>
      </c>
      <c r="H855">
        <v>0</v>
      </c>
      <c r="I855">
        <v>0</v>
      </c>
      <c r="J855" s="1"/>
      <c r="K855" s="1" t="s">
        <v>345</v>
      </c>
    </row>
    <row r="856" spans="1:11" x14ac:dyDescent="0.25">
      <c r="A856" s="2">
        <v>45945.418055555558</v>
      </c>
      <c r="B856" s="1" t="s">
        <v>347</v>
      </c>
      <c r="C856" s="1" t="s">
        <v>359</v>
      </c>
      <c r="D856" s="1" t="s">
        <v>20</v>
      </c>
      <c r="E856" s="1" t="s">
        <v>11</v>
      </c>
      <c r="F856" s="1" t="s">
        <v>12</v>
      </c>
      <c r="G856">
        <v>10.5</v>
      </c>
      <c r="H856">
        <v>0</v>
      </c>
      <c r="I856">
        <v>0</v>
      </c>
      <c r="J856" s="1"/>
      <c r="K856" s="1" t="s">
        <v>336</v>
      </c>
    </row>
    <row r="857" spans="1:11" x14ac:dyDescent="0.25">
      <c r="A857" s="2">
        <v>45945.418055555558</v>
      </c>
      <c r="B857" s="1" t="s">
        <v>347</v>
      </c>
      <c r="C857" s="1" t="s">
        <v>359</v>
      </c>
      <c r="D857" s="1" t="s">
        <v>20</v>
      </c>
      <c r="E857" s="1" t="s">
        <v>11</v>
      </c>
      <c r="F857" s="1" t="s">
        <v>12</v>
      </c>
      <c r="G857">
        <v>10.5</v>
      </c>
      <c r="H857">
        <v>0</v>
      </c>
      <c r="I857">
        <v>0</v>
      </c>
      <c r="J857" s="1"/>
      <c r="K857" s="1" t="s">
        <v>343</v>
      </c>
    </row>
    <row r="858" spans="1:11" x14ac:dyDescent="0.25">
      <c r="A858" s="2">
        <v>45945.448576388888</v>
      </c>
      <c r="B858" s="1" t="s">
        <v>347</v>
      </c>
      <c r="C858" s="1" t="s">
        <v>359</v>
      </c>
      <c r="D858" s="1" t="s">
        <v>10</v>
      </c>
      <c r="E858" s="1" t="s">
        <v>11</v>
      </c>
      <c r="F858" s="1" t="s">
        <v>15</v>
      </c>
      <c r="G858">
        <v>3</v>
      </c>
      <c r="H858">
        <v>0</v>
      </c>
      <c r="I858">
        <v>0</v>
      </c>
      <c r="J858" s="1"/>
      <c r="K858" s="1" t="s">
        <v>342</v>
      </c>
    </row>
    <row r="859" spans="1:11" x14ac:dyDescent="0.25">
      <c r="A859" s="2">
        <v>45945.448576388888</v>
      </c>
      <c r="B859" s="1" t="s">
        <v>347</v>
      </c>
      <c r="C859" s="1" t="s">
        <v>359</v>
      </c>
      <c r="D859" s="1" t="s">
        <v>10</v>
      </c>
      <c r="E859" s="1" t="s">
        <v>11</v>
      </c>
      <c r="F859" s="1" t="s">
        <v>15</v>
      </c>
      <c r="G859">
        <v>3</v>
      </c>
      <c r="H859">
        <v>0</v>
      </c>
      <c r="I859">
        <v>0</v>
      </c>
      <c r="J859" s="1"/>
      <c r="K859" s="1" t="s">
        <v>343</v>
      </c>
    </row>
    <row r="860" spans="1:11" x14ac:dyDescent="0.25">
      <c r="A860" s="2">
        <v>45945.500659722224</v>
      </c>
      <c r="B860" s="1" t="s">
        <v>350</v>
      </c>
      <c r="C860" s="1" t="s">
        <v>359</v>
      </c>
      <c r="D860" s="1" t="s">
        <v>10</v>
      </c>
      <c r="E860" s="1" t="s">
        <v>11</v>
      </c>
      <c r="F860" s="1" t="s">
        <v>15</v>
      </c>
      <c r="G860">
        <v>3</v>
      </c>
      <c r="H860">
        <v>0</v>
      </c>
      <c r="I860">
        <v>0</v>
      </c>
      <c r="J860" s="1"/>
      <c r="K860" s="1" t="s">
        <v>344</v>
      </c>
    </row>
    <row r="861" spans="1:11" x14ac:dyDescent="0.25">
      <c r="A861" s="2">
        <v>45945.501076388886</v>
      </c>
      <c r="B861" s="1" t="s">
        <v>350</v>
      </c>
      <c r="C861" s="1" t="s">
        <v>359</v>
      </c>
      <c r="D861" s="1" t="s">
        <v>20</v>
      </c>
      <c r="E861" s="1" t="s">
        <v>11</v>
      </c>
      <c r="F861" s="1" t="s">
        <v>15</v>
      </c>
      <c r="G861">
        <v>3</v>
      </c>
      <c r="H861">
        <v>0</v>
      </c>
      <c r="I861">
        <v>0</v>
      </c>
      <c r="J861" s="1"/>
      <c r="K861" s="1" t="s">
        <v>343</v>
      </c>
    </row>
    <row r="862" spans="1:11" x14ac:dyDescent="0.25">
      <c r="A862" s="2">
        <v>45945.582951388889</v>
      </c>
      <c r="B862" s="1" t="s">
        <v>351</v>
      </c>
      <c r="C862" s="1" t="s">
        <v>359</v>
      </c>
      <c r="D862" s="1" t="s">
        <v>10</v>
      </c>
      <c r="E862" s="1" t="s">
        <v>11</v>
      </c>
      <c r="F862" s="1" t="s">
        <v>12</v>
      </c>
      <c r="G862">
        <v>10.5</v>
      </c>
      <c r="H862">
        <v>1</v>
      </c>
      <c r="I862">
        <v>0</v>
      </c>
      <c r="J862" s="1"/>
      <c r="K862" s="1" t="s">
        <v>106</v>
      </c>
    </row>
    <row r="863" spans="1:11" x14ac:dyDescent="0.25">
      <c r="A863" s="2">
        <v>45945.583113425928</v>
      </c>
      <c r="B863" s="1" t="s">
        <v>351</v>
      </c>
      <c r="C863" s="1" t="s">
        <v>359</v>
      </c>
      <c r="D863" s="1" t="s">
        <v>10</v>
      </c>
      <c r="E863" s="1" t="s">
        <v>11</v>
      </c>
      <c r="F863" s="1" t="s">
        <v>14</v>
      </c>
      <c r="G863">
        <v>0.5</v>
      </c>
      <c r="H863">
        <v>0</v>
      </c>
      <c r="I863">
        <v>0</v>
      </c>
      <c r="J863" s="1"/>
      <c r="K863" s="1" t="s">
        <v>341</v>
      </c>
    </row>
    <row r="864" spans="1:11" x14ac:dyDescent="0.25">
      <c r="A864" s="2">
        <v>45945.602847222224</v>
      </c>
      <c r="B864" s="1" t="s">
        <v>348</v>
      </c>
      <c r="C864" s="1" t="s">
        <v>359</v>
      </c>
      <c r="D864" s="1" t="s">
        <v>10</v>
      </c>
      <c r="E864" s="1" t="s">
        <v>17</v>
      </c>
      <c r="F864" s="1" t="s">
        <v>15</v>
      </c>
      <c r="G864">
        <v>3</v>
      </c>
      <c r="H864">
        <v>0</v>
      </c>
      <c r="I864">
        <v>0</v>
      </c>
      <c r="J864" s="1"/>
      <c r="K864" s="1" t="s">
        <v>343</v>
      </c>
    </row>
    <row r="865" spans="1:11" x14ac:dyDescent="0.25">
      <c r="A865" s="2">
        <v>45945.603391203702</v>
      </c>
      <c r="B865" s="1" t="s">
        <v>348</v>
      </c>
      <c r="C865" s="1" t="s">
        <v>359</v>
      </c>
      <c r="D865" s="1" t="s">
        <v>10</v>
      </c>
      <c r="E865" s="1" t="s">
        <v>11</v>
      </c>
      <c r="F865" s="1" t="s">
        <v>15</v>
      </c>
      <c r="G865">
        <v>3</v>
      </c>
      <c r="H865">
        <v>0</v>
      </c>
      <c r="I865">
        <v>0</v>
      </c>
      <c r="J865" s="1" t="s">
        <v>208</v>
      </c>
      <c r="K865" s="1" t="s">
        <v>340</v>
      </c>
    </row>
    <row r="866" spans="1:11" x14ac:dyDescent="0.25">
      <c r="A866" s="2">
        <v>45945.607800925929</v>
      </c>
      <c r="B866" s="1" t="s">
        <v>348</v>
      </c>
      <c r="C866" s="1" t="s">
        <v>359</v>
      </c>
      <c r="D866" s="1" t="s">
        <v>10</v>
      </c>
      <c r="E866" s="1" t="s">
        <v>11</v>
      </c>
      <c r="F866" s="1" t="s">
        <v>14</v>
      </c>
      <c r="G866">
        <v>0.5</v>
      </c>
      <c r="H866">
        <v>0</v>
      </c>
      <c r="I866">
        <v>0</v>
      </c>
      <c r="J866" s="1"/>
      <c r="K866" s="1" t="s">
        <v>343</v>
      </c>
    </row>
    <row r="867" spans="1:11" x14ac:dyDescent="0.25">
      <c r="A867" s="2">
        <v>45945.748796296299</v>
      </c>
      <c r="B867" s="1" t="s">
        <v>355</v>
      </c>
      <c r="C867" s="1" t="s">
        <v>359</v>
      </c>
      <c r="D867" s="1" t="s">
        <v>10</v>
      </c>
      <c r="E867" s="1" t="s">
        <v>11</v>
      </c>
      <c r="F867" s="1" t="s">
        <v>15</v>
      </c>
      <c r="G867">
        <v>3</v>
      </c>
      <c r="H867">
        <v>0</v>
      </c>
      <c r="I867">
        <v>0</v>
      </c>
      <c r="J867" s="1"/>
      <c r="K867" s="1" t="s">
        <v>342</v>
      </c>
    </row>
    <row r="868" spans="1:11" x14ac:dyDescent="0.25">
      <c r="A868" s="2">
        <v>45945.748877314814</v>
      </c>
      <c r="B868" s="1" t="s">
        <v>355</v>
      </c>
      <c r="C868" s="1" t="s">
        <v>359</v>
      </c>
      <c r="D868" s="1" t="s">
        <v>10</v>
      </c>
      <c r="E868" s="1" t="s">
        <v>11</v>
      </c>
      <c r="F868" s="1" t="s">
        <v>14</v>
      </c>
      <c r="G868">
        <v>0.5</v>
      </c>
      <c r="H868">
        <v>0</v>
      </c>
      <c r="I868">
        <v>0</v>
      </c>
      <c r="J868" s="1"/>
      <c r="K868" s="1" t="s">
        <v>342</v>
      </c>
    </row>
    <row r="869" spans="1:11" x14ac:dyDescent="0.25">
      <c r="A869" s="2">
        <v>45945.74895833333</v>
      </c>
      <c r="B869" s="1" t="s">
        <v>355</v>
      </c>
      <c r="C869" s="1" t="s">
        <v>359</v>
      </c>
      <c r="D869" s="1" t="s">
        <v>10</v>
      </c>
      <c r="E869" s="1" t="s">
        <v>11</v>
      </c>
      <c r="F869" s="1" t="s">
        <v>15</v>
      </c>
      <c r="G869">
        <v>3</v>
      </c>
      <c r="H869">
        <v>1</v>
      </c>
      <c r="I869">
        <v>0</v>
      </c>
      <c r="J869" s="1"/>
      <c r="K869" s="1" t="s">
        <v>336</v>
      </c>
    </row>
    <row r="870" spans="1:11" x14ac:dyDescent="0.25">
      <c r="A870" s="2">
        <v>45945.749097222222</v>
      </c>
      <c r="B870" s="1" t="s">
        <v>355</v>
      </c>
      <c r="C870" s="1" t="s">
        <v>359</v>
      </c>
      <c r="D870" s="1" t="s">
        <v>10</v>
      </c>
      <c r="E870" s="1" t="s">
        <v>11</v>
      </c>
      <c r="F870" s="1" t="s">
        <v>15</v>
      </c>
      <c r="G870">
        <v>3</v>
      </c>
      <c r="H870">
        <v>0</v>
      </c>
      <c r="I870">
        <v>0</v>
      </c>
      <c r="J870" s="1"/>
      <c r="K870" s="1" t="s">
        <v>343</v>
      </c>
    </row>
    <row r="871" spans="1:11" x14ac:dyDescent="0.25">
      <c r="A871" s="2">
        <v>45945.749224537038</v>
      </c>
      <c r="B871" s="1" t="s">
        <v>355</v>
      </c>
      <c r="C871" s="1" t="s">
        <v>359</v>
      </c>
      <c r="D871" s="1" t="s">
        <v>10</v>
      </c>
      <c r="E871" s="1" t="s">
        <v>11</v>
      </c>
      <c r="F871" s="1" t="s">
        <v>14</v>
      </c>
      <c r="G871">
        <v>0.5</v>
      </c>
      <c r="H871">
        <v>0</v>
      </c>
      <c r="I871">
        <v>0</v>
      </c>
      <c r="J871" s="1"/>
      <c r="K871" s="1" t="s">
        <v>345</v>
      </c>
    </row>
    <row r="872" spans="1:11" x14ac:dyDescent="0.25">
      <c r="A872" s="2">
        <v>45946.392118055555</v>
      </c>
      <c r="B872" s="1" t="s">
        <v>352</v>
      </c>
      <c r="C872" s="1" t="s">
        <v>360</v>
      </c>
      <c r="D872" s="1" t="s">
        <v>10</v>
      </c>
      <c r="E872" s="1" t="s">
        <v>11</v>
      </c>
      <c r="F872" s="1" t="s">
        <v>15</v>
      </c>
      <c r="G872">
        <v>3</v>
      </c>
      <c r="H872">
        <v>0</v>
      </c>
      <c r="I872">
        <v>0</v>
      </c>
      <c r="J872" s="1"/>
      <c r="K872" s="1" t="s">
        <v>106</v>
      </c>
    </row>
    <row r="873" spans="1:11" x14ac:dyDescent="0.25">
      <c r="A873" s="2">
        <v>45946.392118055555</v>
      </c>
      <c r="B873" s="1" t="s">
        <v>352</v>
      </c>
      <c r="C873" s="1" t="s">
        <v>360</v>
      </c>
      <c r="D873" s="1" t="s">
        <v>10</v>
      </c>
      <c r="E873" s="1" t="s">
        <v>11</v>
      </c>
      <c r="F873" s="1" t="s">
        <v>15</v>
      </c>
      <c r="G873">
        <v>3</v>
      </c>
      <c r="H873">
        <v>0</v>
      </c>
      <c r="I873">
        <v>0</v>
      </c>
      <c r="J873" s="1"/>
      <c r="K873" s="1" t="s">
        <v>343</v>
      </c>
    </row>
    <row r="874" spans="1:11" x14ac:dyDescent="0.25">
      <c r="A874" s="2">
        <v>45946.392118055555</v>
      </c>
      <c r="B874" s="1" t="s">
        <v>352</v>
      </c>
      <c r="C874" s="1" t="s">
        <v>360</v>
      </c>
      <c r="D874" s="1" t="s">
        <v>10</v>
      </c>
      <c r="E874" s="1" t="s">
        <v>11</v>
      </c>
      <c r="F874" s="1" t="s">
        <v>15</v>
      </c>
      <c r="G874">
        <v>3</v>
      </c>
      <c r="H874">
        <v>0</v>
      </c>
      <c r="I874">
        <v>0</v>
      </c>
      <c r="J874" s="1"/>
      <c r="K874" s="1" t="s">
        <v>344</v>
      </c>
    </row>
    <row r="875" spans="1:11" x14ac:dyDescent="0.25">
      <c r="A875" s="2">
        <v>45946.498194444444</v>
      </c>
      <c r="B875" s="1" t="s">
        <v>354</v>
      </c>
      <c r="C875" s="1" t="s">
        <v>360</v>
      </c>
      <c r="D875" s="1" t="s">
        <v>10</v>
      </c>
      <c r="E875" s="1" t="s">
        <v>11</v>
      </c>
      <c r="F875" s="1" t="s">
        <v>14</v>
      </c>
      <c r="G875">
        <v>0.5</v>
      </c>
      <c r="H875">
        <v>0</v>
      </c>
      <c r="I875">
        <v>0</v>
      </c>
      <c r="J875" s="1"/>
      <c r="K875" s="1" t="s">
        <v>344</v>
      </c>
    </row>
    <row r="876" spans="1:11" x14ac:dyDescent="0.25">
      <c r="A876" s="2">
        <v>45946.49832175926</v>
      </c>
      <c r="B876" s="1" t="s">
        <v>354</v>
      </c>
      <c r="C876" s="1" t="s">
        <v>360</v>
      </c>
      <c r="D876" s="1" t="s">
        <v>10</v>
      </c>
      <c r="E876" s="1" t="s">
        <v>11</v>
      </c>
      <c r="F876" s="1" t="s">
        <v>14</v>
      </c>
      <c r="G876">
        <v>0.5</v>
      </c>
      <c r="H876">
        <v>0</v>
      </c>
      <c r="I876">
        <v>0</v>
      </c>
      <c r="J876" s="1"/>
      <c r="K876" s="1" t="s">
        <v>344</v>
      </c>
    </row>
    <row r="877" spans="1:11" x14ac:dyDescent="0.25">
      <c r="A877" s="2">
        <v>45946.498483796298</v>
      </c>
      <c r="B877" s="1" t="s">
        <v>354</v>
      </c>
      <c r="C877" s="1" t="s">
        <v>360</v>
      </c>
      <c r="D877" s="1" t="s">
        <v>10</v>
      </c>
      <c r="E877" s="1" t="s">
        <v>11</v>
      </c>
      <c r="F877" s="1" t="s">
        <v>15</v>
      </c>
      <c r="G877">
        <v>3</v>
      </c>
      <c r="H877">
        <v>0</v>
      </c>
      <c r="I877">
        <v>0</v>
      </c>
      <c r="J877" s="1"/>
      <c r="K877" s="1" t="s">
        <v>345</v>
      </c>
    </row>
    <row r="878" spans="1:11" x14ac:dyDescent="0.25">
      <c r="A878" s="2">
        <v>45946.498703703706</v>
      </c>
      <c r="B878" s="1" t="s">
        <v>354</v>
      </c>
      <c r="C878" s="1" t="s">
        <v>360</v>
      </c>
      <c r="D878" s="1" t="s">
        <v>10</v>
      </c>
      <c r="E878" s="1" t="s">
        <v>11</v>
      </c>
      <c r="F878" s="1" t="s">
        <v>12</v>
      </c>
      <c r="G878">
        <v>10.5</v>
      </c>
      <c r="H878">
        <v>0</v>
      </c>
      <c r="I878">
        <v>0</v>
      </c>
      <c r="J878" s="1"/>
      <c r="K878" s="1" t="s">
        <v>342</v>
      </c>
    </row>
    <row r="879" spans="1:11" x14ac:dyDescent="0.25">
      <c r="A879" s="2">
        <v>45946.498981481483</v>
      </c>
      <c r="B879" s="1" t="s">
        <v>354</v>
      </c>
      <c r="C879" s="1" t="s">
        <v>360</v>
      </c>
      <c r="D879" s="1" t="s">
        <v>10</v>
      </c>
      <c r="E879" s="1" t="s">
        <v>11</v>
      </c>
      <c r="F879" s="1" t="s">
        <v>14</v>
      </c>
      <c r="G879">
        <v>0.5</v>
      </c>
      <c r="H879">
        <v>0</v>
      </c>
      <c r="I879">
        <v>0</v>
      </c>
      <c r="J879" s="1"/>
      <c r="K879" s="1" t="s">
        <v>341</v>
      </c>
    </row>
    <row r="880" spans="1:11" x14ac:dyDescent="0.25">
      <c r="A880" s="2">
        <v>45946.539120370369</v>
      </c>
      <c r="B880" s="1" t="s">
        <v>350</v>
      </c>
      <c r="C880" s="1" t="s">
        <v>360</v>
      </c>
      <c r="D880" s="1" t="s">
        <v>10</v>
      </c>
      <c r="E880" s="1" t="s">
        <v>11</v>
      </c>
      <c r="F880" s="1" t="s">
        <v>18</v>
      </c>
      <c r="G880">
        <v>20</v>
      </c>
      <c r="H880">
        <v>0</v>
      </c>
      <c r="I880">
        <v>0</v>
      </c>
      <c r="J880" s="1"/>
      <c r="K880" s="1" t="s">
        <v>340</v>
      </c>
    </row>
    <row r="881" spans="1:11" x14ac:dyDescent="0.25">
      <c r="A881" s="2">
        <v>45946.631423611114</v>
      </c>
      <c r="B881" s="1" t="s">
        <v>349</v>
      </c>
      <c r="C881" s="1" t="s">
        <v>360</v>
      </c>
      <c r="D881" s="1" t="s">
        <v>10</v>
      </c>
      <c r="E881" s="1" t="s">
        <v>11</v>
      </c>
      <c r="F881" s="1" t="s">
        <v>12</v>
      </c>
      <c r="G881">
        <v>10.5</v>
      </c>
      <c r="H881">
        <v>1</v>
      </c>
      <c r="I881">
        <v>1</v>
      </c>
      <c r="J881" s="1"/>
      <c r="K881" s="1" t="s">
        <v>336</v>
      </c>
    </row>
    <row r="882" spans="1:11" x14ac:dyDescent="0.25">
      <c r="A882" s="2">
        <v>45947.587199074071</v>
      </c>
      <c r="B882" s="1" t="s">
        <v>348</v>
      </c>
      <c r="C882" s="1" t="s">
        <v>361</v>
      </c>
      <c r="D882" s="1" t="s">
        <v>10</v>
      </c>
      <c r="E882" s="1" t="s">
        <v>11</v>
      </c>
      <c r="F882" s="1" t="s">
        <v>12</v>
      </c>
      <c r="G882">
        <v>10.5</v>
      </c>
      <c r="H882">
        <v>0</v>
      </c>
      <c r="I882">
        <v>0</v>
      </c>
      <c r="J882" s="1"/>
      <c r="K882" s="1" t="s">
        <v>340</v>
      </c>
    </row>
    <row r="883" spans="1:11" x14ac:dyDescent="0.25">
      <c r="A883" s="2">
        <v>45947.587372685186</v>
      </c>
      <c r="B883" s="1" t="s">
        <v>348</v>
      </c>
      <c r="C883" s="1" t="s">
        <v>361</v>
      </c>
      <c r="D883" s="1" t="s">
        <v>10</v>
      </c>
      <c r="E883" s="1" t="s">
        <v>11</v>
      </c>
      <c r="F883" s="1" t="s">
        <v>12</v>
      </c>
      <c r="G883">
        <v>10.5</v>
      </c>
      <c r="H883">
        <v>1</v>
      </c>
      <c r="I883">
        <v>0</v>
      </c>
      <c r="J883" s="1"/>
      <c r="K883" s="1" t="s">
        <v>336</v>
      </c>
    </row>
    <row r="884" spans="1:11" x14ac:dyDescent="0.25">
      <c r="A884" s="2">
        <v>45947.647534722222</v>
      </c>
      <c r="B884" s="1" t="s">
        <v>349</v>
      </c>
      <c r="C884" s="1" t="s">
        <v>361</v>
      </c>
      <c r="D884" s="1" t="s">
        <v>10</v>
      </c>
      <c r="E884" s="1" t="s">
        <v>11</v>
      </c>
      <c r="F884" s="1" t="s">
        <v>15</v>
      </c>
      <c r="G884">
        <v>3</v>
      </c>
      <c r="H884">
        <v>1</v>
      </c>
      <c r="I884">
        <v>0</v>
      </c>
      <c r="J884" s="1" t="s">
        <v>209</v>
      </c>
      <c r="K884" s="1" t="s">
        <v>336</v>
      </c>
    </row>
    <row r="885" spans="1:11" x14ac:dyDescent="0.25">
      <c r="A885" s="2">
        <v>45947.647858796299</v>
      </c>
      <c r="B885" s="1" t="s">
        <v>349</v>
      </c>
      <c r="C885" s="1" t="s">
        <v>361</v>
      </c>
      <c r="D885" s="1" t="s">
        <v>10</v>
      </c>
      <c r="E885" s="1" t="s">
        <v>11</v>
      </c>
      <c r="F885" s="1" t="s">
        <v>14</v>
      </c>
      <c r="G885">
        <v>0.5</v>
      </c>
      <c r="H885">
        <v>0</v>
      </c>
      <c r="I885">
        <v>0</v>
      </c>
      <c r="J885" s="1" t="s">
        <v>210</v>
      </c>
      <c r="K885" s="1" t="s">
        <v>345</v>
      </c>
    </row>
    <row r="886" spans="1:11" x14ac:dyDescent="0.25">
      <c r="A886" s="2">
        <v>45947.648333333331</v>
      </c>
      <c r="B886" s="1" t="s">
        <v>349</v>
      </c>
      <c r="C886" s="1" t="s">
        <v>361</v>
      </c>
      <c r="D886" s="1" t="s">
        <v>10</v>
      </c>
      <c r="E886" s="1" t="s">
        <v>11</v>
      </c>
      <c r="F886" s="1" t="s">
        <v>15</v>
      </c>
      <c r="G886">
        <v>3</v>
      </c>
      <c r="H886">
        <v>1</v>
      </c>
      <c r="I886">
        <v>0</v>
      </c>
      <c r="J886" s="1" t="s">
        <v>211</v>
      </c>
      <c r="K886" s="1" t="s">
        <v>336</v>
      </c>
    </row>
    <row r="887" spans="1:11" x14ac:dyDescent="0.25">
      <c r="A887" s="2">
        <v>45947.666238425925</v>
      </c>
      <c r="B887" s="1" t="s">
        <v>349</v>
      </c>
      <c r="C887" s="1" t="s">
        <v>361</v>
      </c>
      <c r="D887" s="1" t="s">
        <v>10</v>
      </c>
      <c r="E887" s="1" t="s">
        <v>11</v>
      </c>
      <c r="F887" s="1" t="s">
        <v>15</v>
      </c>
      <c r="G887">
        <v>3</v>
      </c>
      <c r="H887">
        <v>1</v>
      </c>
      <c r="I887">
        <v>0</v>
      </c>
      <c r="J887" s="1" t="s">
        <v>212</v>
      </c>
      <c r="K887" s="1" t="s">
        <v>337</v>
      </c>
    </row>
    <row r="888" spans="1:11" x14ac:dyDescent="0.25">
      <c r="A888" s="2">
        <v>45947.749675925923</v>
      </c>
      <c r="B888" s="1" t="s">
        <v>355</v>
      </c>
      <c r="C888" s="1" t="s">
        <v>361</v>
      </c>
      <c r="D888" s="1" t="s">
        <v>10</v>
      </c>
      <c r="E888" s="1" t="s">
        <v>11</v>
      </c>
      <c r="F888" s="1" t="s">
        <v>15</v>
      </c>
      <c r="G888">
        <v>3</v>
      </c>
      <c r="H888">
        <v>0</v>
      </c>
      <c r="I888">
        <v>0</v>
      </c>
      <c r="J888" s="1"/>
      <c r="K888" s="1" t="s">
        <v>340</v>
      </c>
    </row>
    <row r="889" spans="1:11" x14ac:dyDescent="0.25">
      <c r="A889" s="2">
        <v>45947.749745370369</v>
      </c>
      <c r="B889" s="1" t="s">
        <v>355</v>
      </c>
      <c r="C889" s="1" t="s">
        <v>361</v>
      </c>
      <c r="D889" s="1" t="s">
        <v>10</v>
      </c>
      <c r="E889" s="1" t="s">
        <v>11</v>
      </c>
      <c r="F889" s="1" t="s">
        <v>14</v>
      </c>
      <c r="G889">
        <v>0.5</v>
      </c>
      <c r="H889">
        <v>0</v>
      </c>
      <c r="I889">
        <v>0</v>
      </c>
      <c r="J889" s="1"/>
      <c r="K889" s="1" t="s">
        <v>344</v>
      </c>
    </row>
    <row r="890" spans="1:11" x14ac:dyDescent="0.25">
      <c r="A890" s="2">
        <v>45947.749837962961</v>
      </c>
      <c r="B890" s="1" t="s">
        <v>355</v>
      </c>
      <c r="C890" s="1" t="s">
        <v>361</v>
      </c>
      <c r="D890" s="1" t="s">
        <v>10</v>
      </c>
      <c r="E890" s="1" t="s">
        <v>11</v>
      </c>
      <c r="F890" s="1" t="s">
        <v>15</v>
      </c>
      <c r="G890">
        <v>3</v>
      </c>
      <c r="H890">
        <v>0</v>
      </c>
      <c r="I890">
        <v>0</v>
      </c>
      <c r="J890" s="1"/>
      <c r="K890" s="1" t="s">
        <v>341</v>
      </c>
    </row>
    <row r="891" spans="1:11" x14ac:dyDescent="0.25">
      <c r="A891" s="2">
        <v>45947.749942129631</v>
      </c>
      <c r="B891" s="1" t="s">
        <v>355</v>
      </c>
      <c r="C891" s="1" t="s">
        <v>361</v>
      </c>
      <c r="D891" s="1" t="s">
        <v>10</v>
      </c>
      <c r="E891" s="1" t="s">
        <v>11</v>
      </c>
      <c r="F891" s="1" t="s">
        <v>14</v>
      </c>
      <c r="G891">
        <v>0.5</v>
      </c>
      <c r="H891">
        <v>0</v>
      </c>
      <c r="I891">
        <v>0</v>
      </c>
      <c r="J891" s="1"/>
      <c r="K891" s="1" t="s">
        <v>344</v>
      </c>
    </row>
    <row r="892" spans="1:11" x14ac:dyDescent="0.25">
      <c r="A892" s="2">
        <v>45947.75</v>
      </c>
      <c r="B892" s="1" t="s">
        <v>355</v>
      </c>
      <c r="C892" s="1" t="s">
        <v>361</v>
      </c>
      <c r="D892" s="1" t="s">
        <v>10</v>
      </c>
      <c r="E892" s="1" t="s">
        <v>11</v>
      </c>
      <c r="F892" s="1" t="s">
        <v>14</v>
      </c>
      <c r="G892">
        <v>0.5</v>
      </c>
      <c r="H892">
        <v>0</v>
      </c>
      <c r="I892">
        <v>0</v>
      </c>
      <c r="J892" s="1"/>
      <c r="K892" s="1" t="s">
        <v>345</v>
      </c>
    </row>
    <row r="893" spans="1:11" x14ac:dyDescent="0.25">
      <c r="A893" s="2">
        <v>45950.454583333332</v>
      </c>
      <c r="B893" s="1" t="s">
        <v>347</v>
      </c>
      <c r="C893" s="1" t="s">
        <v>363</v>
      </c>
      <c r="D893" s="1" t="s">
        <v>10</v>
      </c>
      <c r="E893" s="1" t="s">
        <v>11</v>
      </c>
      <c r="F893" s="1" t="s">
        <v>12</v>
      </c>
      <c r="G893">
        <v>10.5</v>
      </c>
      <c r="H893">
        <v>0</v>
      </c>
      <c r="I893">
        <v>0</v>
      </c>
      <c r="J893" s="1"/>
      <c r="K893" s="1" t="s">
        <v>340</v>
      </c>
    </row>
    <row r="894" spans="1:11" x14ac:dyDescent="0.25">
      <c r="A894" s="2">
        <v>45950.454826388886</v>
      </c>
      <c r="B894" s="1" t="s">
        <v>347</v>
      </c>
      <c r="C894" s="1" t="s">
        <v>363</v>
      </c>
      <c r="D894" s="1" t="s">
        <v>10</v>
      </c>
      <c r="E894" s="1" t="s">
        <v>11</v>
      </c>
      <c r="F894" s="1" t="s">
        <v>12</v>
      </c>
      <c r="G894">
        <v>10.5</v>
      </c>
      <c r="H894">
        <v>0</v>
      </c>
      <c r="I894">
        <v>0</v>
      </c>
      <c r="J894" s="1"/>
      <c r="K894" s="1" t="s">
        <v>337</v>
      </c>
    </row>
    <row r="895" spans="1:11" x14ac:dyDescent="0.25">
      <c r="A895" s="2">
        <v>45950.455150462964</v>
      </c>
      <c r="B895" s="1" t="s">
        <v>347</v>
      </c>
      <c r="C895" s="1" t="s">
        <v>363</v>
      </c>
      <c r="D895" s="1" t="s">
        <v>10</v>
      </c>
      <c r="E895" s="1" t="s">
        <v>11</v>
      </c>
      <c r="F895" s="1" t="s">
        <v>15</v>
      </c>
      <c r="G895">
        <v>3</v>
      </c>
      <c r="H895">
        <v>1</v>
      </c>
      <c r="I895">
        <v>0</v>
      </c>
      <c r="J895" s="1"/>
      <c r="K895" s="1" t="s">
        <v>336</v>
      </c>
    </row>
    <row r="896" spans="1:11" x14ac:dyDescent="0.25">
      <c r="A896" s="2">
        <v>45950.455682870372</v>
      </c>
      <c r="B896" s="1" t="s">
        <v>347</v>
      </c>
      <c r="C896" s="1" t="s">
        <v>363</v>
      </c>
      <c r="D896" s="1" t="s">
        <v>10</v>
      </c>
      <c r="E896" s="1" t="s">
        <v>11</v>
      </c>
      <c r="F896" s="1" t="s">
        <v>15</v>
      </c>
      <c r="G896">
        <v>3</v>
      </c>
      <c r="H896">
        <v>0</v>
      </c>
      <c r="I896">
        <v>0</v>
      </c>
      <c r="J896" s="1" t="s">
        <v>213</v>
      </c>
      <c r="K896" s="1" t="s">
        <v>345</v>
      </c>
    </row>
    <row r="897" spans="1:11" x14ac:dyDescent="0.25">
      <c r="A897" s="2">
        <v>45950.46199074074</v>
      </c>
      <c r="B897" s="1" t="s">
        <v>354</v>
      </c>
      <c r="C897" s="1" t="s">
        <v>363</v>
      </c>
      <c r="D897" s="1" t="s">
        <v>10</v>
      </c>
      <c r="E897" s="1" t="s">
        <v>11</v>
      </c>
      <c r="F897" s="1" t="s">
        <v>15</v>
      </c>
      <c r="G897">
        <v>3</v>
      </c>
      <c r="H897">
        <v>0</v>
      </c>
      <c r="I897">
        <v>0</v>
      </c>
      <c r="J897" s="1"/>
      <c r="K897" s="1" t="s">
        <v>342</v>
      </c>
    </row>
    <row r="898" spans="1:11" x14ac:dyDescent="0.25">
      <c r="A898" s="2">
        <v>45950.524872685186</v>
      </c>
      <c r="B898" s="1" t="s">
        <v>350</v>
      </c>
      <c r="C898" s="1" t="s">
        <v>363</v>
      </c>
      <c r="D898" s="1" t="s">
        <v>10</v>
      </c>
      <c r="E898" s="1" t="s">
        <v>11</v>
      </c>
      <c r="F898" s="1" t="s">
        <v>15</v>
      </c>
      <c r="G898">
        <v>3</v>
      </c>
      <c r="H898">
        <v>0</v>
      </c>
      <c r="I898">
        <v>0</v>
      </c>
      <c r="J898" s="1"/>
      <c r="K898" s="1" t="s">
        <v>340</v>
      </c>
    </row>
    <row r="899" spans="1:11" x14ac:dyDescent="0.25">
      <c r="A899" s="2">
        <v>45950.609837962962</v>
      </c>
      <c r="B899" s="1" t="s">
        <v>348</v>
      </c>
      <c r="C899" s="1" t="s">
        <v>363</v>
      </c>
      <c r="D899" s="1" t="s">
        <v>10</v>
      </c>
      <c r="E899" s="1" t="s">
        <v>11</v>
      </c>
      <c r="F899" s="1" t="s">
        <v>15</v>
      </c>
      <c r="G899">
        <v>3</v>
      </c>
      <c r="H899">
        <v>0</v>
      </c>
      <c r="I899">
        <v>0</v>
      </c>
      <c r="J899" s="1"/>
      <c r="K899" s="1" t="s">
        <v>341</v>
      </c>
    </row>
    <row r="900" spans="1:11" x14ac:dyDescent="0.25">
      <c r="A900" s="2">
        <v>45950.609930555554</v>
      </c>
      <c r="B900" s="1" t="s">
        <v>348</v>
      </c>
      <c r="C900" s="1" t="s">
        <v>363</v>
      </c>
      <c r="D900" s="1" t="s">
        <v>10</v>
      </c>
      <c r="E900" s="1" t="s">
        <v>11</v>
      </c>
      <c r="F900" s="1" t="s">
        <v>15</v>
      </c>
      <c r="G900">
        <v>3</v>
      </c>
      <c r="H900">
        <v>0</v>
      </c>
      <c r="I900">
        <v>0</v>
      </c>
      <c r="J900" s="1"/>
      <c r="K900" s="1" t="s">
        <v>336</v>
      </c>
    </row>
    <row r="901" spans="1:11" x14ac:dyDescent="0.25">
      <c r="A901" s="2">
        <v>45950.610011574077</v>
      </c>
      <c r="B901" s="1" t="s">
        <v>348</v>
      </c>
      <c r="C901" s="1" t="s">
        <v>363</v>
      </c>
      <c r="D901" s="1" t="s">
        <v>10</v>
      </c>
      <c r="E901" s="1" t="s">
        <v>11</v>
      </c>
      <c r="F901" s="1" t="s">
        <v>18</v>
      </c>
      <c r="G901">
        <v>20</v>
      </c>
      <c r="H901">
        <v>0</v>
      </c>
      <c r="I901">
        <v>0</v>
      </c>
      <c r="J901" s="1"/>
      <c r="K901" s="1" t="s">
        <v>342</v>
      </c>
    </row>
    <row r="902" spans="1:11" x14ac:dyDescent="0.25">
      <c r="A902" s="2">
        <v>45950.620069444441</v>
      </c>
      <c r="B902" s="1" t="s">
        <v>348</v>
      </c>
      <c r="C902" s="1" t="s">
        <v>363</v>
      </c>
      <c r="D902" s="1" t="s">
        <v>10</v>
      </c>
      <c r="E902" s="1" t="s">
        <v>11</v>
      </c>
      <c r="F902" s="1" t="s">
        <v>15</v>
      </c>
      <c r="G902">
        <v>3</v>
      </c>
      <c r="H902">
        <v>0</v>
      </c>
      <c r="I902">
        <v>0</v>
      </c>
      <c r="J902" s="1"/>
      <c r="K902" s="1" t="s">
        <v>343</v>
      </c>
    </row>
    <row r="903" spans="1:11" x14ac:dyDescent="0.25">
      <c r="A903" s="2">
        <v>45950.620069444441</v>
      </c>
      <c r="B903" s="1" t="s">
        <v>348</v>
      </c>
      <c r="C903" s="1" t="s">
        <v>363</v>
      </c>
      <c r="D903" s="1" t="s">
        <v>10</v>
      </c>
      <c r="E903" s="1" t="s">
        <v>11</v>
      </c>
      <c r="F903" s="1" t="s">
        <v>15</v>
      </c>
      <c r="G903">
        <v>3</v>
      </c>
      <c r="H903">
        <v>0</v>
      </c>
      <c r="I903">
        <v>0</v>
      </c>
      <c r="J903" s="1"/>
      <c r="K903" s="1" t="s">
        <v>344</v>
      </c>
    </row>
    <row r="904" spans="1:11" x14ac:dyDescent="0.25">
      <c r="A904" s="2">
        <v>45950.626759259256</v>
      </c>
      <c r="B904" s="1" t="s">
        <v>349</v>
      </c>
      <c r="C904" s="1" t="s">
        <v>363</v>
      </c>
      <c r="D904" s="1" t="s">
        <v>10</v>
      </c>
      <c r="E904" s="1" t="s">
        <v>17</v>
      </c>
      <c r="F904" s="1" t="s">
        <v>15</v>
      </c>
      <c r="G904">
        <v>3</v>
      </c>
      <c r="H904">
        <v>0</v>
      </c>
      <c r="I904">
        <v>0</v>
      </c>
      <c r="J904" s="1"/>
      <c r="K904" s="1" t="s">
        <v>341</v>
      </c>
    </row>
    <row r="905" spans="1:11" x14ac:dyDescent="0.25">
      <c r="A905" s="2">
        <v>45950.629236111112</v>
      </c>
      <c r="B905" s="1" t="s">
        <v>349</v>
      </c>
      <c r="C905" s="1" t="s">
        <v>363</v>
      </c>
      <c r="D905" s="1" t="s">
        <v>10</v>
      </c>
      <c r="E905" s="1" t="s">
        <v>11</v>
      </c>
      <c r="F905" s="1" t="s">
        <v>15</v>
      </c>
      <c r="G905">
        <v>3</v>
      </c>
      <c r="H905">
        <v>0</v>
      </c>
      <c r="I905">
        <v>0</v>
      </c>
      <c r="J905" s="1"/>
      <c r="K905" s="1" t="s">
        <v>336</v>
      </c>
    </row>
    <row r="906" spans="1:11" x14ac:dyDescent="0.25">
      <c r="A906" s="2">
        <v>45950.642800925925</v>
      </c>
      <c r="B906" s="1" t="s">
        <v>349</v>
      </c>
      <c r="C906" s="1" t="s">
        <v>363</v>
      </c>
      <c r="D906" s="1" t="s">
        <v>10</v>
      </c>
      <c r="E906" s="1" t="s">
        <v>11</v>
      </c>
      <c r="F906" s="1" t="s">
        <v>14</v>
      </c>
      <c r="G906">
        <v>0.5</v>
      </c>
      <c r="H906">
        <v>0</v>
      </c>
      <c r="I906">
        <v>0</v>
      </c>
      <c r="J906" s="1" t="s">
        <v>214</v>
      </c>
      <c r="K906" s="1" t="s">
        <v>343</v>
      </c>
    </row>
    <row r="907" spans="1:11" x14ac:dyDescent="0.25">
      <c r="A907" s="2">
        <v>45950.657951388886</v>
      </c>
      <c r="B907" s="1" t="s">
        <v>349</v>
      </c>
      <c r="C907" s="1" t="s">
        <v>363</v>
      </c>
      <c r="D907" s="1" t="s">
        <v>10</v>
      </c>
      <c r="E907" s="1" t="s">
        <v>11</v>
      </c>
      <c r="F907" s="1" t="s">
        <v>14</v>
      </c>
      <c r="G907">
        <v>0.5</v>
      </c>
      <c r="H907">
        <v>0</v>
      </c>
      <c r="I907">
        <v>0</v>
      </c>
      <c r="J907" s="1"/>
      <c r="K907" s="1" t="s">
        <v>342</v>
      </c>
    </row>
    <row r="908" spans="1:11" x14ac:dyDescent="0.25">
      <c r="A908" s="2">
        <v>45950.658043981479</v>
      </c>
      <c r="B908" s="1" t="s">
        <v>349</v>
      </c>
      <c r="C908" s="1" t="s">
        <v>363</v>
      </c>
      <c r="D908" s="1" t="s">
        <v>10</v>
      </c>
      <c r="E908" s="1" t="s">
        <v>11</v>
      </c>
      <c r="F908" s="1" t="s">
        <v>15</v>
      </c>
      <c r="G908">
        <v>3</v>
      </c>
      <c r="H908">
        <v>0</v>
      </c>
      <c r="I908">
        <v>0</v>
      </c>
      <c r="J908" s="1"/>
      <c r="K908" s="1" t="s">
        <v>336</v>
      </c>
    </row>
    <row r="909" spans="1:11" x14ac:dyDescent="0.25">
      <c r="A909" s="2">
        <v>45950.658043981479</v>
      </c>
      <c r="B909" s="1" t="s">
        <v>349</v>
      </c>
      <c r="C909" s="1" t="s">
        <v>363</v>
      </c>
      <c r="D909" s="1" t="s">
        <v>10</v>
      </c>
      <c r="E909" s="1" t="s">
        <v>11</v>
      </c>
      <c r="F909" s="1" t="s">
        <v>15</v>
      </c>
      <c r="G909">
        <v>3</v>
      </c>
      <c r="H909">
        <v>0</v>
      </c>
      <c r="I909">
        <v>0</v>
      </c>
      <c r="J909" s="1"/>
      <c r="K909" s="1" t="s">
        <v>106</v>
      </c>
    </row>
    <row r="910" spans="1:11" x14ac:dyDescent="0.25">
      <c r="A910" s="2">
        <v>45951.678935185184</v>
      </c>
      <c r="B910" s="1" t="s">
        <v>353</v>
      </c>
      <c r="C910" s="1" t="s">
        <v>358</v>
      </c>
      <c r="D910" s="1" t="s">
        <v>10</v>
      </c>
      <c r="E910" s="1" t="s">
        <v>11</v>
      </c>
      <c r="F910" s="1" t="s">
        <v>15</v>
      </c>
      <c r="G910">
        <v>3</v>
      </c>
      <c r="H910">
        <v>0</v>
      </c>
      <c r="I910">
        <v>0</v>
      </c>
      <c r="J910" s="1"/>
      <c r="K910" s="1" t="s">
        <v>340</v>
      </c>
    </row>
    <row r="911" spans="1:11" x14ac:dyDescent="0.25">
      <c r="A911" s="2">
        <v>45951.679097222222</v>
      </c>
      <c r="B911" s="1" t="s">
        <v>353</v>
      </c>
      <c r="C911" s="1" t="s">
        <v>358</v>
      </c>
      <c r="D911" s="1" t="s">
        <v>20</v>
      </c>
      <c r="E911" s="1" t="s">
        <v>11</v>
      </c>
      <c r="F911" s="1" t="s">
        <v>15</v>
      </c>
      <c r="G911">
        <v>3</v>
      </c>
      <c r="H911">
        <v>0</v>
      </c>
      <c r="I911">
        <v>0</v>
      </c>
      <c r="J911" s="1"/>
      <c r="K911" s="1" t="s">
        <v>344</v>
      </c>
    </row>
    <row r="912" spans="1:11" x14ac:dyDescent="0.25">
      <c r="A912" s="2">
        <v>45951.685555555552</v>
      </c>
      <c r="B912" s="1" t="s">
        <v>353</v>
      </c>
      <c r="C912" s="1" t="s">
        <v>358</v>
      </c>
      <c r="D912" s="1" t="s">
        <v>10</v>
      </c>
      <c r="E912" s="1" t="s">
        <v>11</v>
      </c>
      <c r="F912" s="1" t="s">
        <v>15</v>
      </c>
      <c r="G912">
        <v>3</v>
      </c>
      <c r="H912">
        <v>1</v>
      </c>
      <c r="I912">
        <v>0</v>
      </c>
      <c r="J912" s="1"/>
      <c r="K912" s="1" t="s">
        <v>336</v>
      </c>
    </row>
    <row r="913" spans="1:11" x14ac:dyDescent="0.25">
      <c r="A913" s="2">
        <v>45952.438680555555</v>
      </c>
      <c r="B913" s="1" t="s">
        <v>347</v>
      </c>
      <c r="C913" s="1" t="s">
        <v>359</v>
      </c>
      <c r="D913" s="1" t="s">
        <v>10</v>
      </c>
      <c r="E913" s="1" t="s">
        <v>11</v>
      </c>
      <c r="F913" s="1" t="s">
        <v>12</v>
      </c>
      <c r="G913">
        <v>10.5</v>
      </c>
      <c r="H913">
        <v>0</v>
      </c>
      <c r="I913">
        <v>0</v>
      </c>
      <c r="J913" s="1"/>
      <c r="K913" s="1" t="s">
        <v>340</v>
      </c>
    </row>
    <row r="914" spans="1:11" x14ac:dyDescent="0.25">
      <c r="A914" s="2">
        <v>45952.438680555555</v>
      </c>
      <c r="B914" s="1" t="s">
        <v>347</v>
      </c>
      <c r="C914" s="1" t="s">
        <v>359</v>
      </c>
      <c r="D914" s="1" t="s">
        <v>10</v>
      </c>
      <c r="E914" s="1" t="s">
        <v>11</v>
      </c>
      <c r="F914" s="1" t="s">
        <v>12</v>
      </c>
      <c r="G914">
        <v>10.5</v>
      </c>
      <c r="H914">
        <v>0</v>
      </c>
      <c r="I914">
        <v>0</v>
      </c>
      <c r="J914" s="1"/>
      <c r="K914" s="1" t="s">
        <v>343</v>
      </c>
    </row>
    <row r="915" spans="1:11" x14ac:dyDescent="0.25">
      <c r="A915" s="2">
        <v>45952.538402777776</v>
      </c>
      <c r="B915" s="1" t="s">
        <v>350</v>
      </c>
      <c r="C915" s="1" t="s">
        <v>359</v>
      </c>
      <c r="D915" s="1" t="s">
        <v>10</v>
      </c>
      <c r="E915" s="1" t="s">
        <v>11</v>
      </c>
      <c r="F915" s="1" t="s">
        <v>14</v>
      </c>
      <c r="G915">
        <v>0.5</v>
      </c>
      <c r="H915">
        <v>0</v>
      </c>
      <c r="I915">
        <v>0</v>
      </c>
      <c r="J915" s="1"/>
      <c r="K915" s="1" t="s">
        <v>342</v>
      </c>
    </row>
    <row r="916" spans="1:11" x14ac:dyDescent="0.25">
      <c r="A916" s="2">
        <v>45952.541180555556</v>
      </c>
      <c r="B916" s="1" t="s">
        <v>350</v>
      </c>
      <c r="C916" s="1" t="s">
        <v>359</v>
      </c>
      <c r="D916" s="1" t="s">
        <v>10</v>
      </c>
      <c r="E916" s="1" t="s">
        <v>11</v>
      </c>
      <c r="F916" s="1" t="s">
        <v>14</v>
      </c>
      <c r="G916">
        <v>0.5</v>
      </c>
      <c r="H916">
        <v>0</v>
      </c>
      <c r="I916">
        <v>0</v>
      </c>
      <c r="J916" s="1"/>
      <c r="K916" s="1" t="s">
        <v>342</v>
      </c>
    </row>
    <row r="917" spans="1:11" x14ac:dyDescent="0.25">
      <c r="A917" s="2">
        <v>45952.566701388889</v>
      </c>
      <c r="B917" s="1" t="s">
        <v>351</v>
      </c>
      <c r="C917" s="1" t="s">
        <v>359</v>
      </c>
      <c r="D917" s="1" t="s">
        <v>20</v>
      </c>
      <c r="E917" s="1" t="s">
        <v>11</v>
      </c>
      <c r="F917" s="1" t="s">
        <v>15</v>
      </c>
      <c r="G917">
        <v>3</v>
      </c>
      <c r="H917">
        <v>1</v>
      </c>
      <c r="I917">
        <v>0</v>
      </c>
      <c r="J917" s="1"/>
      <c r="K917" s="1" t="s">
        <v>336</v>
      </c>
    </row>
    <row r="918" spans="1:11" x14ac:dyDescent="0.25">
      <c r="A918" s="2">
        <v>45952.567002314812</v>
      </c>
      <c r="B918" s="1" t="s">
        <v>351</v>
      </c>
      <c r="C918" s="1" t="s">
        <v>359</v>
      </c>
      <c r="D918" s="1" t="s">
        <v>10</v>
      </c>
      <c r="E918" s="1" t="s">
        <v>11</v>
      </c>
      <c r="F918" s="1" t="s">
        <v>12</v>
      </c>
      <c r="G918">
        <v>10.5</v>
      </c>
      <c r="H918">
        <v>0</v>
      </c>
      <c r="I918">
        <v>0</v>
      </c>
      <c r="J918" s="1"/>
      <c r="K918" s="1" t="s">
        <v>342</v>
      </c>
    </row>
    <row r="919" spans="1:11" x14ac:dyDescent="0.25">
      <c r="A919" s="2">
        <v>45952.610381944447</v>
      </c>
      <c r="B919" s="1" t="s">
        <v>348</v>
      </c>
      <c r="C919" s="1" t="s">
        <v>359</v>
      </c>
      <c r="D919" s="1" t="s">
        <v>10</v>
      </c>
      <c r="E919" s="1" t="s">
        <v>11</v>
      </c>
      <c r="F919" s="1" t="s">
        <v>14</v>
      </c>
      <c r="G919">
        <v>0.5</v>
      </c>
      <c r="H919">
        <v>0</v>
      </c>
      <c r="I919">
        <v>0</v>
      </c>
      <c r="J919" s="1"/>
      <c r="K919" s="1" t="s">
        <v>344</v>
      </c>
    </row>
    <row r="920" spans="1:11" x14ac:dyDescent="0.25">
      <c r="A920" s="2">
        <v>45952.610439814816</v>
      </c>
      <c r="B920" s="1" t="s">
        <v>348</v>
      </c>
      <c r="C920" s="1" t="s">
        <v>359</v>
      </c>
      <c r="D920" s="1" t="s">
        <v>10</v>
      </c>
      <c r="E920" s="1" t="s">
        <v>11</v>
      </c>
      <c r="F920" s="1" t="s">
        <v>14</v>
      </c>
      <c r="G920">
        <v>0.5</v>
      </c>
      <c r="H920">
        <v>0</v>
      </c>
      <c r="I920">
        <v>0</v>
      </c>
      <c r="J920" s="1"/>
      <c r="K920" s="1" t="s">
        <v>343</v>
      </c>
    </row>
    <row r="921" spans="1:11" x14ac:dyDescent="0.25">
      <c r="A921" s="2">
        <v>45952.62296296296</v>
      </c>
      <c r="B921" s="1" t="s">
        <v>348</v>
      </c>
      <c r="C921" s="1" t="s">
        <v>359</v>
      </c>
      <c r="D921" s="1" t="s">
        <v>10</v>
      </c>
      <c r="E921" s="1" t="s">
        <v>11</v>
      </c>
      <c r="F921" s="1" t="s">
        <v>15</v>
      </c>
      <c r="G921">
        <v>3</v>
      </c>
      <c r="H921">
        <v>0</v>
      </c>
      <c r="I921">
        <v>0</v>
      </c>
      <c r="J921" s="1" t="s">
        <v>216</v>
      </c>
      <c r="K921" s="1" t="s">
        <v>345</v>
      </c>
    </row>
    <row r="922" spans="1:11" x14ac:dyDescent="0.25">
      <c r="A922" s="2">
        <v>45954.406365740739</v>
      </c>
      <c r="B922" s="1" t="s">
        <v>352</v>
      </c>
      <c r="C922" s="1" t="s">
        <v>361</v>
      </c>
      <c r="D922" s="1" t="s">
        <v>10</v>
      </c>
      <c r="E922" s="1" t="s">
        <v>11</v>
      </c>
      <c r="F922" s="1" t="s">
        <v>12</v>
      </c>
      <c r="G922">
        <v>10.5</v>
      </c>
      <c r="H922">
        <v>1</v>
      </c>
      <c r="I922">
        <v>0</v>
      </c>
      <c r="J922" s="1"/>
      <c r="K922" s="1" t="s">
        <v>336</v>
      </c>
    </row>
    <row r="923" spans="1:11" x14ac:dyDescent="0.25">
      <c r="A923" s="2">
        <v>45954.406631944446</v>
      </c>
      <c r="B923" s="1" t="s">
        <v>352</v>
      </c>
      <c r="C923" s="1" t="s">
        <v>361</v>
      </c>
      <c r="D923" s="1" t="s">
        <v>10</v>
      </c>
      <c r="E923" s="1" t="s">
        <v>11</v>
      </c>
      <c r="F923" s="1" t="s">
        <v>14</v>
      </c>
      <c r="G923">
        <v>0.5</v>
      </c>
      <c r="H923">
        <v>0</v>
      </c>
      <c r="I923">
        <v>0</v>
      </c>
      <c r="J923" s="1"/>
      <c r="K923" s="1" t="s">
        <v>344</v>
      </c>
    </row>
    <row r="924" spans="1:11" x14ac:dyDescent="0.25">
      <c r="A924" s="2">
        <v>45954.411921296298</v>
      </c>
      <c r="B924" s="1" t="s">
        <v>352</v>
      </c>
      <c r="C924" s="1" t="s">
        <v>361</v>
      </c>
      <c r="D924" s="1" t="s">
        <v>20</v>
      </c>
      <c r="E924" s="1" t="s">
        <v>11</v>
      </c>
      <c r="F924" s="1" t="s">
        <v>14</v>
      </c>
      <c r="G924">
        <v>0.5</v>
      </c>
      <c r="H924">
        <v>0</v>
      </c>
      <c r="I924">
        <v>0</v>
      </c>
      <c r="J924" s="1"/>
      <c r="K924" s="1" t="s">
        <v>343</v>
      </c>
    </row>
    <row r="925" spans="1:11" x14ac:dyDescent="0.25">
      <c r="A925" s="2">
        <v>45954.424027777779</v>
      </c>
      <c r="B925" s="1" t="s">
        <v>347</v>
      </c>
      <c r="C925" s="1" t="s">
        <v>361</v>
      </c>
      <c r="D925" s="1" t="s">
        <v>10</v>
      </c>
      <c r="E925" s="1" t="s">
        <v>11</v>
      </c>
      <c r="F925" s="1" t="s">
        <v>15</v>
      </c>
      <c r="G925">
        <v>3</v>
      </c>
      <c r="H925">
        <v>1</v>
      </c>
      <c r="I925">
        <v>0</v>
      </c>
      <c r="J925" s="1"/>
      <c r="K925" s="1" t="s">
        <v>336</v>
      </c>
    </row>
    <row r="926" spans="1:11" x14ac:dyDescent="0.25">
      <c r="A926" s="2">
        <v>45954.424143518518</v>
      </c>
      <c r="B926" s="1" t="s">
        <v>347</v>
      </c>
      <c r="C926" s="1" t="s">
        <v>361</v>
      </c>
      <c r="D926" s="1" t="s">
        <v>10</v>
      </c>
      <c r="E926" s="1" t="s">
        <v>11</v>
      </c>
      <c r="F926" s="1" t="s">
        <v>15</v>
      </c>
      <c r="G926">
        <v>3</v>
      </c>
      <c r="H926">
        <v>0</v>
      </c>
      <c r="I926">
        <v>0</v>
      </c>
      <c r="J926" s="1"/>
      <c r="K926" s="1" t="s">
        <v>340</v>
      </c>
    </row>
    <row r="927" spans="1:11" x14ac:dyDescent="0.25">
      <c r="A927" s="2">
        <v>45954.469143518516</v>
      </c>
      <c r="B927" s="1" t="s">
        <v>354</v>
      </c>
      <c r="C927" s="1" t="s">
        <v>361</v>
      </c>
      <c r="D927" s="1" t="s">
        <v>10</v>
      </c>
      <c r="E927" s="1" t="s">
        <v>11</v>
      </c>
      <c r="F927" s="1" t="s">
        <v>12</v>
      </c>
      <c r="G927">
        <v>10.5</v>
      </c>
      <c r="H927">
        <v>1</v>
      </c>
      <c r="I927">
        <v>0</v>
      </c>
      <c r="J927" s="1"/>
      <c r="K927" s="1" t="s">
        <v>336</v>
      </c>
    </row>
    <row r="928" spans="1:11" x14ac:dyDescent="0.25">
      <c r="A928" s="2">
        <v>45954.473854166667</v>
      </c>
      <c r="B928" s="1" t="s">
        <v>354</v>
      </c>
      <c r="C928" s="1" t="s">
        <v>361</v>
      </c>
      <c r="D928" s="1" t="s">
        <v>10</v>
      </c>
      <c r="E928" s="1" t="s">
        <v>11</v>
      </c>
      <c r="F928" s="1" t="s">
        <v>14</v>
      </c>
      <c r="G928">
        <v>0.5</v>
      </c>
      <c r="H928">
        <v>1</v>
      </c>
      <c r="I928">
        <v>0</v>
      </c>
      <c r="J928" s="1"/>
      <c r="K928" s="1" t="s">
        <v>336</v>
      </c>
    </row>
    <row r="929" spans="1:11" x14ac:dyDescent="0.25">
      <c r="A929" s="2">
        <v>45954.473946759259</v>
      </c>
      <c r="B929" s="1" t="s">
        <v>354</v>
      </c>
      <c r="C929" s="1" t="s">
        <v>361</v>
      </c>
      <c r="D929" s="1" t="s">
        <v>10</v>
      </c>
      <c r="E929" s="1" t="s">
        <v>11</v>
      </c>
      <c r="F929" s="1" t="s">
        <v>14</v>
      </c>
      <c r="G929">
        <v>0.5</v>
      </c>
      <c r="H929">
        <v>0</v>
      </c>
      <c r="I929">
        <v>0</v>
      </c>
      <c r="J929" s="1"/>
      <c r="K929" s="1" t="s">
        <v>344</v>
      </c>
    </row>
    <row r="930" spans="1:11" x14ac:dyDescent="0.25">
      <c r="A930" s="2">
        <v>45954.486886574072</v>
      </c>
      <c r="B930" s="1" t="s">
        <v>354</v>
      </c>
      <c r="C930" s="1" t="s">
        <v>361</v>
      </c>
      <c r="D930" s="1" t="s">
        <v>20</v>
      </c>
      <c r="E930" s="1" t="s">
        <v>11</v>
      </c>
      <c r="F930" s="1" t="s">
        <v>14</v>
      </c>
      <c r="G930">
        <v>0.5</v>
      </c>
      <c r="H930">
        <v>0</v>
      </c>
      <c r="I930">
        <v>0</v>
      </c>
      <c r="J930" s="1" t="s">
        <v>217</v>
      </c>
      <c r="K930" s="1" t="s">
        <v>345</v>
      </c>
    </row>
    <row r="931" spans="1:11" x14ac:dyDescent="0.25">
      <c r="A931" s="2">
        <v>45954.519884259258</v>
      </c>
      <c r="B931" s="1" t="s">
        <v>350</v>
      </c>
      <c r="C931" s="1" t="s">
        <v>361</v>
      </c>
      <c r="D931" s="1" t="s">
        <v>20</v>
      </c>
      <c r="E931" s="1" t="s">
        <v>11</v>
      </c>
      <c r="F931" s="1" t="s">
        <v>12</v>
      </c>
      <c r="G931">
        <v>10.5</v>
      </c>
      <c r="H931">
        <v>0</v>
      </c>
      <c r="I931">
        <v>0</v>
      </c>
      <c r="J931" s="1"/>
      <c r="K931" s="1" t="s">
        <v>343</v>
      </c>
    </row>
    <row r="932" spans="1:11" x14ac:dyDescent="0.25">
      <c r="A932" s="2">
        <v>45954.538217592592</v>
      </c>
      <c r="B932" s="1" t="s">
        <v>350</v>
      </c>
      <c r="C932" s="1" t="s">
        <v>361</v>
      </c>
      <c r="D932" s="1" t="s">
        <v>10</v>
      </c>
      <c r="E932" s="1" t="s">
        <v>11</v>
      </c>
      <c r="F932" s="1" t="s">
        <v>12</v>
      </c>
      <c r="G932">
        <v>10.5</v>
      </c>
      <c r="H932">
        <v>1</v>
      </c>
      <c r="I932">
        <v>0</v>
      </c>
      <c r="J932" s="1"/>
      <c r="K932" s="1" t="s">
        <v>106</v>
      </c>
    </row>
    <row r="933" spans="1:11" x14ac:dyDescent="0.25">
      <c r="A933" s="2">
        <v>45954.597500000003</v>
      </c>
      <c r="B933" s="1" t="s">
        <v>348</v>
      </c>
      <c r="C933" s="1" t="s">
        <v>361</v>
      </c>
      <c r="D933" s="1" t="s">
        <v>10</v>
      </c>
      <c r="E933" s="1" t="s">
        <v>11</v>
      </c>
      <c r="F933" s="1" t="s">
        <v>12</v>
      </c>
      <c r="G933">
        <v>10.5</v>
      </c>
      <c r="H933">
        <v>1</v>
      </c>
      <c r="I933">
        <v>0</v>
      </c>
      <c r="J933" s="1"/>
      <c r="K933" s="1" t="s">
        <v>106</v>
      </c>
    </row>
    <row r="934" spans="1:11" x14ac:dyDescent="0.25">
      <c r="A934" s="2">
        <v>45954.597500000003</v>
      </c>
      <c r="B934" s="1" t="s">
        <v>348</v>
      </c>
      <c r="C934" s="1" t="s">
        <v>361</v>
      </c>
      <c r="D934" s="1" t="s">
        <v>10</v>
      </c>
      <c r="E934" s="1" t="s">
        <v>11</v>
      </c>
      <c r="F934" s="1" t="s">
        <v>12</v>
      </c>
      <c r="G934">
        <v>10.5</v>
      </c>
      <c r="H934">
        <v>1</v>
      </c>
      <c r="I934">
        <v>0</v>
      </c>
      <c r="J934" s="1"/>
      <c r="K934" s="1" t="s">
        <v>343</v>
      </c>
    </row>
    <row r="935" spans="1:11" x14ac:dyDescent="0.25">
      <c r="A935" s="2">
        <v>45954.602083333331</v>
      </c>
      <c r="B935" s="1" t="s">
        <v>348</v>
      </c>
      <c r="C935" s="1" t="s">
        <v>361</v>
      </c>
      <c r="D935" s="1" t="s">
        <v>10</v>
      </c>
      <c r="E935" s="1" t="s">
        <v>11</v>
      </c>
      <c r="F935" s="1" t="s">
        <v>15</v>
      </c>
      <c r="G935">
        <v>3</v>
      </c>
      <c r="H935">
        <v>0</v>
      </c>
      <c r="I935">
        <v>0</v>
      </c>
      <c r="J935" s="1"/>
      <c r="K935" s="1" t="s">
        <v>344</v>
      </c>
    </row>
    <row r="936" spans="1:11" x14ac:dyDescent="0.25">
      <c r="A936" s="2">
        <v>45954.622361111113</v>
      </c>
      <c r="B936" s="1" t="s">
        <v>348</v>
      </c>
      <c r="C936" s="1" t="s">
        <v>361</v>
      </c>
      <c r="D936" s="1" t="s">
        <v>10</v>
      </c>
      <c r="E936" s="1" t="s">
        <v>11</v>
      </c>
      <c r="F936" s="1" t="s">
        <v>15</v>
      </c>
      <c r="G936">
        <v>3</v>
      </c>
      <c r="H936">
        <v>0</v>
      </c>
      <c r="I936">
        <v>0</v>
      </c>
      <c r="J936" s="1"/>
      <c r="K936" s="1" t="s">
        <v>342</v>
      </c>
    </row>
    <row r="937" spans="1:11" x14ac:dyDescent="0.25">
      <c r="A937" s="2">
        <v>45955.390266203707</v>
      </c>
      <c r="B937" s="1" t="s">
        <v>352</v>
      </c>
      <c r="C937" s="1" t="s">
        <v>362</v>
      </c>
      <c r="D937" s="1" t="s">
        <v>10</v>
      </c>
      <c r="E937" s="1" t="s">
        <v>11</v>
      </c>
      <c r="F937" s="1" t="s">
        <v>15</v>
      </c>
      <c r="G937">
        <v>3</v>
      </c>
      <c r="H937">
        <v>0</v>
      </c>
      <c r="I937">
        <v>0</v>
      </c>
      <c r="J937" s="1"/>
      <c r="K937" s="1" t="s">
        <v>341</v>
      </c>
    </row>
    <row r="938" spans="1:11" x14ac:dyDescent="0.25">
      <c r="A938" s="2">
        <v>45955.397060185183</v>
      </c>
      <c r="B938" s="1" t="s">
        <v>352</v>
      </c>
      <c r="C938" s="1" t="s">
        <v>362</v>
      </c>
      <c r="D938" s="1" t="s">
        <v>10</v>
      </c>
      <c r="E938" s="1" t="s">
        <v>11</v>
      </c>
      <c r="F938" s="1" t="s">
        <v>12</v>
      </c>
      <c r="G938">
        <v>10.5</v>
      </c>
      <c r="H938">
        <v>1</v>
      </c>
      <c r="I938">
        <v>0</v>
      </c>
      <c r="J938" s="1"/>
      <c r="K938" s="1" t="s">
        <v>336</v>
      </c>
    </row>
    <row r="939" spans="1:11" x14ac:dyDescent="0.25">
      <c r="A939" s="2">
        <v>45955.397060185183</v>
      </c>
      <c r="B939" s="1" t="s">
        <v>352</v>
      </c>
      <c r="C939" s="1" t="s">
        <v>362</v>
      </c>
      <c r="D939" s="1" t="s">
        <v>10</v>
      </c>
      <c r="E939" s="1" t="s">
        <v>11</v>
      </c>
      <c r="F939" s="1" t="s">
        <v>12</v>
      </c>
      <c r="G939">
        <v>10.5</v>
      </c>
      <c r="H939">
        <v>1</v>
      </c>
      <c r="I939">
        <v>0</v>
      </c>
      <c r="J939" s="1"/>
      <c r="K939" s="1" t="s">
        <v>343</v>
      </c>
    </row>
    <row r="940" spans="1:11" x14ac:dyDescent="0.25">
      <c r="A940" s="2">
        <v>45955.469305555554</v>
      </c>
      <c r="B940" s="1" t="s">
        <v>354</v>
      </c>
      <c r="C940" s="1" t="s">
        <v>362</v>
      </c>
      <c r="D940" s="1" t="s">
        <v>10</v>
      </c>
      <c r="E940" s="1" t="s">
        <v>11</v>
      </c>
      <c r="F940" s="1" t="s">
        <v>12</v>
      </c>
      <c r="G940">
        <v>10.5</v>
      </c>
      <c r="H940">
        <v>1</v>
      </c>
      <c r="I940">
        <v>0</v>
      </c>
      <c r="J940" s="1"/>
      <c r="K940" s="1" t="s">
        <v>340</v>
      </c>
    </row>
    <row r="941" spans="1:11" x14ac:dyDescent="0.25">
      <c r="A941" s="2">
        <v>45955.469305555554</v>
      </c>
      <c r="B941" s="1" t="s">
        <v>354</v>
      </c>
      <c r="C941" s="1" t="s">
        <v>362</v>
      </c>
      <c r="D941" s="1" t="s">
        <v>10</v>
      </c>
      <c r="E941" s="1" t="s">
        <v>11</v>
      </c>
      <c r="F941" s="1" t="s">
        <v>12</v>
      </c>
      <c r="G941">
        <v>10.5</v>
      </c>
      <c r="H941">
        <v>1</v>
      </c>
      <c r="I941">
        <v>0</v>
      </c>
      <c r="J941" s="1"/>
      <c r="K941" s="1" t="s">
        <v>343</v>
      </c>
    </row>
    <row r="942" spans="1:11" x14ac:dyDescent="0.25">
      <c r="A942" s="2">
        <v>45955.469375000001</v>
      </c>
      <c r="B942" s="1" t="s">
        <v>354</v>
      </c>
      <c r="C942" s="1" t="s">
        <v>362</v>
      </c>
      <c r="D942" s="1" t="s">
        <v>10</v>
      </c>
      <c r="E942" s="1" t="s">
        <v>11</v>
      </c>
      <c r="F942" s="1" t="s">
        <v>15</v>
      </c>
      <c r="G942">
        <v>3</v>
      </c>
      <c r="H942">
        <v>1</v>
      </c>
      <c r="I942">
        <v>0</v>
      </c>
      <c r="J942" s="1"/>
      <c r="K942" s="1" t="s">
        <v>336</v>
      </c>
    </row>
    <row r="943" spans="1:11" x14ac:dyDescent="0.25">
      <c r="A943" s="2">
        <v>45955.469375000001</v>
      </c>
      <c r="B943" s="1" t="s">
        <v>354</v>
      </c>
      <c r="C943" s="1" t="s">
        <v>362</v>
      </c>
      <c r="D943" s="1" t="s">
        <v>10</v>
      </c>
      <c r="E943" s="1" t="s">
        <v>11</v>
      </c>
      <c r="F943" s="1" t="s">
        <v>15</v>
      </c>
      <c r="G943">
        <v>3</v>
      </c>
      <c r="H943">
        <v>1</v>
      </c>
      <c r="I943">
        <v>0</v>
      </c>
      <c r="J943" s="1"/>
      <c r="K943" s="1" t="s">
        <v>106</v>
      </c>
    </row>
    <row r="944" spans="1:11" x14ac:dyDescent="0.25">
      <c r="A944" s="2">
        <v>45955.476157407407</v>
      </c>
      <c r="B944" s="1" t="s">
        <v>354</v>
      </c>
      <c r="C944" s="1" t="s">
        <v>362</v>
      </c>
      <c r="D944" s="1" t="s">
        <v>10</v>
      </c>
      <c r="E944" s="1" t="s">
        <v>11</v>
      </c>
      <c r="F944" s="1" t="s">
        <v>12</v>
      </c>
      <c r="G944">
        <v>10.5</v>
      </c>
      <c r="H944">
        <v>1</v>
      </c>
      <c r="I944">
        <v>0</v>
      </c>
      <c r="J944" s="1"/>
      <c r="K944" s="1" t="s">
        <v>340</v>
      </c>
    </row>
    <row r="945" spans="1:11" x14ac:dyDescent="0.25">
      <c r="A945" s="2">
        <v>45955.476157407407</v>
      </c>
      <c r="B945" s="1" t="s">
        <v>354</v>
      </c>
      <c r="C945" s="1" t="s">
        <v>362</v>
      </c>
      <c r="D945" s="1" t="s">
        <v>10</v>
      </c>
      <c r="E945" s="1" t="s">
        <v>11</v>
      </c>
      <c r="F945" s="1" t="s">
        <v>12</v>
      </c>
      <c r="G945">
        <v>10.5</v>
      </c>
      <c r="H945">
        <v>1</v>
      </c>
      <c r="I945">
        <v>0</v>
      </c>
      <c r="J945" s="1"/>
      <c r="K945" s="1" t="s">
        <v>343</v>
      </c>
    </row>
    <row r="946" spans="1:11" x14ac:dyDescent="0.25">
      <c r="A946" s="2">
        <v>45955.4766087963</v>
      </c>
      <c r="B946" s="1" t="s">
        <v>354</v>
      </c>
      <c r="C946" s="1" t="s">
        <v>362</v>
      </c>
      <c r="D946" s="1" t="s">
        <v>10</v>
      </c>
      <c r="E946" s="1" t="s">
        <v>11</v>
      </c>
      <c r="F946" s="1" t="s">
        <v>14</v>
      </c>
      <c r="G946">
        <v>0.5</v>
      </c>
      <c r="H946">
        <v>0</v>
      </c>
      <c r="I946">
        <v>0</v>
      </c>
      <c r="J946" s="1" t="s">
        <v>218</v>
      </c>
      <c r="K946" s="1" t="s">
        <v>345</v>
      </c>
    </row>
    <row r="947" spans="1:11" x14ac:dyDescent="0.25">
      <c r="A947" s="2">
        <v>45957.406539351854</v>
      </c>
      <c r="B947" s="1" t="s">
        <v>352</v>
      </c>
      <c r="C947" s="1" t="s">
        <v>363</v>
      </c>
      <c r="D947" s="1" t="s">
        <v>20</v>
      </c>
      <c r="E947" s="1" t="s">
        <v>11</v>
      </c>
      <c r="F947" s="1" t="s">
        <v>15</v>
      </c>
      <c r="G947">
        <v>3</v>
      </c>
      <c r="H947">
        <v>0</v>
      </c>
      <c r="I947">
        <v>1</v>
      </c>
      <c r="J947" s="1" t="s">
        <v>219</v>
      </c>
      <c r="K947" s="1" t="s">
        <v>336</v>
      </c>
    </row>
    <row r="948" spans="1:11" x14ac:dyDescent="0.25">
      <c r="A948" s="2">
        <v>45957.40729166667</v>
      </c>
      <c r="B948" s="1" t="s">
        <v>352</v>
      </c>
      <c r="C948" s="1" t="s">
        <v>363</v>
      </c>
      <c r="D948" s="1" t="s">
        <v>10</v>
      </c>
      <c r="E948" s="1" t="s">
        <v>11</v>
      </c>
      <c r="F948" s="1" t="s">
        <v>12</v>
      </c>
      <c r="G948">
        <v>10.5</v>
      </c>
      <c r="H948">
        <v>0</v>
      </c>
      <c r="I948">
        <v>0</v>
      </c>
      <c r="J948" s="1" t="s">
        <v>220</v>
      </c>
      <c r="K948" s="1" t="s">
        <v>342</v>
      </c>
    </row>
    <row r="949" spans="1:11" x14ac:dyDescent="0.25">
      <c r="A949" s="2">
        <v>45957.494502314818</v>
      </c>
      <c r="B949" s="1" t="s">
        <v>354</v>
      </c>
      <c r="C949" s="1" t="s">
        <v>363</v>
      </c>
      <c r="D949" s="1" t="s">
        <v>10</v>
      </c>
      <c r="E949" s="1" t="s">
        <v>11</v>
      </c>
      <c r="F949" s="1" t="s">
        <v>14</v>
      </c>
      <c r="G949">
        <v>0.5</v>
      </c>
      <c r="H949">
        <v>0</v>
      </c>
      <c r="I949">
        <v>0</v>
      </c>
      <c r="J949" s="1"/>
      <c r="K949" s="1" t="s">
        <v>344</v>
      </c>
    </row>
    <row r="950" spans="1:11" x14ac:dyDescent="0.25">
      <c r="A950" s="2">
        <v>45957.494629629633</v>
      </c>
      <c r="B950" s="1" t="s">
        <v>354</v>
      </c>
      <c r="C950" s="1" t="s">
        <v>363</v>
      </c>
      <c r="D950" s="1" t="s">
        <v>10</v>
      </c>
      <c r="E950" s="1" t="s">
        <v>11</v>
      </c>
      <c r="F950" s="1" t="s">
        <v>14</v>
      </c>
      <c r="G950">
        <v>0.5</v>
      </c>
      <c r="H950">
        <v>0</v>
      </c>
      <c r="I950">
        <v>0</v>
      </c>
      <c r="J950" s="1"/>
      <c r="K950" s="1" t="s">
        <v>344</v>
      </c>
    </row>
    <row r="951" spans="1:11" x14ac:dyDescent="0.25">
      <c r="A951" s="2">
        <v>45957.501018518517</v>
      </c>
      <c r="B951" s="1" t="s">
        <v>350</v>
      </c>
      <c r="C951" s="1" t="s">
        <v>363</v>
      </c>
      <c r="D951" s="1" t="s">
        <v>10</v>
      </c>
      <c r="E951" s="1" t="s">
        <v>11</v>
      </c>
      <c r="F951" s="1" t="s">
        <v>12</v>
      </c>
      <c r="G951">
        <v>10.5</v>
      </c>
      <c r="H951">
        <v>1</v>
      </c>
      <c r="I951">
        <v>0</v>
      </c>
      <c r="J951" s="1"/>
      <c r="K951" s="1" t="s">
        <v>340</v>
      </c>
    </row>
    <row r="952" spans="1:11" x14ac:dyDescent="0.25">
      <c r="A952" s="2">
        <v>45957.501018518517</v>
      </c>
      <c r="B952" s="1" t="s">
        <v>350</v>
      </c>
      <c r="C952" s="1" t="s">
        <v>363</v>
      </c>
      <c r="D952" s="1" t="s">
        <v>10</v>
      </c>
      <c r="E952" s="1" t="s">
        <v>11</v>
      </c>
      <c r="F952" s="1" t="s">
        <v>12</v>
      </c>
      <c r="G952">
        <v>10.5</v>
      </c>
      <c r="H952">
        <v>1</v>
      </c>
      <c r="I952">
        <v>0</v>
      </c>
      <c r="J952" s="1"/>
      <c r="K952" s="1" t="s">
        <v>343</v>
      </c>
    </row>
    <row r="953" spans="1:11" x14ac:dyDescent="0.25">
      <c r="A953" s="2">
        <v>45957.51059027778</v>
      </c>
      <c r="B953" s="1" t="s">
        <v>350</v>
      </c>
      <c r="C953" s="1" t="s">
        <v>363</v>
      </c>
      <c r="D953" s="1" t="s">
        <v>10</v>
      </c>
      <c r="E953" s="1" t="s">
        <v>11</v>
      </c>
      <c r="F953" s="1" t="s">
        <v>12</v>
      </c>
      <c r="G953">
        <v>10.5</v>
      </c>
      <c r="H953">
        <v>0</v>
      </c>
      <c r="I953">
        <v>0</v>
      </c>
      <c r="J953" s="1"/>
      <c r="K953" s="1" t="s">
        <v>340</v>
      </c>
    </row>
    <row r="954" spans="1:11" x14ac:dyDescent="0.25">
      <c r="A954" s="2">
        <v>45957.525300925925</v>
      </c>
      <c r="B954" s="1" t="s">
        <v>350</v>
      </c>
      <c r="C954" s="1" t="s">
        <v>363</v>
      </c>
      <c r="D954" s="1" t="s">
        <v>10</v>
      </c>
      <c r="E954" s="1" t="s">
        <v>11</v>
      </c>
      <c r="F954" s="1" t="s">
        <v>12</v>
      </c>
      <c r="G954">
        <v>10.5</v>
      </c>
      <c r="H954">
        <v>0</v>
      </c>
      <c r="I954">
        <v>0</v>
      </c>
      <c r="J954" s="1"/>
      <c r="K954" s="1" t="s">
        <v>343</v>
      </c>
    </row>
    <row r="955" spans="1:11" x14ac:dyDescent="0.25">
      <c r="A955" s="2">
        <v>45957.525300925925</v>
      </c>
      <c r="B955" s="1" t="s">
        <v>350</v>
      </c>
      <c r="C955" s="1" t="s">
        <v>363</v>
      </c>
      <c r="D955" s="1" t="s">
        <v>10</v>
      </c>
      <c r="E955" s="1" t="s">
        <v>11</v>
      </c>
      <c r="F955" s="1" t="s">
        <v>12</v>
      </c>
      <c r="G955">
        <v>10.5</v>
      </c>
      <c r="H955">
        <v>0</v>
      </c>
      <c r="I955">
        <v>0</v>
      </c>
      <c r="J955" s="1"/>
      <c r="K955" s="1" t="s">
        <v>344</v>
      </c>
    </row>
    <row r="956" spans="1:11" x14ac:dyDescent="0.25">
      <c r="A956" s="2">
        <v>45957.583518518521</v>
      </c>
      <c r="B956" s="1" t="s">
        <v>348</v>
      </c>
      <c r="C956" s="1" t="s">
        <v>363</v>
      </c>
      <c r="D956" s="1" t="s">
        <v>10</v>
      </c>
      <c r="E956" s="1" t="s">
        <v>11</v>
      </c>
      <c r="F956" s="1" t="s">
        <v>14</v>
      </c>
      <c r="G956">
        <v>0.5</v>
      </c>
      <c r="H956">
        <v>0</v>
      </c>
      <c r="I956">
        <v>0</v>
      </c>
      <c r="J956" s="1"/>
      <c r="K956" s="1" t="s">
        <v>341</v>
      </c>
    </row>
    <row r="957" spans="1:11" x14ac:dyDescent="0.25">
      <c r="A957" s="2">
        <v>45957.583611111113</v>
      </c>
      <c r="B957" s="1" t="s">
        <v>348</v>
      </c>
      <c r="C957" s="1" t="s">
        <v>363</v>
      </c>
      <c r="D957" s="1" t="s">
        <v>10</v>
      </c>
      <c r="E957" s="1" t="s">
        <v>11</v>
      </c>
      <c r="F957" s="1" t="s">
        <v>14</v>
      </c>
      <c r="G957">
        <v>0.5</v>
      </c>
      <c r="H957">
        <v>0</v>
      </c>
      <c r="I957">
        <v>0</v>
      </c>
      <c r="J957" s="1" t="s">
        <v>221</v>
      </c>
      <c r="K957" s="1" t="s">
        <v>345</v>
      </c>
    </row>
    <row r="958" spans="1:11" x14ac:dyDescent="0.25">
      <c r="A958" s="2">
        <v>45957.583668981482</v>
      </c>
      <c r="B958" s="1" t="s">
        <v>348</v>
      </c>
      <c r="C958" s="1" t="s">
        <v>363</v>
      </c>
      <c r="D958" s="1" t="s">
        <v>10</v>
      </c>
      <c r="E958" s="1" t="s">
        <v>11</v>
      </c>
      <c r="F958" s="1" t="s">
        <v>14</v>
      </c>
      <c r="G958">
        <v>0.5</v>
      </c>
      <c r="H958">
        <v>0</v>
      </c>
      <c r="I958">
        <v>0</v>
      </c>
      <c r="J958" s="1"/>
      <c r="K958" s="1" t="s">
        <v>344</v>
      </c>
    </row>
    <row r="959" spans="1:11" x14ac:dyDescent="0.25">
      <c r="A959" s="2">
        <v>45957.625717592593</v>
      </c>
      <c r="B959" s="1" t="s">
        <v>349</v>
      </c>
      <c r="C959" s="1" t="s">
        <v>363</v>
      </c>
      <c r="D959" s="1" t="s">
        <v>10</v>
      </c>
      <c r="E959" s="1" t="s">
        <v>11</v>
      </c>
      <c r="F959" s="1" t="s">
        <v>15</v>
      </c>
      <c r="G959">
        <v>3</v>
      </c>
      <c r="H959">
        <v>0</v>
      </c>
      <c r="I959">
        <v>0</v>
      </c>
      <c r="J959" s="1"/>
      <c r="K959" s="1" t="s">
        <v>340</v>
      </c>
    </row>
    <row r="960" spans="1:11" x14ac:dyDescent="0.25">
      <c r="A960" s="2">
        <v>45957.626099537039</v>
      </c>
      <c r="B960" s="1" t="s">
        <v>349</v>
      </c>
      <c r="C960" s="1" t="s">
        <v>363</v>
      </c>
      <c r="D960" s="1" t="s">
        <v>10</v>
      </c>
      <c r="E960" s="1" t="s">
        <v>11</v>
      </c>
      <c r="F960" s="1" t="s">
        <v>12</v>
      </c>
      <c r="G960">
        <v>10.5</v>
      </c>
      <c r="H960">
        <v>0</v>
      </c>
      <c r="I960">
        <v>0</v>
      </c>
      <c r="J960" s="1"/>
      <c r="K960" s="1" t="s">
        <v>340</v>
      </c>
    </row>
    <row r="961" spans="1:11" x14ac:dyDescent="0.25">
      <c r="A961" s="2">
        <v>45957.638483796298</v>
      </c>
      <c r="B961" s="1" t="s">
        <v>349</v>
      </c>
      <c r="C961" s="1" t="s">
        <v>363</v>
      </c>
      <c r="D961" s="1" t="s">
        <v>10</v>
      </c>
      <c r="E961" s="1" t="s">
        <v>11</v>
      </c>
      <c r="F961" s="1" t="s">
        <v>14</v>
      </c>
      <c r="G961">
        <v>0.5</v>
      </c>
      <c r="H961">
        <v>0</v>
      </c>
      <c r="I961">
        <v>0</v>
      </c>
      <c r="J961" s="1"/>
      <c r="K961" s="1" t="s">
        <v>344</v>
      </c>
    </row>
    <row r="962" spans="1:11" x14ac:dyDescent="0.25">
      <c r="A962" s="2">
        <v>45957.64770833333</v>
      </c>
      <c r="B962" s="1" t="s">
        <v>349</v>
      </c>
      <c r="C962" s="1" t="s">
        <v>363</v>
      </c>
      <c r="D962" s="1" t="s">
        <v>10</v>
      </c>
      <c r="E962" s="1" t="s">
        <v>11</v>
      </c>
      <c r="F962" s="1" t="s">
        <v>14</v>
      </c>
      <c r="G962">
        <v>0.5</v>
      </c>
      <c r="H962">
        <v>0</v>
      </c>
      <c r="I962">
        <v>0</v>
      </c>
      <c r="J962" s="1"/>
      <c r="K962" s="1" t="s">
        <v>342</v>
      </c>
    </row>
    <row r="963" spans="1:11" x14ac:dyDescent="0.25">
      <c r="A963" s="2">
        <v>45957.647812499999</v>
      </c>
      <c r="B963" s="1" t="s">
        <v>349</v>
      </c>
      <c r="C963" s="1" t="s">
        <v>363</v>
      </c>
      <c r="D963" s="1" t="s">
        <v>10</v>
      </c>
      <c r="E963" s="1" t="s">
        <v>11</v>
      </c>
      <c r="F963" s="1" t="s">
        <v>12</v>
      </c>
      <c r="G963">
        <v>10.5</v>
      </c>
      <c r="H963">
        <v>0</v>
      </c>
      <c r="I963">
        <v>0</v>
      </c>
      <c r="J963" s="1"/>
      <c r="K963" s="1" t="s">
        <v>336</v>
      </c>
    </row>
    <row r="964" spans="1:11" x14ac:dyDescent="0.25">
      <c r="A964" s="2">
        <v>45957.647812499999</v>
      </c>
      <c r="B964" s="1" t="s">
        <v>349</v>
      </c>
      <c r="C964" s="1" t="s">
        <v>363</v>
      </c>
      <c r="D964" s="1" t="s">
        <v>10</v>
      </c>
      <c r="E964" s="1" t="s">
        <v>11</v>
      </c>
      <c r="F964" s="1" t="s">
        <v>12</v>
      </c>
      <c r="G964">
        <v>10.5</v>
      </c>
      <c r="H964">
        <v>0</v>
      </c>
      <c r="I964">
        <v>0</v>
      </c>
      <c r="J964" s="1"/>
      <c r="K964" s="1" t="s">
        <v>340</v>
      </c>
    </row>
    <row r="965" spans="1:11" x14ac:dyDescent="0.25">
      <c r="A965" s="2">
        <v>45957.647812499999</v>
      </c>
      <c r="B965" s="1" t="s">
        <v>349</v>
      </c>
      <c r="C965" s="1" t="s">
        <v>363</v>
      </c>
      <c r="D965" s="1" t="s">
        <v>10</v>
      </c>
      <c r="E965" s="1" t="s">
        <v>11</v>
      </c>
      <c r="F965" s="1" t="s">
        <v>12</v>
      </c>
      <c r="G965">
        <v>10.5</v>
      </c>
      <c r="H965">
        <v>0</v>
      </c>
      <c r="I965">
        <v>0</v>
      </c>
      <c r="J965" s="1"/>
      <c r="K965" s="1" t="s">
        <v>343</v>
      </c>
    </row>
    <row r="966" spans="1:11" x14ac:dyDescent="0.25">
      <c r="A966" s="2">
        <v>45957.649918981479</v>
      </c>
      <c r="B966" s="1" t="s">
        <v>349</v>
      </c>
      <c r="C966" s="1" t="s">
        <v>363</v>
      </c>
      <c r="D966" s="1" t="s">
        <v>10</v>
      </c>
      <c r="E966" s="1" t="s">
        <v>11</v>
      </c>
      <c r="F966" s="1" t="s">
        <v>15</v>
      </c>
      <c r="G966">
        <v>3</v>
      </c>
      <c r="H966">
        <v>0</v>
      </c>
      <c r="I966">
        <v>0</v>
      </c>
      <c r="J966" s="1"/>
      <c r="K966" s="1" t="s">
        <v>341</v>
      </c>
    </row>
    <row r="967" spans="1:11" x14ac:dyDescent="0.25">
      <c r="A967" s="2">
        <v>45957.655405092592</v>
      </c>
      <c r="B967" s="1" t="s">
        <v>349</v>
      </c>
      <c r="C967" s="1" t="s">
        <v>363</v>
      </c>
      <c r="D967" s="1" t="s">
        <v>10</v>
      </c>
      <c r="E967" s="1" t="s">
        <v>11</v>
      </c>
      <c r="F967" s="1" t="s">
        <v>15</v>
      </c>
      <c r="G967">
        <v>3</v>
      </c>
      <c r="H967">
        <v>0</v>
      </c>
      <c r="I967">
        <v>0</v>
      </c>
      <c r="J967" s="1"/>
      <c r="K967" s="1" t="s">
        <v>342</v>
      </c>
    </row>
    <row r="968" spans="1:11" x14ac:dyDescent="0.25">
      <c r="A968" s="2">
        <v>45957.65556712963</v>
      </c>
      <c r="B968" s="1" t="s">
        <v>349</v>
      </c>
      <c r="C968" s="1" t="s">
        <v>363</v>
      </c>
      <c r="D968" s="1" t="s">
        <v>10</v>
      </c>
      <c r="E968" s="1" t="s">
        <v>11</v>
      </c>
      <c r="F968" s="1" t="s">
        <v>14</v>
      </c>
      <c r="G968">
        <v>0.5</v>
      </c>
      <c r="H968">
        <v>0</v>
      </c>
      <c r="I968">
        <v>0</v>
      </c>
      <c r="J968" s="1" t="s">
        <v>222</v>
      </c>
      <c r="K968" s="1" t="s">
        <v>345</v>
      </c>
    </row>
    <row r="969" spans="1:11" x14ac:dyDescent="0.25">
      <c r="A969" s="2">
        <v>45957.655636574076</v>
      </c>
      <c r="B969" s="1" t="s">
        <v>349</v>
      </c>
      <c r="C969" s="1" t="s">
        <v>363</v>
      </c>
      <c r="D969" s="1" t="s">
        <v>20</v>
      </c>
      <c r="E969" s="1" t="s">
        <v>11</v>
      </c>
      <c r="F969" s="1" t="s">
        <v>15</v>
      </c>
      <c r="G969">
        <v>3</v>
      </c>
      <c r="H969">
        <v>0</v>
      </c>
      <c r="I969">
        <v>0</v>
      </c>
      <c r="J969" s="1"/>
      <c r="K969" s="1" t="s">
        <v>340</v>
      </c>
    </row>
    <row r="970" spans="1:11" x14ac:dyDescent="0.25">
      <c r="A970" s="2">
        <v>45957.655775462961</v>
      </c>
      <c r="B970" s="1" t="s">
        <v>349</v>
      </c>
      <c r="C970" s="1" t="s">
        <v>363</v>
      </c>
      <c r="D970" s="1" t="s">
        <v>20</v>
      </c>
      <c r="E970" s="1" t="s">
        <v>11</v>
      </c>
      <c r="F970" s="1" t="s">
        <v>15</v>
      </c>
      <c r="G970">
        <v>3</v>
      </c>
      <c r="H970">
        <v>0</v>
      </c>
      <c r="I970">
        <v>0</v>
      </c>
      <c r="J970" s="1"/>
      <c r="K970" s="1" t="s">
        <v>344</v>
      </c>
    </row>
    <row r="971" spans="1:11" x14ac:dyDescent="0.25">
      <c r="A971" s="2">
        <v>45957.661932870367</v>
      </c>
      <c r="B971" s="1" t="s">
        <v>349</v>
      </c>
      <c r="C971" s="1" t="s">
        <v>363</v>
      </c>
      <c r="D971" s="1" t="s">
        <v>10</v>
      </c>
      <c r="E971" s="1" t="s">
        <v>11</v>
      </c>
      <c r="F971" s="1" t="s">
        <v>15</v>
      </c>
      <c r="G971">
        <v>3</v>
      </c>
      <c r="H971">
        <v>0</v>
      </c>
      <c r="I971">
        <v>0</v>
      </c>
      <c r="J971" s="1"/>
      <c r="K971" s="1" t="s">
        <v>106</v>
      </c>
    </row>
    <row r="972" spans="1:11" x14ac:dyDescent="0.25">
      <c r="A972" s="2">
        <v>45957.684467592589</v>
      </c>
      <c r="B972" s="1" t="s">
        <v>353</v>
      </c>
      <c r="C972" s="1" t="s">
        <v>363</v>
      </c>
      <c r="D972" s="1" t="s">
        <v>10</v>
      </c>
      <c r="E972" s="1" t="s">
        <v>11</v>
      </c>
      <c r="F972" s="1" t="s">
        <v>14</v>
      </c>
      <c r="G972">
        <v>0.5</v>
      </c>
      <c r="H972">
        <v>0</v>
      </c>
      <c r="I972">
        <v>0</v>
      </c>
      <c r="J972" s="1" t="s">
        <v>223</v>
      </c>
      <c r="K972" s="1" t="s">
        <v>337</v>
      </c>
    </row>
    <row r="973" spans="1:11" x14ac:dyDescent="0.25">
      <c r="A973" s="2">
        <v>45957.748599537037</v>
      </c>
      <c r="B973" s="1" t="s">
        <v>355</v>
      </c>
      <c r="C973" s="1" t="s">
        <v>363</v>
      </c>
      <c r="D973" s="1" t="s">
        <v>10</v>
      </c>
      <c r="E973" s="1" t="s">
        <v>11</v>
      </c>
      <c r="F973" s="1" t="s">
        <v>18</v>
      </c>
      <c r="G973">
        <v>20</v>
      </c>
      <c r="H973">
        <v>0</v>
      </c>
      <c r="I973">
        <v>0</v>
      </c>
      <c r="J973" s="1"/>
      <c r="K973" s="1" t="s">
        <v>340</v>
      </c>
    </row>
    <row r="974" spans="1:11" x14ac:dyDescent="0.25">
      <c r="A974" s="2">
        <v>45957.748680555553</v>
      </c>
      <c r="B974" s="1" t="s">
        <v>355</v>
      </c>
      <c r="C974" s="1" t="s">
        <v>363</v>
      </c>
      <c r="D974" s="1" t="s">
        <v>10</v>
      </c>
      <c r="E974" s="1" t="s">
        <v>11</v>
      </c>
      <c r="F974" s="1" t="s">
        <v>12</v>
      </c>
      <c r="G974">
        <v>10.5</v>
      </c>
      <c r="H974">
        <v>0</v>
      </c>
      <c r="I974">
        <v>0</v>
      </c>
      <c r="J974" s="1"/>
      <c r="K974" s="1" t="s">
        <v>340</v>
      </c>
    </row>
    <row r="975" spans="1:11" x14ac:dyDescent="0.25">
      <c r="A975" s="2">
        <v>45957.748807870368</v>
      </c>
      <c r="B975" s="1" t="s">
        <v>355</v>
      </c>
      <c r="C975" s="1" t="s">
        <v>363</v>
      </c>
      <c r="D975" s="1" t="s">
        <v>20</v>
      </c>
      <c r="E975" s="1" t="s">
        <v>11</v>
      </c>
      <c r="F975" s="1" t="s">
        <v>15</v>
      </c>
      <c r="G975">
        <v>3</v>
      </c>
      <c r="H975">
        <v>0</v>
      </c>
      <c r="I975">
        <v>0</v>
      </c>
      <c r="J975" s="1"/>
      <c r="K975" s="1" t="s">
        <v>340</v>
      </c>
    </row>
    <row r="976" spans="1:11" x14ac:dyDescent="0.25">
      <c r="A976" s="2">
        <v>45957.748969907407</v>
      </c>
      <c r="B976" s="1" t="s">
        <v>355</v>
      </c>
      <c r="C976" s="1" t="s">
        <v>363</v>
      </c>
      <c r="D976" s="1" t="s">
        <v>10</v>
      </c>
      <c r="E976" s="1" t="s">
        <v>11</v>
      </c>
      <c r="F976" s="1" t="s">
        <v>15</v>
      </c>
      <c r="G976">
        <v>3</v>
      </c>
      <c r="H976">
        <v>1</v>
      </c>
      <c r="I976">
        <v>0</v>
      </c>
      <c r="J976" s="1"/>
      <c r="K976" s="1" t="s">
        <v>337</v>
      </c>
    </row>
    <row r="977" spans="1:11" x14ac:dyDescent="0.25">
      <c r="A977" s="2">
        <v>45957.749050925922</v>
      </c>
      <c r="B977" s="1" t="s">
        <v>355</v>
      </c>
      <c r="C977" s="1" t="s">
        <v>363</v>
      </c>
      <c r="D977" s="1" t="s">
        <v>10</v>
      </c>
      <c r="E977" s="1" t="s">
        <v>11</v>
      </c>
      <c r="F977" s="1" t="s">
        <v>15</v>
      </c>
      <c r="G977">
        <v>3</v>
      </c>
      <c r="H977">
        <v>0</v>
      </c>
      <c r="I977">
        <v>0</v>
      </c>
      <c r="J977" s="1"/>
      <c r="K977" s="1" t="s">
        <v>343</v>
      </c>
    </row>
    <row r="978" spans="1:11" x14ac:dyDescent="0.25">
      <c r="A978" s="2">
        <v>45957.749259259261</v>
      </c>
      <c r="B978" s="1" t="s">
        <v>355</v>
      </c>
      <c r="C978" s="1" t="s">
        <v>363</v>
      </c>
      <c r="D978" s="1" t="s">
        <v>10</v>
      </c>
      <c r="E978" s="1" t="s">
        <v>11</v>
      </c>
      <c r="F978" s="1" t="s">
        <v>12</v>
      </c>
      <c r="G978">
        <v>10.5</v>
      </c>
      <c r="H978">
        <v>0</v>
      </c>
      <c r="I978">
        <v>0</v>
      </c>
      <c r="J978" s="1"/>
      <c r="K978" s="1" t="s">
        <v>337</v>
      </c>
    </row>
    <row r="979" spans="1:11" x14ac:dyDescent="0.25">
      <c r="A979" s="2">
        <v>45958.402233796296</v>
      </c>
      <c r="B979" s="1" t="s">
        <v>352</v>
      </c>
      <c r="C979" s="1" t="s">
        <v>358</v>
      </c>
      <c r="D979" s="1" t="s">
        <v>10</v>
      </c>
      <c r="E979" s="1" t="s">
        <v>17</v>
      </c>
      <c r="F979" s="1" t="s">
        <v>14</v>
      </c>
      <c r="G979">
        <v>0.5</v>
      </c>
      <c r="H979">
        <v>0</v>
      </c>
      <c r="I979">
        <v>0</v>
      </c>
      <c r="J979" s="1" t="s">
        <v>224</v>
      </c>
      <c r="K979" s="1" t="s">
        <v>344</v>
      </c>
    </row>
    <row r="980" spans="1:11" x14ac:dyDescent="0.25">
      <c r="A980" s="2">
        <v>45958.495532407411</v>
      </c>
      <c r="B980" s="1" t="s">
        <v>354</v>
      </c>
      <c r="C980" s="1" t="s">
        <v>358</v>
      </c>
      <c r="D980" s="1" t="s">
        <v>10</v>
      </c>
      <c r="E980" s="1" t="s">
        <v>11</v>
      </c>
      <c r="F980" s="1" t="s">
        <v>15</v>
      </c>
      <c r="G980">
        <v>3</v>
      </c>
      <c r="H980">
        <v>0</v>
      </c>
      <c r="I980">
        <v>0</v>
      </c>
      <c r="J980" s="1"/>
      <c r="K980" s="1" t="s">
        <v>341</v>
      </c>
    </row>
    <row r="981" spans="1:11" x14ac:dyDescent="0.25">
      <c r="A981" s="2">
        <v>45958.496018518519</v>
      </c>
      <c r="B981" s="1" t="s">
        <v>354</v>
      </c>
      <c r="C981" s="1" t="s">
        <v>358</v>
      </c>
      <c r="D981" s="1" t="s">
        <v>10</v>
      </c>
      <c r="E981" s="1" t="s">
        <v>11</v>
      </c>
      <c r="F981" s="1" t="s">
        <v>12</v>
      </c>
      <c r="G981">
        <v>10.5</v>
      </c>
      <c r="H981">
        <v>0</v>
      </c>
      <c r="I981">
        <v>0</v>
      </c>
      <c r="J981" s="1" t="s">
        <v>225</v>
      </c>
      <c r="K981" s="1" t="s">
        <v>340</v>
      </c>
    </row>
    <row r="982" spans="1:11" x14ac:dyDescent="0.25">
      <c r="A982" s="2">
        <v>45958.548032407409</v>
      </c>
      <c r="B982" s="1" t="s">
        <v>351</v>
      </c>
      <c r="C982" s="1" t="s">
        <v>358</v>
      </c>
      <c r="D982" s="1" t="s">
        <v>10</v>
      </c>
      <c r="E982" s="1" t="s">
        <v>11</v>
      </c>
      <c r="F982" s="1" t="s">
        <v>12</v>
      </c>
      <c r="G982">
        <v>10.5</v>
      </c>
      <c r="H982">
        <v>0</v>
      </c>
      <c r="I982">
        <v>0</v>
      </c>
      <c r="J982" s="1"/>
      <c r="K982" s="1" t="s">
        <v>342</v>
      </c>
    </row>
    <row r="983" spans="1:11" x14ac:dyDescent="0.25">
      <c r="A983" s="2">
        <v>45958.565613425926</v>
      </c>
      <c r="B983" s="1" t="s">
        <v>351</v>
      </c>
      <c r="C983" s="1" t="s">
        <v>358</v>
      </c>
      <c r="D983" s="1" t="s">
        <v>10</v>
      </c>
      <c r="E983" s="1" t="s">
        <v>11</v>
      </c>
      <c r="F983" s="1" t="s">
        <v>14</v>
      </c>
      <c r="G983">
        <v>0.5</v>
      </c>
      <c r="H983">
        <v>0</v>
      </c>
      <c r="I983">
        <v>0</v>
      </c>
      <c r="J983" s="1"/>
      <c r="K983" s="1" t="s">
        <v>344</v>
      </c>
    </row>
    <row r="984" spans="1:11" x14ac:dyDescent="0.25">
      <c r="A984" s="2">
        <v>45958.58053240741</v>
      </c>
      <c r="B984" s="1" t="s">
        <v>351</v>
      </c>
      <c r="C984" s="1" t="s">
        <v>358</v>
      </c>
      <c r="D984" s="1" t="s">
        <v>10</v>
      </c>
      <c r="E984" s="1" t="s">
        <v>11</v>
      </c>
      <c r="F984" s="1" t="s">
        <v>14</v>
      </c>
      <c r="G984">
        <v>0.5</v>
      </c>
      <c r="H984">
        <v>0</v>
      </c>
      <c r="I984">
        <v>0</v>
      </c>
      <c r="J984" s="1" t="s">
        <v>226</v>
      </c>
      <c r="K984" s="1" t="s">
        <v>340</v>
      </c>
    </row>
    <row r="985" spans="1:11" x14ac:dyDescent="0.25">
      <c r="A985" s="2">
        <v>45958.580752314818</v>
      </c>
      <c r="B985" s="1" t="s">
        <v>351</v>
      </c>
      <c r="C985" s="1" t="s">
        <v>358</v>
      </c>
      <c r="D985" s="1" t="s">
        <v>10</v>
      </c>
      <c r="E985" s="1" t="s">
        <v>11</v>
      </c>
      <c r="F985" s="1" t="s">
        <v>15</v>
      </c>
      <c r="G985">
        <v>3</v>
      </c>
      <c r="H985">
        <v>0</v>
      </c>
      <c r="I985">
        <v>0</v>
      </c>
      <c r="J985" s="1"/>
      <c r="K985" s="1" t="s">
        <v>341</v>
      </c>
    </row>
    <row r="986" spans="1:11" x14ac:dyDescent="0.25">
      <c r="A986" s="2">
        <v>45958.592152777775</v>
      </c>
      <c r="B986" s="1" t="s">
        <v>348</v>
      </c>
      <c r="C986" s="1" t="s">
        <v>358</v>
      </c>
      <c r="D986" s="1" t="s">
        <v>10</v>
      </c>
      <c r="E986" s="1" t="s">
        <v>11</v>
      </c>
      <c r="F986" s="1" t="s">
        <v>15</v>
      </c>
      <c r="G986">
        <v>3</v>
      </c>
      <c r="H986">
        <v>0</v>
      </c>
      <c r="I986">
        <v>0</v>
      </c>
      <c r="J986" s="1" t="s">
        <v>227</v>
      </c>
      <c r="K986" s="1" t="s">
        <v>345</v>
      </c>
    </row>
    <row r="987" spans="1:11" x14ac:dyDescent="0.25">
      <c r="A987" s="2">
        <v>45958.592245370368</v>
      </c>
      <c r="B987" s="1" t="s">
        <v>348</v>
      </c>
      <c r="C987" s="1" t="s">
        <v>358</v>
      </c>
      <c r="D987" s="1" t="s">
        <v>10</v>
      </c>
      <c r="E987" s="1" t="s">
        <v>11</v>
      </c>
      <c r="F987" s="1" t="s">
        <v>15</v>
      </c>
      <c r="G987">
        <v>3</v>
      </c>
      <c r="H987">
        <v>0</v>
      </c>
      <c r="I987">
        <v>0</v>
      </c>
      <c r="J987" s="1"/>
      <c r="K987" s="1" t="s">
        <v>341</v>
      </c>
    </row>
    <row r="988" spans="1:11" x14ac:dyDescent="0.25">
      <c r="A988" s="2">
        <v>45958.592488425929</v>
      </c>
      <c r="B988" s="1" t="s">
        <v>348</v>
      </c>
      <c r="C988" s="1" t="s">
        <v>358</v>
      </c>
      <c r="D988" s="1" t="s">
        <v>10</v>
      </c>
      <c r="E988" s="1" t="s">
        <v>11</v>
      </c>
      <c r="F988" s="1" t="s">
        <v>14</v>
      </c>
      <c r="G988">
        <v>0.5</v>
      </c>
      <c r="H988">
        <v>0</v>
      </c>
      <c r="I988">
        <v>0</v>
      </c>
      <c r="J988" s="1"/>
      <c r="K988" s="1" t="s">
        <v>344</v>
      </c>
    </row>
    <row r="989" spans="1:11" x14ac:dyDescent="0.25">
      <c r="A989" s="2">
        <v>45958.597361111111</v>
      </c>
      <c r="B989" s="1" t="s">
        <v>348</v>
      </c>
      <c r="C989" s="1" t="s">
        <v>358</v>
      </c>
      <c r="D989" s="1" t="s">
        <v>10</v>
      </c>
      <c r="E989" s="1" t="s">
        <v>11</v>
      </c>
      <c r="F989" s="1" t="s">
        <v>14</v>
      </c>
      <c r="G989">
        <v>0.5</v>
      </c>
      <c r="H989">
        <v>0</v>
      </c>
      <c r="I989">
        <v>0</v>
      </c>
      <c r="J989" s="1"/>
      <c r="K989" s="1" t="s">
        <v>344</v>
      </c>
    </row>
    <row r="990" spans="1:11" x14ac:dyDescent="0.25">
      <c r="A990" s="2">
        <v>45958.623263888891</v>
      </c>
      <c r="B990" s="1" t="s">
        <v>348</v>
      </c>
      <c r="C990" s="1" t="s">
        <v>358</v>
      </c>
      <c r="D990" s="1" t="s">
        <v>10</v>
      </c>
      <c r="E990" s="1" t="s">
        <v>11</v>
      </c>
      <c r="F990" s="1" t="s">
        <v>14</v>
      </c>
      <c r="G990">
        <v>0.5</v>
      </c>
      <c r="H990">
        <v>0</v>
      </c>
      <c r="I990">
        <v>0</v>
      </c>
      <c r="J990" s="1" t="s">
        <v>228</v>
      </c>
      <c r="K990" s="1" t="s">
        <v>345</v>
      </c>
    </row>
    <row r="991" spans="1:11" x14ac:dyDescent="0.25">
      <c r="A991" s="2">
        <v>45958.669560185182</v>
      </c>
      <c r="B991" s="1" t="s">
        <v>353</v>
      </c>
      <c r="C991" s="1" t="s">
        <v>358</v>
      </c>
      <c r="D991" s="1" t="s">
        <v>10</v>
      </c>
      <c r="E991" s="1" t="s">
        <v>11</v>
      </c>
      <c r="F991" s="1" t="s">
        <v>15</v>
      </c>
      <c r="G991">
        <v>3</v>
      </c>
      <c r="H991">
        <v>1</v>
      </c>
      <c r="I991">
        <v>0</v>
      </c>
      <c r="J991" s="1"/>
      <c r="K991" s="1" t="s">
        <v>336</v>
      </c>
    </row>
    <row r="992" spans="1:11" x14ac:dyDescent="0.25">
      <c r="A992" s="2">
        <v>45958.670173611114</v>
      </c>
      <c r="B992" s="1" t="s">
        <v>353</v>
      </c>
      <c r="C992" s="1" t="s">
        <v>358</v>
      </c>
      <c r="D992" s="1" t="s">
        <v>10</v>
      </c>
      <c r="E992" s="1" t="s">
        <v>11</v>
      </c>
      <c r="F992" s="1" t="s">
        <v>15</v>
      </c>
      <c r="G992">
        <v>3</v>
      </c>
      <c r="H992">
        <v>0</v>
      </c>
      <c r="I992">
        <v>0</v>
      </c>
      <c r="J992" s="1" t="s">
        <v>229</v>
      </c>
      <c r="K992" s="1" t="s">
        <v>345</v>
      </c>
    </row>
    <row r="993" spans="1:11" x14ac:dyDescent="0.25">
      <c r="A993" s="2">
        <v>45959.383900462963</v>
      </c>
      <c r="B993" s="1" t="s">
        <v>352</v>
      </c>
      <c r="C993" s="1" t="s">
        <v>359</v>
      </c>
      <c r="D993" s="1" t="s">
        <v>10</v>
      </c>
      <c r="E993" s="1" t="s">
        <v>11</v>
      </c>
      <c r="F993" s="1" t="s">
        <v>12</v>
      </c>
      <c r="G993">
        <v>10.5</v>
      </c>
      <c r="H993">
        <v>1</v>
      </c>
      <c r="I993">
        <v>0</v>
      </c>
      <c r="J993" s="1"/>
      <c r="K993" s="1" t="s">
        <v>336</v>
      </c>
    </row>
    <row r="994" spans="1:11" x14ac:dyDescent="0.25">
      <c r="A994" s="2">
        <v>45959.391932870371</v>
      </c>
      <c r="B994" s="1" t="s">
        <v>352</v>
      </c>
      <c r="C994" s="1" t="s">
        <v>359</v>
      </c>
      <c r="D994" s="1" t="s">
        <v>10</v>
      </c>
      <c r="E994" s="1" t="s">
        <v>11</v>
      </c>
      <c r="F994" s="1" t="s">
        <v>15</v>
      </c>
      <c r="G994">
        <v>3</v>
      </c>
      <c r="H994">
        <v>0</v>
      </c>
      <c r="I994">
        <v>0</v>
      </c>
      <c r="J994" s="1"/>
      <c r="K994" s="1" t="s">
        <v>106</v>
      </c>
    </row>
    <row r="995" spans="1:11" x14ac:dyDescent="0.25">
      <c r="A995" s="2">
        <v>45959.527986111112</v>
      </c>
      <c r="B995" s="1" t="s">
        <v>350</v>
      </c>
      <c r="C995" s="1" t="s">
        <v>359</v>
      </c>
      <c r="D995" s="1" t="s">
        <v>10</v>
      </c>
      <c r="E995" s="1" t="s">
        <v>11</v>
      </c>
      <c r="F995" s="1" t="s">
        <v>12</v>
      </c>
      <c r="G995">
        <v>10.5</v>
      </c>
      <c r="H995">
        <v>1</v>
      </c>
      <c r="I995">
        <v>0</v>
      </c>
      <c r="J995" s="1"/>
      <c r="K995" s="1" t="s">
        <v>336</v>
      </c>
    </row>
    <row r="996" spans="1:11" x14ac:dyDescent="0.25">
      <c r="A996" s="2">
        <v>45959.534502314818</v>
      </c>
      <c r="B996" s="1" t="s">
        <v>350</v>
      </c>
      <c r="C996" s="1" t="s">
        <v>359</v>
      </c>
      <c r="D996" s="1" t="s">
        <v>10</v>
      </c>
      <c r="E996" s="1" t="s">
        <v>11</v>
      </c>
      <c r="F996" s="1" t="s">
        <v>12</v>
      </c>
      <c r="G996">
        <v>10.5</v>
      </c>
      <c r="H996">
        <v>0</v>
      </c>
      <c r="I996">
        <v>0</v>
      </c>
      <c r="J996" s="1"/>
      <c r="K996" s="1" t="s">
        <v>345</v>
      </c>
    </row>
    <row r="997" spans="1:11" x14ac:dyDescent="0.25">
      <c r="A997" s="2">
        <v>45959.540243055555</v>
      </c>
      <c r="B997" s="1" t="s">
        <v>350</v>
      </c>
      <c r="C997" s="1" t="s">
        <v>359</v>
      </c>
      <c r="D997" s="1" t="s">
        <v>10</v>
      </c>
      <c r="E997" s="1" t="s">
        <v>11</v>
      </c>
      <c r="F997" s="1" t="s">
        <v>14</v>
      </c>
      <c r="G997">
        <v>0.5</v>
      </c>
      <c r="H997">
        <v>0</v>
      </c>
      <c r="I997">
        <v>0</v>
      </c>
      <c r="J997" s="1"/>
      <c r="K997" s="1" t="s">
        <v>344</v>
      </c>
    </row>
    <row r="998" spans="1:11" x14ac:dyDescent="0.25">
      <c r="A998" s="2">
        <v>45959.57267361111</v>
      </c>
      <c r="B998" s="1" t="s">
        <v>351</v>
      </c>
      <c r="C998" s="1" t="s">
        <v>359</v>
      </c>
      <c r="D998" s="1" t="s">
        <v>10</v>
      </c>
      <c r="E998" s="1" t="s">
        <v>11</v>
      </c>
      <c r="F998" s="1" t="s">
        <v>12</v>
      </c>
      <c r="G998">
        <v>10.5</v>
      </c>
      <c r="H998">
        <v>0</v>
      </c>
      <c r="I998">
        <v>0</v>
      </c>
      <c r="J998" s="1"/>
      <c r="K998" s="1" t="s">
        <v>340</v>
      </c>
    </row>
    <row r="999" spans="1:11" x14ac:dyDescent="0.25">
      <c r="A999" s="2">
        <v>45959.602303240739</v>
      </c>
      <c r="B999" s="1" t="s">
        <v>348</v>
      </c>
      <c r="C999" s="1" t="s">
        <v>359</v>
      </c>
      <c r="D999" s="1" t="s">
        <v>10</v>
      </c>
      <c r="E999" s="1" t="s">
        <v>11</v>
      </c>
      <c r="F999" s="1" t="s">
        <v>15</v>
      </c>
      <c r="G999">
        <v>3</v>
      </c>
      <c r="H999">
        <v>0</v>
      </c>
      <c r="I999">
        <v>0</v>
      </c>
      <c r="J999" s="1"/>
      <c r="K999" s="1" t="s">
        <v>344</v>
      </c>
    </row>
    <row r="1000" spans="1:11" x14ac:dyDescent="0.25">
      <c r="A1000" s="2">
        <v>45959.602523148147</v>
      </c>
      <c r="B1000" s="1" t="s">
        <v>348</v>
      </c>
      <c r="C1000" s="1" t="s">
        <v>359</v>
      </c>
      <c r="D1000" s="1" t="s">
        <v>10</v>
      </c>
      <c r="E1000" s="1" t="s">
        <v>11</v>
      </c>
      <c r="F1000" s="1" t="s">
        <v>14</v>
      </c>
      <c r="G1000">
        <v>0.5</v>
      </c>
      <c r="H1000">
        <v>0</v>
      </c>
      <c r="I1000">
        <v>0</v>
      </c>
      <c r="J1000" s="1"/>
      <c r="K1000" s="1" t="s">
        <v>342</v>
      </c>
    </row>
    <row r="1001" spans="1:11" x14ac:dyDescent="0.25">
      <c r="A1001" s="2">
        <v>45959.602523148147</v>
      </c>
      <c r="B1001" s="1" t="s">
        <v>348</v>
      </c>
      <c r="C1001" s="1" t="s">
        <v>359</v>
      </c>
      <c r="D1001" s="1" t="s">
        <v>10</v>
      </c>
      <c r="E1001" s="1" t="s">
        <v>11</v>
      </c>
      <c r="F1001" s="1" t="s">
        <v>14</v>
      </c>
      <c r="G1001">
        <v>0.5</v>
      </c>
      <c r="H1001">
        <v>0</v>
      </c>
      <c r="I1001">
        <v>0</v>
      </c>
      <c r="J1001" s="1"/>
      <c r="K1001" s="1" t="s">
        <v>343</v>
      </c>
    </row>
    <row r="1002" spans="1:11" x14ac:dyDescent="0.25">
      <c r="A1002" s="2">
        <v>45959.720821759256</v>
      </c>
      <c r="B1002" s="1" t="s">
        <v>355</v>
      </c>
      <c r="C1002" s="1" t="s">
        <v>359</v>
      </c>
      <c r="D1002" s="1" t="s">
        <v>10</v>
      </c>
      <c r="E1002" s="1" t="s">
        <v>11</v>
      </c>
      <c r="F1002" s="1" t="s">
        <v>15</v>
      </c>
      <c r="G1002">
        <v>3</v>
      </c>
      <c r="H1002">
        <v>0</v>
      </c>
      <c r="I1002">
        <v>0</v>
      </c>
      <c r="J1002" s="1"/>
      <c r="K1002" s="1" t="s">
        <v>340</v>
      </c>
    </row>
    <row r="1003" spans="1:11" x14ac:dyDescent="0.25">
      <c r="A1003" s="2">
        <v>45959.720891203702</v>
      </c>
      <c r="B1003" s="1" t="s">
        <v>355</v>
      </c>
      <c r="C1003" s="1" t="s">
        <v>359</v>
      </c>
      <c r="D1003" s="1" t="s">
        <v>10</v>
      </c>
      <c r="E1003" s="1" t="s">
        <v>11</v>
      </c>
      <c r="F1003" s="1" t="s">
        <v>15</v>
      </c>
      <c r="G1003">
        <v>3</v>
      </c>
      <c r="H1003">
        <v>0</v>
      </c>
      <c r="I1003">
        <v>0</v>
      </c>
      <c r="J1003" s="1"/>
      <c r="K1003" s="1" t="s">
        <v>340</v>
      </c>
    </row>
    <row r="1004" spans="1:11" x14ac:dyDescent="0.25">
      <c r="A1004" s="2">
        <v>45959.720972222225</v>
      </c>
      <c r="B1004" s="1" t="s">
        <v>355</v>
      </c>
      <c r="C1004" s="1" t="s">
        <v>359</v>
      </c>
      <c r="D1004" s="1" t="s">
        <v>10</v>
      </c>
      <c r="E1004" s="1" t="s">
        <v>11</v>
      </c>
      <c r="F1004" s="1" t="s">
        <v>15</v>
      </c>
      <c r="G1004">
        <v>3</v>
      </c>
      <c r="H1004">
        <v>0</v>
      </c>
      <c r="I1004">
        <v>0</v>
      </c>
      <c r="J1004" s="1"/>
      <c r="K1004" s="1" t="s">
        <v>341</v>
      </c>
    </row>
    <row r="1005" spans="1:11" x14ac:dyDescent="0.25">
      <c r="A1005" s="2">
        <v>45959.721192129633</v>
      </c>
      <c r="B1005" s="1" t="s">
        <v>355</v>
      </c>
      <c r="C1005" s="1" t="s">
        <v>359</v>
      </c>
      <c r="D1005" s="1" t="s">
        <v>10</v>
      </c>
      <c r="E1005" s="1" t="s">
        <v>11</v>
      </c>
      <c r="F1005" s="1" t="s">
        <v>15</v>
      </c>
      <c r="G1005">
        <v>3</v>
      </c>
      <c r="H1005">
        <v>1</v>
      </c>
      <c r="I1005">
        <v>0</v>
      </c>
      <c r="J1005" s="1"/>
      <c r="K1005" s="1" t="s">
        <v>336</v>
      </c>
    </row>
    <row r="1006" spans="1:11" x14ac:dyDescent="0.25">
      <c r="A1006" s="2">
        <v>45960.445752314816</v>
      </c>
      <c r="B1006" s="1" t="s">
        <v>347</v>
      </c>
      <c r="C1006" s="1" t="s">
        <v>360</v>
      </c>
      <c r="D1006" s="1" t="s">
        <v>20</v>
      </c>
      <c r="E1006" s="1" t="s">
        <v>11</v>
      </c>
      <c r="F1006" s="1" t="s">
        <v>12</v>
      </c>
      <c r="G1006">
        <v>10.5</v>
      </c>
      <c r="H1006">
        <v>0</v>
      </c>
      <c r="I1006">
        <v>0</v>
      </c>
      <c r="J1006" s="1"/>
      <c r="K1006" s="1" t="s">
        <v>343</v>
      </c>
    </row>
    <row r="1007" spans="1:11" x14ac:dyDescent="0.25">
      <c r="A1007" s="2">
        <v>45960.445752314816</v>
      </c>
      <c r="B1007" s="1" t="s">
        <v>347</v>
      </c>
      <c r="C1007" s="1" t="s">
        <v>360</v>
      </c>
      <c r="D1007" s="1" t="s">
        <v>20</v>
      </c>
      <c r="E1007" s="1" t="s">
        <v>11</v>
      </c>
      <c r="F1007" s="1" t="s">
        <v>12</v>
      </c>
      <c r="G1007">
        <v>10.5</v>
      </c>
      <c r="H1007">
        <v>0</v>
      </c>
      <c r="I1007">
        <v>0</v>
      </c>
      <c r="J1007" s="1"/>
      <c r="K1007" s="1" t="s">
        <v>344</v>
      </c>
    </row>
    <row r="1008" spans="1:11" x14ac:dyDescent="0.25">
      <c r="A1008" s="2">
        <v>45960.446099537039</v>
      </c>
      <c r="B1008" s="1" t="s">
        <v>347</v>
      </c>
      <c r="C1008" s="1" t="s">
        <v>360</v>
      </c>
      <c r="D1008" s="1" t="s">
        <v>10</v>
      </c>
      <c r="E1008" s="1" t="s">
        <v>17</v>
      </c>
      <c r="F1008" s="1" t="s">
        <v>12</v>
      </c>
      <c r="G1008">
        <v>10.5</v>
      </c>
      <c r="H1008">
        <v>0</v>
      </c>
      <c r="I1008">
        <v>0</v>
      </c>
      <c r="J1008" s="1" t="s">
        <v>230</v>
      </c>
      <c r="K1008" s="1" t="s">
        <v>344</v>
      </c>
    </row>
    <row r="1009" spans="1:11" x14ac:dyDescent="0.25">
      <c r="A1009" s="2">
        <v>45960.446099537039</v>
      </c>
      <c r="B1009" s="1" t="s">
        <v>347</v>
      </c>
      <c r="C1009" s="1" t="s">
        <v>360</v>
      </c>
      <c r="D1009" s="1" t="s">
        <v>10</v>
      </c>
      <c r="E1009" s="1" t="s">
        <v>17</v>
      </c>
      <c r="F1009" s="1" t="s">
        <v>12</v>
      </c>
      <c r="G1009">
        <v>10.5</v>
      </c>
      <c r="H1009">
        <v>0</v>
      </c>
      <c r="I1009">
        <v>0</v>
      </c>
      <c r="J1009" s="1" t="s">
        <v>230</v>
      </c>
      <c r="K1009" s="1" t="s">
        <v>345</v>
      </c>
    </row>
    <row r="1010" spans="1:11" x14ac:dyDescent="0.25">
      <c r="A1010" s="2">
        <v>45960.606446759259</v>
      </c>
      <c r="B1010" s="1" t="s">
        <v>348</v>
      </c>
      <c r="C1010" s="1" t="s">
        <v>360</v>
      </c>
      <c r="D1010" s="1" t="s">
        <v>10</v>
      </c>
      <c r="E1010" s="1" t="s">
        <v>11</v>
      </c>
      <c r="F1010" s="1" t="s">
        <v>12</v>
      </c>
      <c r="G1010">
        <v>10.5</v>
      </c>
      <c r="H1010">
        <v>0</v>
      </c>
      <c r="I1010">
        <v>0</v>
      </c>
      <c r="J1010" s="1" t="s">
        <v>231</v>
      </c>
      <c r="K1010" s="1" t="s">
        <v>342</v>
      </c>
    </row>
    <row r="1011" spans="1:11" x14ac:dyDescent="0.25">
      <c r="A1011" s="2">
        <v>45960.614756944444</v>
      </c>
      <c r="B1011" s="1" t="s">
        <v>348</v>
      </c>
      <c r="C1011" s="1" t="s">
        <v>360</v>
      </c>
      <c r="D1011" s="1" t="s">
        <v>10</v>
      </c>
      <c r="E1011" s="1" t="s">
        <v>11</v>
      </c>
      <c r="F1011" s="1" t="s">
        <v>12</v>
      </c>
      <c r="G1011">
        <v>10.5</v>
      </c>
      <c r="H1011">
        <v>0</v>
      </c>
      <c r="I1011">
        <v>0</v>
      </c>
      <c r="J1011" s="1"/>
      <c r="K1011" s="1" t="s">
        <v>340</v>
      </c>
    </row>
    <row r="1012" spans="1:11" x14ac:dyDescent="0.25">
      <c r="A1012" s="2">
        <v>45960.623229166667</v>
      </c>
      <c r="B1012" s="1" t="s">
        <v>348</v>
      </c>
      <c r="C1012" s="1" t="s">
        <v>360</v>
      </c>
      <c r="D1012" s="1" t="s">
        <v>10</v>
      </c>
      <c r="E1012" s="1" t="s">
        <v>11</v>
      </c>
      <c r="F1012" s="1" t="s">
        <v>15</v>
      </c>
      <c r="G1012">
        <v>3</v>
      </c>
      <c r="H1012">
        <v>0</v>
      </c>
      <c r="I1012">
        <v>0</v>
      </c>
      <c r="J1012" s="1" t="s">
        <v>232</v>
      </c>
      <c r="K1012" s="1" t="s">
        <v>345</v>
      </c>
    </row>
    <row r="1013" spans="1:11" x14ac:dyDescent="0.25">
      <c r="A1013" s="2">
        <v>45960.750162037039</v>
      </c>
      <c r="B1013" s="1" t="s">
        <v>355</v>
      </c>
      <c r="C1013" s="1" t="s">
        <v>360</v>
      </c>
      <c r="D1013" s="1" t="s">
        <v>10</v>
      </c>
      <c r="E1013" s="1" t="s">
        <v>11</v>
      </c>
      <c r="F1013" s="1" t="s">
        <v>14</v>
      </c>
      <c r="G1013">
        <v>0.5</v>
      </c>
      <c r="H1013">
        <v>0</v>
      </c>
      <c r="I1013">
        <v>0</v>
      </c>
      <c r="J1013" s="1"/>
      <c r="K1013" s="1" t="s">
        <v>345</v>
      </c>
    </row>
    <row r="1014" spans="1:11" x14ac:dyDescent="0.25">
      <c r="A1014" s="2">
        <v>45960.750231481485</v>
      </c>
      <c r="B1014" s="1" t="s">
        <v>355</v>
      </c>
      <c r="C1014" s="1" t="s">
        <v>360</v>
      </c>
      <c r="D1014" s="1" t="s">
        <v>10</v>
      </c>
      <c r="E1014" s="1" t="s">
        <v>11</v>
      </c>
      <c r="F1014" s="1" t="s">
        <v>14</v>
      </c>
      <c r="G1014">
        <v>0.5</v>
      </c>
      <c r="H1014">
        <v>0</v>
      </c>
      <c r="I1014">
        <v>0</v>
      </c>
      <c r="J1014" s="1"/>
      <c r="K1014" s="1" t="s">
        <v>344</v>
      </c>
    </row>
    <row r="1015" spans="1:11" x14ac:dyDescent="0.25">
      <c r="A1015" s="2">
        <v>45961.375659722224</v>
      </c>
      <c r="B1015" s="1" t="s">
        <v>352</v>
      </c>
      <c r="C1015" s="1" t="s">
        <v>361</v>
      </c>
      <c r="D1015" s="1" t="s">
        <v>10</v>
      </c>
      <c r="E1015" s="1" t="s">
        <v>11</v>
      </c>
      <c r="F1015" s="1" t="s">
        <v>14</v>
      </c>
      <c r="G1015">
        <v>0.5</v>
      </c>
      <c r="H1015">
        <v>0</v>
      </c>
      <c r="I1015">
        <v>0</v>
      </c>
      <c r="J1015" s="1"/>
      <c r="K1015" s="1" t="s">
        <v>344</v>
      </c>
    </row>
    <row r="1016" spans="1:11" x14ac:dyDescent="0.25">
      <c r="A1016" s="2">
        <v>45961.412881944445</v>
      </c>
      <c r="B1016" s="1" t="s">
        <v>352</v>
      </c>
      <c r="C1016" s="1" t="s">
        <v>361</v>
      </c>
      <c r="D1016" s="1" t="s">
        <v>10</v>
      </c>
      <c r="E1016" s="1" t="s">
        <v>11</v>
      </c>
      <c r="F1016" s="1" t="s">
        <v>12</v>
      </c>
      <c r="G1016">
        <v>10.5</v>
      </c>
      <c r="H1016">
        <v>0</v>
      </c>
      <c r="I1016">
        <v>0</v>
      </c>
      <c r="J1016" s="1"/>
      <c r="K1016" s="1" t="s">
        <v>340</v>
      </c>
    </row>
    <row r="1017" spans="1:11" x14ac:dyDescent="0.25">
      <c r="A1017" s="2">
        <v>45961.420532407406</v>
      </c>
      <c r="B1017" s="1" t="s">
        <v>347</v>
      </c>
      <c r="C1017" s="1" t="s">
        <v>361</v>
      </c>
      <c r="D1017" s="1" t="s">
        <v>20</v>
      </c>
      <c r="E1017" s="1" t="s">
        <v>11</v>
      </c>
      <c r="F1017" s="1" t="s">
        <v>12</v>
      </c>
      <c r="G1017">
        <v>10.5</v>
      </c>
      <c r="H1017">
        <v>1</v>
      </c>
      <c r="I1017">
        <v>0</v>
      </c>
      <c r="J1017" s="1"/>
      <c r="K1017" s="1" t="s">
        <v>336</v>
      </c>
    </row>
    <row r="1018" spans="1:11" x14ac:dyDescent="0.25">
      <c r="A1018" s="2">
        <v>45961.480567129627</v>
      </c>
      <c r="B1018" s="1" t="s">
        <v>354</v>
      </c>
      <c r="C1018" s="1" t="s">
        <v>361</v>
      </c>
      <c r="D1018" s="1" t="s">
        <v>10</v>
      </c>
      <c r="E1018" s="1" t="s">
        <v>11</v>
      </c>
      <c r="F1018" s="1" t="s">
        <v>18</v>
      </c>
      <c r="G1018">
        <v>20</v>
      </c>
      <c r="H1018">
        <v>0</v>
      </c>
      <c r="I1018">
        <v>0</v>
      </c>
      <c r="J1018" s="1" t="s">
        <v>233</v>
      </c>
      <c r="K1018" s="1" t="s">
        <v>344</v>
      </c>
    </row>
    <row r="1019" spans="1:11" x14ac:dyDescent="0.25">
      <c r="A1019" s="2">
        <v>45961.53570601852</v>
      </c>
      <c r="B1019" s="1" t="s">
        <v>350</v>
      </c>
      <c r="C1019" s="1" t="s">
        <v>361</v>
      </c>
      <c r="D1019" s="1" t="s">
        <v>20</v>
      </c>
      <c r="E1019" s="1" t="s">
        <v>11</v>
      </c>
      <c r="F1019" s="1" t="s">
        <v>12</v>
      </c>
      <c r="G1019">
        <v>10.5</v>
      </c>
      <c r="H1019">
        <v>0</v>
      </c>
      <c r="I1019">
        <v>0</v>
      </c>
      <c r="J1019" s="1" t="s">
        <v>67</v>
      </c>
      <c r="K1019" s="1" t="s">
        <v>345</v>
      </c>
    </row>
    <row r="1020" spans="1:11" x14ac:dyDescent="0.25">
      <c r="A1020" s="2">
        <v>45961.621562499997</v>
      </c>
      <c r="B1020" s="1" t="s">
        <v>348</v>
      </c>
      <c r="C1020" s="1" t="s">
        <v>361</v>
      </c>
      <c r="D1020" s="1" t="s">
        <v>10</v>
      </c>
      <c r="E1020" s="1" t="s">
        <v>11</v>
      </c>
      <c r="F1020" s="1" t="s">
        <v>14</v>
      </c>
      <c r="G1020">
        <v>0.5</v>
      </c>
      <c r="H1020">
        <v>0</v>
      </c>
      <c r="I1020">
        <v>0</v>
      </c>
      <c r="J1020" s="1" t="s">
        <v>234</v>
      </c>
      <c r="K1020" s="1" t="s">
        <v>345</v>
      </c>
    </row>
    <row r="1021" spans="1:11" x14ac:dyDescent="0.25">
      <c r="A1021" s="2">
        <v>45961.664386574077</v>
      </c>
      <c r="B1021" s="1" t="s">
        <v>349</v>
      </c>
      <c r="C1021" s="1" t="s">
        <v>361</v>
      </c>
      <c r="D1021" s="1" t="s">
        <v>10</v>
      </c>
      <c r="E1021" s="1" t="s">
        <v>11</v>
      </c>
      <c r="F1021" s="1" t="s">
        <v>12</v>
      </c>
      <c r="G1021">
        <v>10.5</v>
      </c>
      <c r="H1021">
        <v>0</v>
      </c>
      <c r="I1021">
        <v>0</v>
      </c>
      <c r="J1021" s="1" t="s">
        <v>235</v>
      </c>
      <c r="K1021" s="1" t="s">
        <v>343</v>
      </c>
    </row>
    <row r="1022" spans="1:11" x14ac:dyDescent="0.25">
      <c r="A1022" s="2">
        <v>45961.665601851855</v>
      </c>
      <c r="B1022" s="1" t="s">
        <v>349</v>
      </c>
      <c r="C1022" s="1" t="s">
        <v>361</v>
      </c>
      <c r="D1022" s="1" t="s">
        <v>10</v>
      </c>
      <c r="E1022" s="1" t="s">
        <v>11</v>
      </c>
      <c r="F1022" s="1" t="s">
        <v>12</v>
      </c>
      <c r="G1022">
        <v>10.5</v>
      </c>
      <c r="H1022">
        <v>0</v>
      </c>
      <c r="I1022">
        <v>0</v>
      </c>
      <c r="J1022" s="1" t="s">
        <v>236</v>
      </c>
      <c r="K1022" s="1" t="s">
        <v>343</v>
      </c>
    </row>
    <row r="1023" spans="1:11" x14ac:dyDescent="0.25">
      <c r="A1023" s="2">
        <v>45961.746504629627</v>
      </c>
      <c r="B1023" s="1" t="s">
        <v>355</v>
      </c>
      <c r="C1023" s="1" t="s">
        <v>361</v>
      </c>
      <c r="D1023" s="1" t="s">
        <v>10</v>
      </c>
      <c r="E1023" s="1" t="s">
        <v>11</v>
      </c>
      <c r="F1023" s="1" t="s">
        <v>12</v>
      </c>
      <c r="G1023">
        <v>10.5</v>
      </c>
      <c r="H1023">
        <v>0</v>
      </c>
      <c r="I1023">
        <v>0</v>
      </c>
      <c r="J1023" s="1"/>
      <c r="K1023" s="1" t="s">
        <v>340</v>
      </c>
    </row>
    <row r="1024" spans="1:11" x14ac:dyDescent="0.25">
      <c r="A1024" s="2">
        <v>45961.74659722222</v>
      </c>
      <c r="B1024" s="1" t="s">
        <v>355</v>
      </c>
      <c r="C1024" s="1" t="s">
        <v>361</v>
      </c>
      <c r="D1024" s="1" t="s">
        <v>10</v>
      </c>
      <c r="E1024" s="1" t="s">
        <v>11</v>
      </c>
      <c r="F1024" s="1" t="s">
        <v>14</v>
      </c>
      <c r="G1024">
        <v>0.5</v>
      </c>
      <c r="H1024">
        <v>0</v>
      </c>
      <c r="I1024">
        <v>0</v>
      </c>
      <c r="J1024" s="1"/>
      <c r="K1024" s="1" t="s">
        <v>345</v>
      </c>
    </row>
    <row r="1025" spans="1:11" x14ac:dyDescent="0.25">
      <c r="A1025" s="2">
        <v>45961.746666666666</v>
      </c>
      <c r="B1025" s="1" t="s">
        <v>355</v>
      </c>
      <c r="C1025" s="1" t="s">
        <v>361</v>
      </c>
      <c r="D1025" s="1" t="s">
        <v>10</v>
      </c>
      <c r="E1025" s="1" t="s">
        <v>11</v>
      </c>
      <c r="F1025" s="1" t="s">
        <v>14</v>
      </c>
      <c r="G1025">
        <v>0.5</v>
      </c>
      <c r="H1025">
        <v>0</v>
      </c>
      <c r="I1025">
        <v>0</v>
      </c>
      <c r="J1025" s="1"/>
      <c r="K1025" s="1" t="s">
        <v>344</v>
      </c>
    </row>
    <row r="1026" spans="1:11" x14ac:dyDescent="0.25">
      <c r="A1026" s="2">
        <v>45962.431481481479</v>
      </c>
      <c r="B1026" s="1" t="s">
        <v>347</v>
      </c>
      <c r="C1026" s="1" t="s">
        <v>362</v>
      </c>
      <c r="D1026" s="1" t="s">
        <v>10</v>
      </c>
      <c r="E1026" s="1" t="s">
        <v>11</v>
      </c>
      <c r="F1026" s="1" t="s">
        <v>14</v>
      </c>
      <c r="G1026">
        <v>0.5</v>
      </c>
      <c r="H1026">
        <v>0</v>
      </c>
      <c r="I1026">
        <v>0</v>
      </c>
      <c r="J1026" s="1"/>
      <c r="K1026" s="1" t="s">
        <v>343</v>
      </c>
    </row>
    <row r="1027" spans="1:11" x14ac:dyDescent="0.25">
      <c r="A1027" s="2">
        <v>45964.478993055556</v>
      </c>
      <c r="B1027" s="1" t="s">
        <v>354</v>
      </c>
      <c r="C1027" s="1" t="s">
        <v>363</v>
      </c>
      <c r="D1027" s="1" t="s">
        <v>10</v>
      </c>
      <c r="E1027" s="1" t="s">
        <v>11</v>
      </c>
      <c r="F1027" s="1" t="s">
        <v>15</v>
      </c>
      <c r="G1027">
        <v>3</v>
      </c>
      <c r="H1027">
        <v>0</v>
      </c>
      <c r="I1027">
        <v>0</v>
      </c>
      <c r="J1027" s="1"/>
      <c r="K1027" s="1" t="s">
        <v>343</v>
      </c>
    </row>
    <row r="1028" spans="1:11" x14ac:dyDescent="0.25">
      <c r="A1028" s="2">
        <v>45964.479120370372</v>
      </c>
      <c r="B1028" s="1" t="s">
        <v>354</v>
      </c>
      <c r="C1028" s="1" t="s">
        <v>363</v>
      </c>
      <c r="D1028" s="1" t="s">
        <v>10</v>
      </c>
      <c r="E1028" s="1" t="s">
        <v>11</v>
      </c>
      <c r="F1028" s="1" t="s">
        <v>15</v>
      </c>
      <c r="G1028">
        <v>3</v>
      </c>
      <c r="H1028">
        <v>0</v>
      </c>
      <c r="I1028">
        <v>0</v>
      </c>
      <c r="J1028" s="1"/>
      <c r="K1028" s="1" t="s">
        <v>344</v>
      </c>
    </row>
    <row r="1029" spans="1:11" x14ac:dyDescent="0.25">
      <c r="A1029" s="2">
        <v>45964.479421296295</v>
      </c>
      <c r="B1029" s="1" t="s">
        <v>354</v>
      </c>
      <c r="C1029" s="1" t="s">
        <v>363</v>
      </c>
      <c r="D1029" s="1" t="s">
        <v>10</v>
      </c>
      <c r="E1029" s="1" t="s">
        <v>11</v>
      </c>
      <c r="F1029" s="1" t="s">
        <v>15</v>
      </c>
      <c r="G1029">
        <v>3</v>
      </c>
      <c r="H1029">
        <v>0</v>
      </c>
      <c r="I1029">
        <v>0</v>
      </c>
      <c r="J1029" s="1"/>
      <c r="K1029" s="1" t="s">
        <v>342</v>
      </c>
    </row>
    <row r="1030" spans="1:11" x14ac:dyDescent="0.25">
      <c r="A1030" s="2">
        <v>45964.479571759257</v>
      </c>
      <c r="B1030" s="1" t="s">
        <v>354</v>
      </c>
      <c r="C1030" s="1" t="s">
        <v>363</v>
      </c>
      <c r="D1030" s="1" t="s">
        <v>10</v>
      </c>
      <c r="E1030" s="1" t="s">
        <v>11</v>
      </c>
      <c r="F1030" s="1" t="s">
        <v>15</v>
      </c>
      <c r="G1030">
        <v>3</v>
      </c>
      <c r="H1030">
        <v>0</v>
      </c>
      <c r="I1030">
        <v>0</v>
      </c>
      <c r="J1030" s="1"/>
      <c r="K1030" s="1" t="s">
        <v>342</v>
      </c>
    </row>
    <row r="1031" spans="1:11" x14ac:dyDescent="0.25">
      <c r="A1031" s="2">
        <v>45964.484733796293</v>
      </c>
      <c r="B1031" s="1" t="s">
        <v>354</v>
      </c>
      <c r="C1031" s="1" t="s">
        <v>363</v>
      </c>
      <c r="D1031" s="1" t="s">
        <v>10</v>
      </c>
      <c r="E1031" s="1" t="s">
        <v>11</v>
      </c>
      <c r="F1031" s="1" t="s">
        <v>12</v>
      </c>
      <c r="G1031">
        <v>10.5</v>
      </c>
      <c r="H1031">
        <v>1</v>
      </c>
      <c r="I1031">
        <v>0</v>
      </c>
      <c r="J1031" s="1"/>
      <c r="K1031" s="1" t="s">
        <v>336</v>
      </c>
    </row>
    <row r="1032" spans="1:11" x14ac:dyDescent="0.25">
      <c r="A1032" s="2">
        <v>45964.570775462962</v>
      </c>
      <c r="B1032" s="1" t="s">
        <v>351</v>
      </c>
      <c r="C1032" s="1" t="s">
        <v>363</v>
      </c>
      <c r="D1032" s="1" t="s">
        <v>10</v>
      </c>
      <c r="E1032" s="1" t="s">
        <v>11</v>
      </c>
      <c r="F1032" s="1" t="s">
        <v>14</v>
      </c>
      <c r="G1032">
        <v>0.5</v>
      </c>
      <c r="H1032">
        <v>0</v>
      </c>
      <c r="I1032">
        <v>0</v>
      </c>
      <c r="J1032" s="1"/>
      <c r="K1032" s="1" t="s">
        <v>344</v>
      </c>
    </row>
    <row r="1033" spans="1:11" x14ac:dyDescent="0.25">
      <c r="A1033" s="2">
        <v>45964.575567129628</v>
      </c>
      <c r="B1033" s="1" t="s">
        <v>351</v>
      </c>
      <c r="C1033" s="1" t="s">
        <v>363</v>
      </c>
      <c r="D1033" s="1" t="s">
        <v>10</v>
      </c>
      <c r="E1033" s="1" t="s">
        <v>11</v>
      </c>
      <c r="F1033" s="1" t="s">
        <v>12</v>
      </c>
      <c r="G1033">
        <v>10.5</v>
      </c>
      <c r="H1033">
        <v>0</v>
      </c>
      <c r="I1033">
        <v>0</v>
      </c>
      <c r="J1033" s="1"/>
      <c r="K1033" s="1" t="s">
        <v>340</v>
      </c>
    </row>
    <row r="1034" spans="1:11" x14ac:dyDescent="0.25">
      <c r="A1034" s="2">
        <v>45964.590671296297</v>
      </c>
      <c r="B1034" s="1" t="s">
        <v>348</v>
      </c>
      <c r="C1034" s="1" t="s">
        <v>363</v>
      </c>
      <c r="D1034" s="1" t="s">
        <v>10</v>
      </c>
      <c r="E1034" s="1" t="s">
        <v>11</v>
      </c>
      <c r="F1034" s="1" t="s">
        <v>14</v>
      </c>
      <c r="G1034">
        <v>0.5</v>
      </c>
      <c r="H1034">
        <v>0</v>
      </c>
      <c r="I1034">
        <v>0</v>
      </c>
      <c r="J1034" s="1"/>
      <c r="K1034" s="1" t="s">
        <v>343</v>
      </c>
    </row>
    <row r="1035" spans="1:11" x14ac:dyDescent="0.25">
      <c r="A1035" s="2">
        <v>45964.59233796296</v>
      </c>
      <c r="B1035" s="1" t="s">
        <v>348</v>
      </c>
      <c r="C1035" s="1" t="s">
        <v>363</v>
      </c>
      <c r="D1035" s="1" t="s">
        <v>10</v>
      </c>
      <c r="E1035" s="1" t="s">
        <v>11</v>
      </c>
      <c r="F1035" s="1" t="s">
        <v>12</v>
      </c>
      <c r="G1035">
        <v>10.5</v>
      </c>
      <c r="H1035">
        <v>1</v>
      </c>
      <c r="I1035">
        <v>0</v>
      </c>
      <c r="J1035" s="1"/>
      <c r="K1035" s="1" t="s">
        <v>337</v>
      </c>
    </row>
    <row r="1036" spans="1:11" x14ac:dyDescent="0.25">
      <c r="A1036" s="2">
        <v>45964.624166666668</v>
      </c>
      <c r="B1036" s="1" t="s">
        <v>348</v>
      </c>
      <c r="C1036" s="1" t="s">
        <v>363</v>
      </c>
      <c r="D1036" s="1" t="s">
        <v>20</v>
      </c>
      <c r="E1036" s="1" t="s">
        <v>11</v>
      </c>
      <c r="F1036" s="1" t="s">
        <v>15</v>
      </c>
      <c r="G1036">
        <v>3</v>
      </c>
      <c r="H1036">
        <v>0</v>
      </c>
      <c r="I1036">
        <v>0</v>
      </c>
      <c r="J1036" s="1"/>
      <c r="K1036" s="1" t="s">
        <v>337</v>
      </c>
    </row>
    <row r="1037" spans="1:11" x14ac:dyDescent="0.25">
      <c r="A1037" s="2">
        <v>45964.634166666663</v>
      </c>
      <c r="B1037" s="1" t="s">
        <v>349</v>
      </c>
      <c r="C1037" s="1" t="s">
        <v>363</v>
      </c>
      <c r="D1037" s="1" t="s">
        <v>10</v>
      </c>
      <c r="E1037" s="1" t="s">
        <v>11</v>
      </c>
      <c r="F1037" s="1" t="s">
        <v>15</v>
      </c>
      <c r="G1037">
        <v>3</v>
      </c>
      <c r="H1037">
        <v>0</v>
      </c>
      <c r="I1037">
        <v>0</v>
      </c>
      <c r="J1037" s="1" t="s">
        <v>214</v>
      </c>
      <c r="K1037" s="1" t="s">
        <v>345</v>
      </c>
    </row>
    <row r="1038" spans="1:11" x14ac:dyDescent="0.25">
      <c r="A1038" s="2">
        <v>45964.64130787037</v>
      </c>
      <c r="B1038" s="1" t="s">
        <v>349</v>
      </c>
      <c r="C1038" s="1" t="s">
        <v>363</v>
      </c>
      <c r="D1038" s="1" t="s">
        <v>10</v>
      </c>
      <c r="E1038" s="1" t="s">
        <v>11</v>
      </c>
      <c r="F1038" s="1" t="s">
        <v>15</v>
      </c>
      <c r="G1038">
        <v>3</v>
      </c>
      <c r="H1038">
        <v>0</v>
      </c>
      <c r="I1038">
        <v>0</v>
      </c>
      <c r="J1038" s="1"/>
      <c r="K1038" s="1" t="s">
        <v>106</v>
      </c>
    </row>
    <row r="1039" spans="1:11" x14ac:dyDescent="0.25">
      <c r="A1039" s="2">
        <v>45964.664120370369</v>
      </c>
      <c r="B1039" s="1" t="s">
        <v>349</v>
      </c>
      <c r="C1039" s="1" t="s">
        <v>363</v>
      </c>
      <c r="D1039" s="1" t="s">
        <v>10</v>
      </c>
      <c r="E1039" s="1" t="s">
        <v>17</v>
      </c>
      <c r="F1039" s="1" t="s">
        <v>15</v>
      </c>
      <c r="G1039">
        <v>3</v>
      </c>
      <c r="H1039">
        <v>0</v>
      </c>
      <c r="I1039">
        <v>0</v>
      </c>
      <c r="J1039" s="1"/>
      <c r="K1039" s="1" t="s">
        <v>341</v>
      </c>
    </row>
    <row r="1040" spans="1:11" x14ac:dyDescent="0.25">
      <c r="A1040" s="2">
        <v>45964.700983796298</v>
      </c>
      <c r="B1040" s="1" t="s">
        <v>353</v>
      </c>
      <c r="C1040" s="1" t="s">
        <v>363</v>
      </c>
      <c r="D1040" s="1" t="s">
        <v>20</v>
      </c>
      <c r="E1040" s="1" t="s">
        <v>11</v>
      </c>
      <c r="F1040" s="1" t="s">
        <v>12</v>
      </c>
      <c r="G1040">
        <v>10.5</v>
      </c>
      <c r="H1040">
        <v>1</v>
      </c>
      <c r="I1040">
        <v>0</v>
      </c>
      <c r="J1040" s="1" t="s">
        <v>237</v>
      </c>
      <c r="K1040" s="1" t="s">
        <v>336</v>
      </c>
    </row>
    <row r="1041" spans="1:11" x14ac:dyDescent="0.25">
      <c r="A1041" s="2">
        <v>45965.470682870371</v>
      </c>
      <c r="B1041" s="1" t="s">
        <v>354</v>
      </c>
      <c r="C1041" s="1" t="s">
        <v>358</v>
      </c>
      <c r="D1041" s="1" t="s">
        <v>10</v>
      </c>
      <c r="E1041" s="1" t="s">
        <v>11</v>
      </c>
      <c r="F1041" s="1" t="s">
        <v>15</v>
      </c>
      <c r="G1041">
        <v>3</v>
      </c>
      <c r="H1041">
        <v>0</v>
      </c>
      <c r="I1041">
        <v>0</v>
      </c>
      <c r="J1041" s="1"/>
      <c r="K1041" s="1" t="s">
        <v>340</v>
      </c>
    </row>
    <row r="1042" spans="1:11" x14ac:dyDescent="0.25">
      <c r="A1042" s="2">
        <v>45965.470902777779</v>
      </c>
      <c r="B1042" s="1" t="s">
        <v>354</v>
      </c>
      <c r="C1042" s="1" t="s">
        <v>358</v>
      </c>
      <c r="D1042" s="1" t="s">
        <v>10</v>
      </c>
      <c r="E1042" s="1" t="s">
        <v>11</v>
      </c>
      <c r="F1042" s="1" t="s">
        <v>15</v>
      </c>
      <c r="G1042">
        <v>3</v>
      </c>
      <c r="H1042">
        <v>0</v>
      </c>
      <c r="I1042">
        <v>0</v>
      </c>
      <c r="J1042" s="1"/>
      <c r="K1042" s="1" t="s">
        <v>340</v>
      </c>
    </row>
    <row r="1043" spans="1:11" x14ac:dyDescent="0.25">
      <c r="A1043" s="2">
        <v>45965.470902777779</v>
      </c>
      <c r="B1043" s="1" t="s">
        <v>354</v>
      </c>
      <c r="C1043" s="1" t="s">
        <v>358</v>
      </c>
      <c r="D1043" s="1" t="s">
        <v>10</v>
      </c>
      <c r="E1043" s="1" t="s">
        <v>11</v>
      </c>
      <c r="F1043" s="1" t="s">
        <v>15</v>
      </c>
      <c r="G1043">
        <v>3</v>
      </c>
      <c r="H1043">
        <v>0</v>
      </c>
      <c r="I1043">
        <v>0</v>
      </c>
      <c r="J1043" s="1"/>
      <c r="K1043" s="1" t="s">
        <v>343</v>
      </c>
    </row>
    <row r="1044" spans="1:11" x14ac:dyDescent="0.25">
      <c r="A1044" s="2">
        <v>45965.471145833333</v>
      </c>
      <c r="B1044" s="1" t="s">
        <v>354</v>
      </c>
      <c r="C1044" s="1" t="s">
        <v>358</v>
      </c>
      <c r="D1044" s="1" t="s">
        <v>10</v>
      </c>
      <c r="E1044" s="1" t="s">
        <v>11</v>
      </c>
      <c r="F1044" s="1" t="s">
        <v>15</v>
      </c>
      <c r="G1044">
        <v>3</v>
      </c>
      <c r="H1044">
        <v>0</v>
      </c>
      <c r="I1044">
        <v>0</v>
      </c>
      <c r="J1044" s="1"/>
      <c r="K1044" s="1" t="s">
        <v>342</v>
      </c>
    </row>
    <row r="1045" spans="1:11" x14ac:dyDescent="0.25">
      <c r="A1045" s="2">
        <v>45965.480462962965</v>
      </c>
      <c r="B1045" s="1" t="s">
        <v>354</v>
      </c>
      <c r="C1045" s="1" t="s">
        <v>358</v>
      </c>
      <c r="D1045" s="1" t="s">
        <v>10</v>
      </c>
      <c r="E1045" s="1" t="s">
        <v>11</v>
      </c>
      <c r="F1045" s="1" t="s">
        <v>15</v>
      </c>
      <c r="G1045">
        <v>3</v>
      </c>
      <c r="H1045">
        <v>1</v>
      </c>
      <c r="I1045">
        <v>0</v>
      </c>
      <c r="J1045" s="1" t="s">
        <v>238</v>
      </c>
      <c r="K1045" s="1" t="s">
        <v>336</v>
      </c>
    </row>
    <row r="1046" spans="1:11" x14ac:dyDescent="0.25">
      <c r="A1046" s="2">
        <v>45965.570787037039</v>
      </c>
      <c r="B1046" s="1" t="s">
        <v>351</v>
      </c>
      <c r="C1046" s="1" t="s">
        <v>358</v>
      </c>
      <c r="D1046" s="1" t="s">
        <v>10</v>
      </c>
      <c r="E1046" s="1" t="s">
        <v>11</v>
      </c>
      <c r="F1046" s="1" t="s">
        <v>15</v>
      </c>
      <c r="G1046">
        <v>3</v>
      </c>
      <c r="H1046">
        <v>0</v>
      </c>
      <c r="I1046">
        <v>0</v>
      </c>
      <c r="J1046" s="1" t="s">
        <v>239</v>
      </c>
      <c r="K1046" s="1" t="s">
        <v>337</v>
      </c>
    </row>
    <row r="1047" spans="1:11" x14ac:dyDescent="0.25">
      <c r="A1047" s="2">
        <v>45965.583738425928</v>
      </c>
      <c r="B1047" s="1" t="s">
        <v>348</v>
      </c>
      <c r="C1047" s="1" t="s">
        <v>358</v>
      </c>
      <c r="D1047" s="1" t="s">
        <v>10</v>
      </c>
      <c r="E1047" s="1" t="s">
        <v>11</v>
      </c>
      <c r="F1047" s="1" t="s">
        <v>12</v>
      </c>
      <c r="G1047">
        <v>10.5</v>
      </c>
      <c r="H1047">
        <v>0</v>
      </c>
      <c r="I1047">
        <v>0</v>
      </c>
      <c r="J1047" s="1" t="s">
        <v>240</v>
      </c>
      <c r="K1047" s="1" t="s">
        <v>337</v>
      </c>
    </row>
    <row r="1048" spans="1:11" x14ac:dyDescent="0.25">
      <c r="A1048" s="2">
        <v>45965.59547453704</v>
      </c>
      <c r="B1048" s="1" t="s">
        <v>348</v>
      </c>
      <c r="C1048" s="1" t="s">
        <v>358</v>
      </c>
      <c r="D1048" s="1" t="s">
        <v>10</v>
      </c>
      <c r="E1048" s="1" t="s">
        <v>11</v>
      </c>
      <c r="F1048" s="1" t="s">
        <v>12</v>
      </c>
      <c r="G1048">
        <v>10.5</v>
      </c>
      <c r="H1048">
        <v>1</v>
      </c>
      <c r="I1048">
        <v>0</v>
      </c>
      <c r="J1048" s="1"/>
      <c r="K1048" s="1" t="s">
        <v>336</v>
      </c>
    </row>
    <row r="1049" spans="1:11" x14ac:dyDescent="0.25">
      <c r="A1049" s="2">
        <v>45965.59547453704</v>
      </c>
      <c r="B1049" s="1" t="s">
        <v>348</v>
      </c>
      <c r="C1049" s="1" t="s">
        <v>358</v>
      </c>
      <c r="D1049" s="1" t="s">
        <v>10</v>
      </c>
      <c r="E1049" s="1" t="s">
        <v>11</v>
      </c>
      <c r="F1049" s="1" t="s">
        <v>12</v>
      </c>
      <c r="G1049">
        <v>10.5</v>
      </c>
      <c r="H1049">
        <v>1</v>
      </c>
      <c r="I1049">
        <v>0</v>
      </c>
      <c r="J1049" s="1"/>
      <c r="K1049" s="1" t="s">
        <v>340</v>
      </c>
    </row>
    <row r="1050" spans="1:11" x14ac:dyDescent="0.25">
      <c r="A1050" s="2">
        <v>45965.626087962963</v>
      </c>
      <c r="B1050" s="1" t="s">
        <v>349</v>
      </c>
      <c r="C1050" s="1" t="s">
        <v>358</v>
      </c>
      <c r="D1050" s="1" t="s">
        <v>10</v>
      </c>
      <c r="E1050" s="1" t="s">
        <v>11</v>
      </c>
      <c r="F1050" s="1" t="s">
        <v>15</v>
      </c>
      <c r="G1050">
        <v>3</v>
      </c>
      <c r="H1050">
        <v>0</v>
      </c>
      <c r="I1050">
        <v>0</v>
      </c>
      <c r="J1050" s="1"/>
      <c r="K1050" s="1" t="s">
        <v>341</v>
      </c>
    </row>
    <row r="1051" spans="1:11" x14ac:dyDescent="0.25">
      <c r="A1051" s="2">
        <v>45965.749537037038</v>
      </c>
      <c r="B1051" s="1" t="s">
        <v>355</v>
      </c>
      <c r="C1051" s="1" t="s">
        <v>358</v>
      </c>
      <c r="D1051" s="1" t="s">
        <v>10</v>
      </c>
      <c r="E1051" s="1" t="s">
        <v>11</v>
      </c>
      <c r="F1051" s="1" t="s">
        <v>15</v>
      </c>
      <c r="G1051">
        <v>3</v>
      </c>
      <c r="H1051">
        <v>0</v>
      </c>
      <c r="I1051">
        <v>0</v>
      </c>
      <c r="J1051" s="1"/>
      <c r="K1051" s="1" t="s">
        <v>340</v>
      </c>
    </row>
    <row r="1052" spans="1:11" x14ac:dyDescent="0.25">
      <c r="A1052" s="2">
        <v>45965.749594907407</v>
      </c>
      <c r="B1052" s="1" t="s">
        <v>355</v>
      </c>
      <c r="C1052" s="1" t="s">
        <v>358</v>
      </c>
      <c r="D1052" s="1" t="s">
        <v>10</v>
      </c>
      <c r="E1052" s="1" t="s">
        <v>11</v>
      </c>
      <c r="F1052" s="1" t="s">
        <v>15</v>
      </c>
      <c r="G1052">
        <v>3</v>
      </c>
      <c r="H1052">
        <v>0</v>
      </c>
      <c r="I1052">
        <v>0</v>
      </c>
      <c r="J1052" s="1"/>
      <c r="K1052" s="1" t="s">
        <v>340</v>
      </c>
    </row>
    <row r="1053" spans="1:11" x14ac:dyDescent="0.25">
      <c r="A1053" s="2">
        <v>45965.749699074076</v>
      </c>
      <c r="B1053" s="1" t="s">
        <v>355</v>
      </c>
      <c r="C1053" s="1" t="s">
        <v>358</v>
      </c>
      <c r="D1053" s="1" t="s">
        <v>10</v>
      </c>
      <c r="E1053" s="1" t="s">
        <v>11</v>
      </c>
      <c r="F1053" s="1" t="s">
        <v>15</v>
      </c>
      <c r="G1053">
        <v>3</v>
      </c>
      <c r="H1053">
        <v>1</v>
      </c>
      <c r="I1053">
        <v>0</v>
      </c>
      <c r="J1053" s="1"/>
      <c r="K1053" s="1" t="s">
        <v>336</v>
      </c>
    </row>
    <row r="1054" spans="1:11" x14ac:dyDescent="0.25">
      <c r="A1054" s="2">
        <v>45965.749803240738</v>
      </c>
      <c r="B1054" s="1" t="s">
        <v>355</v>
      </c>
      <c r="C1054" s="1" t="s">
        <v>358</v>
      </c>
      <c r="D1054" s="1" t="s">
        <v>10</v>
      </c>
      <c r="E1054" s="1" t="s">
        <v>11</v>
      </c>
      <c r="F1054" s="1" t="s">
        <v>14</v>
      </c>
      <c r="G1054">
        <v>0.5</v>
      </c>
      <c r="H1054">
        <v>0</v>
      </c>
      <c r="I1054">
        <v>0</v>
      </c>
      <c r="J1054" s="1"/>
      <c r="K1054" s="1" t="s">
        <v>344</v>
      </c>
    </row>
    <row r="1055" spans="1:11" x14ac:dyDescent="0.25">
      <c r="A1055" s="2">
        <v>45966.431828703702</v>
      </c>
      <c r="B1055" s="1" t="s">
        <v>347</v>
      </c>
      <c r="C1055" s="1" t="s">
        <v>359</v>
      </c>
      <c r="D1055" s="1" t="s">
        <v>20</v>
      </c>
      <c r="E1055" s="1" t="s">
        <v>11</v>
      </c>
      <c r="F1055" s="1" t="s">
        <v>15</v>
      </c>
      <c r="G1055">
        <v>3</v>
      </c>
      <c r="H1055">
        <v>1</v>
      </c>
      <c r="I1055">
        <v>0</v>
      </c>
      <c r="J1055" s="1"/>
      <c r="K1055" s="1" t="s">
        <v>336</v>
      </c>
    </row>
    <row r="1056" spans="1:11" x14ac:dyDescent="0.25">
      <c r="A1056" s="2">
        <v>45966.434930555559</v>
      </c>
      <c r="B1056" s="1" t="s">
        <v>347</v>
      </c>
      <c r="C1056" s="1" t="s">
        <v>359</v>
      </c>
      <c r="D1056" s="1" t="s">
        <v>20</v>
      </c>
      <c r="E1056" s="1" t="s">
        <v>11</v>
      </c>
      <c r="F1056" s="1" t="s">
        <v>15</v>
      </c>
      <c r="G1056">
        <v>3</v>
      </c>
      <c r="H1056">
        <v>0</v>
      </c>
      <c r="I1056">
        <v>0</v>
      </c>
      <c r="J1056" s="1"/>
      <c r="K1056" s="1" t="s">
        <v>343</v>
      </c>
    </row>
    <row r="1057" spans="1:11" x14ac:dyDescent="0.25">
      <c r="A1057" s="2">
        <v>45966.460949074077</v>
      </c>
      <c r="B1057" s="1" t="s">
        <v>354</v>
      </c>
      <c r="C1057" s="1" t="s">
        <v>359</v>
      </c>
      <c r="D1057" s="1" t="s">
        <v>20</v>
      </c>
      <c r="E1057" s="1" t="s">
        <v>11</v>
      </c>
      <c r="F1057" s="1" t="s">
        <v>12</v>
      </c>
      <c r="G1057">
        <v>10.5</v>
      </c>
      <c r="H1057">
        <v>1</v>
      </c>
      <c r="I1057">
        <v>0</v>
      </c>
      <c r="J1057" s="1" t="s">
        <v>241</v>
      </c>
      <c r="K1057" s="1" t="s">
        <v>336</v>
      </c>
    </row>
    <row r="1058" spans="1:11" x14ac:dyDescent="0.25">
      <c r="A1058" s="2">
        <v>45966.460949074077</v>
      </c>
      <c r="B1058" s="1" t="s">
        <v>354</v>
      </c>
      <c r="C1058" s="1" t="s">
        <v>359</v>
      </c>
      <c r="D1058" s="1" t="s">
        <v>20</v>
      </c>
      <c r="E1058" s="1" t="s">
        <v>11</v>
      </c>
      <c r="F1058" s="1" t="s">
        <v>12</v>
      </c>
      <c r="G1058">
        <v>10.5</v>
      </c>
      <c r="H1058">
        <v>1</v>
      </c>
      <c r="I1058">
        <v>0</v>
      </c>
      <c r="J1058" s="1" t="s">
        <v>241</v>
      </c>
      <c r="K1058" s="1" t="s">
        <v>345</v>
      </c>
    </row>
    <row r="1059" spans="1:11" x14ac:dyDescent="0.25">
      <c r="A1059" s="2">
        <v>45966.538391203707</v>
      </c>
      <c r="B1059" s="1" t="s">
        <v>350</v>
      </c>
      <c r="C1059" s="1" t="s">
        <v>359</v>
      </c>
      <c r="D1059" s="1" t="s">
        <v>10</v>
      </c>
      <c r="E1059" s="1" t="s">
        <v>11</v>
      </c>
      <c r="F1059" s="1" t="s">
        <v>15</v>
      </c>
      <c r="G1059">
        <v>3</v>
      </c>
      <c r="H1059">
        <v>0</v>
      </c>
      <c r="I1059">
        <v>0</v>
      </c>
      <c r="J1059" s="1"/>
      <c r="K1059" s="1" t="s">
        <v>341</v>
      </c>
    </row>
    <row r="1060" spans="1:11" x14ac:dyDescent="0.25">
      <c r="A1060" s="2">
        <v>45966.538854166669</v>
      </c>
      <c r="B1060" s="1" t="s">
        <v>350</v>
      </c>
      <c r="C1060" s="1" t="s">
        <v>359</v>
      </c>
      <c r="D1060" s="1" t="s">
        <v>10</v>
      </c>
      <c r="E1060" s="1" t="s">
        <v>11</v>
      </c>
      <c r="F1060" s="1" t="s">
        <v>15</v>
      </c>
      <c r="G1060">
        <v>3</v>
      </c>
      <c r="H1060">
        <v>0</v>
      </c>
      <c r="I1060">
        <v>0</v>
      </c>
      <c r="J1060" s="1" t="s">
        <v>243</v>
      </c>
      <c r="K1060" s="1" t="s">
        <v>342</v>
      </c>
    </row>
    <row r="1061" spans="1:11" x14ac:dyDescent="0.25">
      <c r="A1061" s="2">
        <v>45966.539166666669</v>
      </c>
      <c r="B1061" s="1" t="s">
        <v>350</v>
      </c>
      <c r="C1061" s="1" t="s">
        <v>359</v>
      </c>
      <c r="D1061" s="1" t="s">
        <v>10</v>
      </c>
      <c r="E1061" s="1" t="s">
        <v>11</v>
      </c>
      <c r="F1061" s="1" t="s">
        <v>15</v>
      </c>
      <c r="G1061">
        <v>3</v>
      </c>
      <c r="H1061">
        <v>0</v>
      </c>
      <c r="I1061">
        <v>0</v>
      </c>
      <c r="J1061" s="1" t="s">
        <v>244</v>
      </c>
      <c r="K1061" s="1" t="s">
        <v>336</v>
      </c>
    </row>
    <row r="1062" spans="1:11" x14ac:dyDescent="0.25">
      <c r="A1062" s="2">
        <v>45966.617546296293</v>
      </c>
      <c r="B1062" s="1" t="s">
        <v>348</v>
      </c>
      <c r="C1062" s="1" t="s">
        <v>359</v>
      </c>
      <c r="D1062" s="1" t="s">
        <v>10</v>
      </c>
      <c r="E1062" s="1" t="s">
        <v>11</v>
      </c>
      <c r="F1062" s="1" t="s">
        <v>12</v>
      </c>
      <c r="G1062">
        <v>10.5</v>
      </c>
      <c r="H1062">
        <v>0</v>
      </c>
      <c r="I1062">
        <v>0</v>
      </c>
      <c r="J1062" s="1"/>
      <c r="K1062" s="1" t="s">
        <v>340</v>
      </c>
    </row>
    <row r="1063" spans="1:11" x14ac:dyDescent="0.25">
      <c r="A1063" s="2">
        <v>45966.617546296293</v>
      </c>
      <c r="B1063" s="1" t="s">
        <v>348</v>
      </c>
      <c r="C1063" s="1" t="s">
        <v>359</v>
      </c>
      <c r="D1063" s="1" t="s">
        <v>10</v>
      </c>
      <c r="E1063" s="1" t="s">
        <v>11</v>
      </c>
      <c r="F1063" s="1" t="s">
        <v>12</v>
      </c>
      <c r="G1063">
        <v>10.5</v>
      </c>
      <c r="H1063">
        <v>0</v>
      </c>
      <c r="I1063">
        <v>0</v>
      </c>
      <c r="J1063" s="1"/>
      <c r="K1063" s="1" t="s">
        <v>343</v>
      </c>
    </row>
    <row r="1064" spans="1:11" x14ac:dyDescent="0.25">
      <c r="A1064" s="2">
        <v>45966.617673611108</v>
      </c>
      <c r="B1064" s="1" t="s">
        <v>348</v>
      </c>
      <c r="C1064" s="1" t="s">
        <v>359</v>
      </c>
      <c r="D1064" s="1" t="s">
        <v>10</v>
      </c>
      <c r="E1064" s="1" t="s">
        <v>11</v>
      </c>
      <c r="F1064" s="1" t="s">
        <v>12</v>
      </c>
      <c r="G1064">
        <v>10.5</v>
      </c>
      <c r="H1064">
        <v>1</v>
      </c>
      <c r="I1064">
        <v>0</v>
      </c>
      <c r="J1064" s="1"/>
      <c r="K1064" s="1" t="s">
        <v>337</v>
      </c>
    </row>
    <row r="1065" spans="1:11" x14ac:dyDescent="0.25">
      <c r="A1065" s="2">
        <v>45966.617708333331</v>
      </c>
      <c r="B1065" s="1" t="s">
        <v>348</v>
      </c>
      <c r="C1065" s="1" t="s">
        <v>359</v>
      </c>
      <c r="D1065" s="1" t="s">
        <v>10</v>
      </c>
      <c r="E1065" s="1" t="s">
        <v>11</v>
      </c>
      <c r="F1065" s="1" t="s">
        <v>14</v>
      </c>
      <c r="G1065">
        <v>0.5</v>
      </c>
      <c r="H1065">
        <v>0</v>
      </c>
      <c r="I1065">
        <v>0</v>
      </c>
      <c r="J1065" s="1"/>
      <c r="K1065" s="1" t="s">
        <v>344</v>
      </c>
    </row>
    <row r="1066" spans="1:11" x14ac:dyDescent="0.25">
      <c r="A1066" s="2">
        <v>45966.626493055555</v>
      </c>
      <c r="B1066" s="1" t="s">
        <v>349</v>
      </c>
      <c r="C1066" s="1" t="s">
        <v>359</v>
      </c>
      <c r="D1066" s="1" t="s">
        <v>10</v>
      </c>
      <c r="E1066" s="1" t="s">
        <v>11</v>
      </c>
      <c r="F1066" s="1" t="s">
        <v>15</v>
      </c>
      <c r="G1066">
        <v>3</v>
      </c>
      <c r="H1066">
        <v>1</v>
      </c>
      <c r="I1066">
        <v>0</v>
      </c>
      <c r="J1066" s="1"/>
      <c r="K1066" s="1" t="s">
        <v>337</v>
      </c>
    </row>
    <row r="1067" spans="1:11" x14ac:dyDescent="0.25">
      <c r="A1067" s="2">
        <v>45966.704525462963</v>
      </c>
      <c r="B1067" s="1" t="s">
        <v>353</v>
      </c>
      <c r="C1067" s="1" t="s">
        <v>359</v>
      </c>
      <c r="D1067" s="1" t="s">
        <v>10</v>
      </c>
      <c r="E1067" s="1" t="s">
        <v>11</v>
      </c>
      <c r="F1067" s="1" t="s">
        <v>15</v>
      </c>
      <c r="G1067">
        <v>3</v>
      </c>
      <c r="H1067">
        <v>0</v>
      </c>
      <c r="I1067">
        <v>0</v>
      </c>
      <c r="J1067" s="1" t="s">
        <v>245</v>
      </c>
      <c r="K1067" s="1" t="s">
        <v>343</v>
      </c>
    </row>
    <row r="1068" spans="1:11" x14ac:dyDescent="0.25">
      <c r="A1068" s="2">
        <v>45966.704826388886</v>
      </c>
      <c r="B1068" s="1" t="s">
        <v>353</v>
      </c>
      <c r="C1068" s="1" t="s">
        <v>359</v>
      </c>
      <c r="D1068" s="1" t="s">
        <v>10</v>
      </c>
      <c r="E1068" s="1" t="s">
        <v>11</v>
      </c>
      <c r="F1068" s="1" t="s">
        <v>14</v>
      </c>
      <c r="G1068">
        <v>0.5</v>
      </c>
      <c r="H1068">
        <v>0</v>
      </c>
      <c r="I1068">
        <v>0</v>
      </c>
      <c r="J1068" s="1" t="s">
        <v>246</v>
      </c>
      <c r="K1068" s="1" t="s">
        <v>342</v>
      </c>
    </row>
    <row r="1069" spans="1:11" x14ac:dyDescent="0.25">
      <c r="A1069" s="2">
        <v>45966.735844907409</v>
      </c>
      <c r="B1069" s="1" t="s">
        <v>355</v>
      </c>
      <c r="C1069" s="1" t="s">
        <v>359</v>
      </c>
      <c r="D1069" s="1" t="s">
        <v>10</v>
      </c>
      <c r="E1069" s="1" t="s">
        <v>11</v>
      </c>
      <c r="F1069" s="1" t="s">
        <v>15</v>
      </c>
      <c r="G1069">
        <v>3</v>
      </c>
      <c r="H1069">
        <v>0</v>
      </c>
      <c r="I1069">
        <v>0</v>
      </c>
      <c r="J1069" s="1" t="s">
        <v>247</v>
      </c>
      <c r="K1069" s="1" t="s">
        <v>340</v>
      </c>
    </row>
    <row r="1070" spans="1:11" x14ac:dyDescent="0.25">
      <c r="A1070" s="2">
        <v>45967.414548611108</v>
      </c>
      <c r="B1070" s="1" t="s">
        <v>352</v>
      </c>
      <c r="C1070" s="1" t="s">
        <v>360</v>
      </c>
      <c r="D1070" s="1" t="s">
        <v>20</v>
      </c>
      <c r="E1070" s="1" t="s">
        <v>11</v>
      </c>
      <c r="F1070" s="1" t="s">
        <v>15</v>
      </c>
      <c r="G1070">
        <v>3</v>
      </c>
      <c r="H1070">
        <v>0</v>
      </c>
      <c r="I1070">
        <v>0</v>
      </c>
      <c r="J1070" s="1" t="s">
        <v>248</v>
      </c>
      <c r="K1070" s="1" t="s">
        <v>345</v>
      </c>
    </row>
    <row r="1071" spans="1:11" x14ac:dyDescent="0.25">
      <c r="A1071" s="2">
        <v>45967.457824074074</v>
      </c>
      <c r="B1071" s="1" t="s">
        <v>347</v>
      </c>
      <c r="C1071" s="1" t="s">
        <v>360</v>
      </c>
      <c r="D1071" s="1" t="s">
        <v>10</v>
      </c>
      <c r="E1071" s="1" t="s">
        <v>11</v>
      </c>
      <c r="F1071" s="1" t="s">
        <v>15</v>
      </c>
      <c r="G1071">
        <v>3</v>
      </c>
      <c r="H1071">
        <v>0</v>
      </c>
      <c r="I1071">
        <v>0</v>
      </c>
      <c r="J1071" s="1"/>
      <c r="K1071" s="1" t="s">
        <v>343</v>
      </c>
    </row>
    <row r="1072" spans="1:11" x14ac:dyDescent="0.25">
      <c r="A1072" s="2">
        <v>45967.457939814813</v>
      </c>
      <c r="B1072" s="1" t="s">
        <v>347</v>
      </c>
      <c r="C1072" s="1" t="s">
        <v>360</v>
      </c>
      <c r="D1072" s="1" t="s">
        <v>10</v>
      </c>
      <c r="E1072" s="1" t="s">
        <v>11</v>
      </c>
      <c r="F1072" s="1" t="s">
        <v>15</v>
      </c>
      <c r="G1072">
        <v>3</v>
      </c>
      <c r="H1072">
        <v>0</v>
      </c>
      <c r="I1072">
        <v>0</v>
      </c>
      <c r="J1072" s="1"/>
      <c r="K1072" s="1" t="s">
        <v>343</v>
      </c>
    </row>
    <row r="1073" spans="1:11" x14ac:dyDescent="0.25">
      <c r="A1073" s="2">
        <v>45967.478067129632</v>
      </c>
      <c r="B1073" s="1" t="s">
        <v>354</v>
      </c>
      <c r="C1073" s="1" t="s">
        <v>360</v>
      </c>
      <c r="D1073" s="1" t="s">
        <v>10</v>
      </c>
      <c r="E1073" s="1" t="s">
        <v>11</v>
      </c>
      <c r="F1073" s="1" t="s">
        <v>14</v>
      </c>
      <c r="G1073">
        <v>0.5</v>
      </c>
      <c r="H1073">
        <v>0</v>
      </c>
      <c r="I1073">
        <v>0</v>
      </c>
      <c r="J1073" s="1"/>
      <c r="K1073" s="1" t="s">
        <v>344</v>
      </c>
    </row>
    <row r="1074" spans="1:11" x14ac:dyDescent="0.25">
      <c r="A1074" s="2">
        <v>45967.47865740741</v>
      </c>
      <c r="B1074" s="1" t="s">
        <v>354</v>
      </c>
      <c r="C1074" s="1" t="s">
        <v>360</v>
      </c>
      <c r="D1074" s="1" t="s">
        <v>20</v>
      </c>
      <c r="E1074" s="1" t="s">
        <v>17</v>
      </c>
      <c r="F1074" s="1" t="s">
        <v>15</v>
      </c>
      <c r="G1074">
        <v>3</v>
      </c>
      <c r="H1074">
        <v>0</v>
      </c>
      <c r="I1074">
        <v>0</v>
      </c>
      <c r="J1074" s="1" t="s">
        <v>249</v>
      </c>
      <c r="K1074" s="1" t="s">
        <v>345</v>
      </c>
    </row>
    <row r="1075" spans="1:11" x14ac:dyDescent="0.25">
      <c r="A1075" s="2">
        <v>45967.502395833333</v>
      </c>
      <c r="B1075" s="1" t="s">
        <v>350</v>
      </c>
      <c r="C1075" s="1" t="s">
        <v>360</v>
      </c>
      <c r="D1075" s="1" t="s">
        <v>10</v>
      </c>
      <c r="E1075" s="1" t="s">
        <v>17</v>
      </c>
      <c r="F1075" s="1" t="s">
        <v>12</v>
      </c>
      <c r="G1075">
        <v>10.5</v>
      </c>
      <c r="H1075">
        <v>1</v>
      </c>
      <c r="I1075">
        <v>0</v>
      </c>
      <c r="J1075" s="1"/>
      <c r="K1075" s="1" t="s">
        <v>340</v>
      </c>
    </row>
    <row r="1076" spans="1:11" x14ac:dyDescent="0.25">
      <c r="A1076" s="2">
        <v>45967.579814814817</v>
      </c>
      <c r="B1076" s="1" t="s">
        <v>351</v>
      </c>
      <c r="C1076" s="1" t="s">
        <v>360</v>
      </c>
      <c r="D1076" s="1" t="s">
        <v>10</v>
      </c>
      <c r="E1076" s="1" t="s">
        <v>11</v>
      </c>
      <c r="F1076" s="1" t="s">
        <v>15</v>
      </c>
      <c r="G1076">
        <v>3</v>
      </c>
      <c r="H1076">
        <v>0</v>
      </c>
      <c r="I1076">
        <v>0</v>
      </c>
      <c r="J1076" s="1"/>
      <c r="K1076" s="1" t="s">
        <v>341</v>
      </c>
    </row>
    <row r="1077" spans="1:11" x14ac:dyDescent="0.25">
      <c r="A1077" s="2">
        <v>45967.587013888886</v>
      </c>
      <c r="B1077" s="1" t="s">
        <v>348</v>
      </c>
      <c r="C1077" s="1" t="s">
        <v>360</v>
      </c>
      <c r="D1077" s="1" t="s">
        <v>10</v>
      </c>
      <c r="E1077" s="1" t="s">
        <v>11</v>
      </c>
      <c r="F1077" s="1" t="s">
        <v>15</v>
      </c>
      <c r="G1077">
        <v>3</v>
      </c>
      <c r="H1077">
        <v>1</v>
      </c>
      <c r="I1077">
        <v>0</v>
      </c>
      <c r="J1077" s="1"/>
      <c r="K1077" s="1" t="s">
        <v>336</v>
      </c>
    </row>
    <row r="1078" spans="1:11" x14ac:dyDescent="0.25">
      <c r="A1078" s="2">
        <v>45967.593715277777</v>
      </c>
      <c r="B1078" s="1" t="s">
        <v>348</v>
      </c>
      <c r="C1078" s="1" t="s">
        <v>360</v>
      </c>
      <c r="D1078" s="1" t="s">
        <v>10</v>
      </c>
      <c r="E1078" s="1" t="s">
        <v>11</v>
      </c>
      <c r="F1078" s="1" t="s">
        <v>15</v>
      </c>
      <c r="G1078">
        <v>3</v>
      </c>
      <c r="H1078">
        <v>0</v>
      </c>
      <c r="I1078">
        <v>0</v>
      </c>
      <c r="J1078" s="1" t="s">
        <v>127</v>
      </c>
      <c r="K1078" s="1" t="s">
        <v>342</v>
      </c>
    </row>
    <row r="1079" spans="1:11" x14ac:dyDescent="0.25">
      <c r="A1079" s="2">
        <v>45967.741307870368</v>
      </c>
      <c r="B1079" s="1" t="s">
        <v>355</v>
      </c>
      <c r="C1079" s="1" t="s">
        <v>360</v>
      </c>
      <c r="D1079" s="1" t="s">
        <v>10</v>
      </c>
      <c r="E1079" s="1" t="s">
        <v>11</v>
      </c>
      <c r="F1079" s="1" t="s">
        <v>14</v>
      </c>
      <c r="G1079">
        <v>0.5</v>
      </c>
      <c r="H1079">
        <v>0</v>
      </c>
      <c r="I1079">
        <v>0</v>
      </c>
      <c r="J1079" s="1"/>
      <c r="K1079" s="1" t="s">
        <v>345</v>
      </c>
    </row>
    <row r="1080" spans="1:11" x14ac:dyDescent="0.25">
      <c r="A1080" s="2">
        <v>45967.741377314815</v>
      </c>
      <c r="B1080" s="1" t="s">
        <v>355</v>
      </c>
      <c r="C1080" s="1" t="s">
        <v>360</v>
      </c>
      <c r="D1080" s="1" t="s">
        <v>10</v>
      </c>
      <c r="E1080" s="1" t="s">
        <v>11</v>
      </c>
      <c r="F1080" s="1" t="s">
        <v>14</v>
      </c>
      <c r="G1080">
        <v>0.5</v>
      </c>
      <c r="H1080">
        <v>0</v>
      </c>
      <c r="I1080">
        <v>0</v>
      </c>
      <c r="J1080" s="1"/>
      <c r="K1080" s="1" t="s">
        <v>344</v>
      </c>
    </row>
    <row r="1081" spans="1:11" x14ac:dyDescent="0.25">
      <c r="A1081" s="2">
        <v>45967.741469907407</v>
      </c>
      <c r="B1081" s="1" t="s">
        <v>355</v>
      </c>
      <c r="C1081" s="1" t="s">
        <v>360</v>
      </c>
      <c r="D1081" s="1" t="s">
        <v>10</v>
      </c>
      <c r="E1081" s="1" t="s">
        <v>11</v>
      </c>
      <c r="F1081" s="1" t="s">
        <v>14</v>
      </c>
      <c r="G1081">
        <v>0.5</v>
      </c>
      <c r="H1081">
        <v>0</v>
      </c>
      <c r="I1081">
        <v>0</v>
      </c>
      <c r="J1081" s="1"/>
      <c r="K1081" s="1" t="s">
        <v>344</v>
      </c>
    </row>
    <row r="1082" spans="1:11" x14ac:dyDescent="0.25">
      <c r="A1082" s="2">
        <v>45967.741539351853</v>
      </c>
      <c r="B1082" s="1" t="s">
        <v>355</v>
      </c>
      <c r="C1082" s="1" t="s">
        <v>360</v>
      </c>
      <c r="D1082" s="1" t="s">
        <v>10</v>
      </c>
      <c r="E1082" s="1" t="s">
        <v>11</v>
      </c>
      <c r="F1082" s="1" t="s">
        <v>14</v>
      </c>
      <c r="G1082">
        <v>0.5</v>
      </c>
      <c r="H1082">
        <v>0</v>
      </c>
      <c r="I1082">
        <v>0</v>
      </c>
      <c r="J1082" s="1"/>
      <c r="K1082" s="1" t="s">
        <v>344</v>
      </c>
    </row>
    <row r="1083" spans="1:11" x14ac:dyDescent="0.25">
      <c r="A1083" s="2">
        <v>45967.742291666669</v>
      </c>
      <c r="B1083" s="1" t="s">
        <v>355</v>
      </c>
      <c r="C1083" s="1" t="s">
        <v>360</v>
      </c>
      <c r="D1083" s="1" t="s">
        <v>10</v>
      </c>
      <c r="E1083" s="1" t="s">
        <v>11</v>
      </c>
      <c r="F1083" s="1" t="s">
        <v>15</v>
      </c>
      <c r="G1083">
        <v>3</v>
      </c>
      <c r="H1083">
        <v>0</v>
      </c>
      <c r="I1083">
        <v>0</v>
      </c>
      <c r="J1083" s="1"/>
      <c r="K1083" s="1" t="s">
        <v>341</v>
      </c>
    </row>
    <row r="1084" spans="1:11" x14ac:dyDescent="0.25">
      <c r="A1084" s="2">
        <v>45967.742442129631</v>
      </c>
      <c r="B1084" s="1" t="s">
        <v>355</v>
      </c>
      <c r="C1084" s="1" t="s">
        <v>360</v>
      </c>
      <c r="D1084" s="1" t="s">
        <v>20</v>
      </c>
      <c r="E1084" s="1" t="s">
        <v>11</v>
      </c>
      <c r="F1084" s="1" t="s">
        <v>15</v>
      </c>
      <c r="G1084">
        <v>3</v>
      </c>
      <c r="H1084">
        <v>1</v>
      </c>
      <c r="I1084">
        <v>0</v>
      </c>
      <c r="J1084" s="1"/>
      <c r="K1084" s="1" t="s">
        <v>336</v>
      </c>
    </row>
    <row r="1085" spans="1:11" x14ac:dyDescent="0.25">
      <c r="A1085" s="2">
        <v>45968.498680555553</v>
      </c>
      <c r="B1085" s="1" t="s">
        <v>354</v>
      </c>
      <c r="C1085" s="1" t="s">
        <v>361</v>
      </c>
      <c r="D1085" s="1" t="s">
        <v>10</v>
      </c>
      <c r="E1085" s="1" t="s">
        <v>11</v>
      </c>
      <c r="F1085" s="1" t="s">
        <v>14</v>
      </c>
      <c r="G1085">
        <v>0.5</v>
      </c>
      <c r="H1085">
        <v>0</v>
      </c>
      <c r="I1085">
        <v>0</v>
      </c>
      <c r="J1085" s="1"/>
      <c r="K1085" s="1" t="s">
        <v>344</v>
      </c>
    </row>
    <row r="1086" spans="1:11" x14ac:dyDescent="0.25">
      <c r="A1086" s="2">
        <v>45968.498773148145</v>
      </c>
      <c r="B1086" s="1" t="s">
        <v>354</v>
      </c>
      <c r="C1086" s="1" t="s">
        <v>361</v>
      </c>
      <c r="D1086" s="1" t="s">
        <v>10</v>
      </c>
      <c r="E1086" s="1" t="s">
        <v>11</v>
      </c>
      <c r="F1086" s="1" t="s">
        <v>14</v>
      </c>
      <c r="G1086">
        <v>0.5</v>
      </c>
      <c r="H1086">
        <v>0</v>
      </c>
      <c r="I1086">
        <v>0</v>
      </c>
      <c r="J1086" s="1"/>
      <c r="K1086" s="1" t="s">
        <v>343</v>
      </c>
    </row>
    <row r="1087" spans="1:11" x14ac:dyDescent="0.25">
      <c r="A1087" s="2">
        <v>45968.498773148145</v>
      </c>
      <c r="B1087" s="1" t="s">
        <v>354</v>
      </c>
      <c r="C1087" s="1" t="s">
        <v>361</v>
      </c>
      <c r="D1087" s="1" t="s">
        <v>10</v>
      </c>
      <c r="E1087" s="1" t="s">
        <v>11</v>
      </c>
      <c r="F1087" s="1" t="s">
        <v>14</v>
      </c>
      <c r="G1087">
        <v>0.5</v>
      </c>
      <c r="H1087">
        <v>0</v>
      </c>
      <c r="I1087">
        <v>0</v>
      </c>
      <c r="J1087" s="1"/>
      <c r="K1087" s="1" t="s">
        <v>344</v>
      </c>
    </row>
    <row r="1088" spans="1:11" x14ac:dyDescent="0.25">
      <c r="A1088" s="2">
        <v>45968.508564814816</v>
      </c>
      <c r="B1088" s="1" t="s">
        <v>350</v>
      </c>
      <c r="C1088" s="1" t="s">
        <v>361</v>
      </c>
      <c r="D1088" s="1" t="s">
        <v>10</v>
      </c>
      <c r="E1088" s="1" t="s">
        <v>11</v>
      </c>
      <c r="F1088" s="1" t="s">
        <v>15</v>
      </c>
      <c r="G1088">
        <v>3</v>
      </c>
      <c r="H1088">
        <v>0</v>
      </c>
      <c r="I1088">
        <v>0</v>
      </c>
      <c r="J1088" s="1"/>
      <c r="K1088" s="1" t="s">
        <v>343</v>
      </c>
    </row>
    <row r="1089" spans="1:11" x14ac:dyDescent="0.25">
      <c r="A1089" s="2">
        <v>45968.622511574074</v>
      </c>
      <c r="B1089" s="1" t="s">
        <v>348</v>
      </c>
      <c r="C1089" s="1" t="s">
        <v>361</v>
      </c>
      <c r="D1089" s="1" t="s">
        <v>10</v>
      </c>
      <c r="E1089" s="1" t="s">
        <v>11</v>
      </c>
      <c r="F1089" s="1" t="s">
        <v>18</v>
      </c>
      <c r="G1089">
        <v>20</v>
      </c>
      <c r="H1089">
        <v>0</v>
      </c>
      <c r="I1089">
        <v>0</v>
      </c>
      <c r="J1089" s="1"/>
      <c r="K1089" s="1" t="s">
        <v>340</v>
      </c>
    </row>
    <row r="1090" spans="1:11" x14ac:dyDescent="0.25">
      <c r="A1090" s="2">
        <v>45968.622650462959</v>
      </c>
      <c r="B1090" s="1" t="s">
        <v>348</v>
      </c>
      <c r="C1090" s="1" t="s">
        <v>361</v>
      </c>
      <c r="D1090" s="1" t="s">
        <v>10</v>
      </c>
      <c r="E1090" s="1" t="s">
        <v>11</v>
      </c>
      <c r="F1090" s="1" t="s">
        <v>18</v>
      </c>
      <c r="G1090">
        <v>20</v>
      </c>
      <c r="H1090">
        <v>0</v>
      </c>
      <c r="I1090">
        <v>0</v>
      </c>
      <c r="J1090" s="1"/>
      <c r="K1090" s="1" t="s">
        <v>340</v>
      </c>
    </row>
    <row r="1091" spans="1:11" x14ac:dyDescent="0.25">
      <c r="A1091" s="2">
        <v>45968.62290509259</v>
      </c>
      <c r="B1091" s="1" t="s">
        <v>348</v>
      </c>
      <c r="C1091" s="1" t="s">
        <v>361</v>
      </c>
      <c r="D1091" s="1" t="s">
        <v>10</v>
      </c>
      <c r="E1091" s="1" t="s">
        <v>11</v>
      </c>
      <c r="F1091" s="1" t="s">
        <v>15</v>
      </c>
      <c r="G1091">
        <v>3</v>
      </c>
      <c r="H1091">
        <v>0</v>
      </c>
      <c r="I1091">
        <v>0</v>
      </c>
      <c r="J1091" s="1" t="s">
        <v>250</v>
      </c>
      <c r="K1091" s="1" t="s">
        <v>343</v>
      </c>
    </row>
    <row r="1092" spans="1:11" x14ac:dyDescent="0.25">
      <c r="A1092" s="2">
        <v>45968.623124999998</v>
      </c>
      <c r="B1092" s="1" t="s">
        <v>348</v>
      </c>
      <c r="C1092" s="1" t="s">
        <v>361</v>
      </c>
      <c r="D1092" s="1" t="s">
        <v>10</v>
      </c>
      <c r="E1092" s="1" t="s">
        <v>11</v>
      </c>
      <c r="F1092" s="1" t="s">
        <v>15</v>
      </c>
      <c r="G1092">
        <v>3</v>
      </c>
      <c r="H1092">
        <v>0</v>
      </c>
      <c r="I1092">
        <v>0</v>
      </c>
      <c r="J1092" s="1" t="s">
        <v>251</v>
      </c>
      <c r="K1092" s="1" t="s">
        <v>345</v>
      </c>
    </row>
    <row r="1093" spans="1:11" x14ac:dyDescent="0.25">
      <c r="A1093" s="2">
        <v>45968.627453703702</v>
      </c>
      <c r="B1093" s="1" t="s">
        <v>349</v>
      </c>
      <c r="C1093" s="1" t="s">
        <v>361</v>
      </c>
      <c r="D1093" s="1" t="s">
        <v>10</v>
      </c>
      <c r="E1093" s="1" t="s">
        <v>11</v>
      </c>
      <c r="F1093" s="1" t="s">
        <v>15</v>
      </c>
      <c r="G1093">
        <v>3</v>
      </c>
      <c r="H1093">
        <v>0</v>
      </c>
      <c r="I1093">
        <v>0</v>
      </c>
      <c r="J1093" s="1"/>
      <c r="K1093" s="1" t="s">
        <v>336</v>
      </c>
    </row>
    <row r="1094" spans="1:11" x14ac:dyDescent="0.25">
      <c r="A1094" s="2">
        <v>45968.634155092594</v>
      </c>
      <c r="B1094" s="1" t="s">
        <v>349</v>
      </c>
      <c r="C1094" s="1" t="s">
        <v>361</v>
      </c>
      <c r="D1094" s="1" t="s">
        <v>10</v>
      </c>
      <c r="E1094" s="1" t="s">
        <v>11</v>
      </c>
      <c r="F1094" s="1" t="s">
        <v>15</v>
      </c>
      <c r="G1094">
        <v>3</v>
      </c>
      <c r="H1094">
        <v>0</v>
      </c>
      <c r="I1094">
        <v>0</v>
      </c>
      <c r="J1094" s="1"/>
      <c r="K1094" s="1" t="s">
        <v>336</v>
      </c>
    </row>
    <row r="1095" spans="1:11" x14ac:dyDescent="0.25">
      <c r="A1095" s="2">
        <v>45968.654907407406</v>
      </c>
      <c r="B1095" s="1" t="s">
        <v>349</v>
      </c>
      <c r="C1095" s="1" t="s">
        <v>361</v>
      </c>
      <c r="D1095" s="1" t="s">
        <v>10</v>
      </c>
      <c r="E1095" s="1" t="s">
        <v>11</v>
      </c>
      <c r="F1095" s="1" t="s">
        <v>12</v>
      </c>
      <c r="G1095">
        <v>10.5</v>
      </c>
      <c r="H1095">
        <v>0</v>
      </c>
      <c r="I1095">
        <v>0</v>
      </c>
      <c r="J1095" s="1"/>
      <c r="K1095" s="1" t="s">
        <v>342</v>
      </c>
    </row>
    <row r="1096" spans="1:11" x14ac:dyDescent="0.25">
      <c r="A1096" s="2">
        <v>45968.654999999999</v>
      </c>
      <c r="B1096" s="1" t="s">
        <v>349</v>
      </c>
      <c r="C1096" s="1" t="s">
        <v>361</v>
      </c>
      <c r="D1096" s="1" t="s">
        <v>10</v>
      </c>
      <c r="E1096" s="1" t="s">
        <v>11</v>
      </c>
      <c r="F1096" s="1" t="s">
        <v>15</v>
      </c>
      <c r="G1096">
        <v>3</v>
      </c>
      <c r="H1096">
        <v>1</v>
      </c>
      <c r="I1096">
        <v>0</v>
      </c>
      <c r="J1096" s="1"/>
      <c r="K1096" s="1" t="s">
        <v>336</v>
      </c>
    </row>
    <row r="1097" spans="1:11" x14ac:dyDescent="0.25">
      <c r="A1097" s="2">
        <v>45968.750451388885</v>
      </c>
      <c r="B1097" s="1" t="s">
        <v>355</v>
      </c>
      <c r="C1097" s="1" t="s">
        <v>361</v>
      </c>
      <c r="D1097" s="1" t="s">
        <v>10</v>
      </c>
      <c r="E1097" s="1" t="s">
        <v>11</v>
      </c>
      <c r="F1097" s="1" t="s">
        <v>15</v>
      </c>
      <c r="G1097">
        <v>3</v>
      </c>
      <c r="H1097">
        <v>0</v>
      </c>
      <c r="I1097">
        <v>0</v>
      </c>
      <c r="J1097" s="1"/>
      <c r="K1097" s="1" t="s">
        <v>343</v>
      </c>
    </row>
    <row r="1098" spans="1:11" x14ac:dyDescent="0.25">
      <c r="A1098" s="2">
        <v>45968.750567129631</v>
      </c>
      <c r="B1098" s="1" t="s">
        <v>355</v>
      </c>
      <c r="C1098" s="1" t="s">
        <v>361</v>
      </c>
      <c r="D1098" s="1" t="s">
        <v>20</v>
      </c>
      <c r="E1098" s="1" t="s">
        <v>11</v>
      </c>
      <c r="F1098" s="1" t="s">
        <v>15</v>
      </c>
      <c r="G1098">
        <v>3</v>
      </c>
      <c r="H1098">
        <v>0</v>
      </c>
      <c r="I1098">
        <v>0</v>
      </c>
      <c r="J1098" s="1"/>
      <c r="K1098" s="1" t="s">
        <v>344</v>
      </c>
    </row>
    <row r="1099" spans="1:11" x14ac:dyDescent="0.25">
      <c r="A1099" s="2">
        <v>45969.442835648151</v>
      </c>
      <c r="B1099" s="1" t="s">
        <v>347</v>
      </c>
      <c r="C1099" s="1" t="s">
        <v>362</v>
      </c>
      <c r="D1099" s="1" t="s">
        <v>10</v>
      </c>
      <c r="E1099" s="1" t="s">
        <v>11</v>
      </c>
      <c r="F1099" s="1" t="s">
        <v>12</v>
      </c>
      <c r="G1099">
        <v>10.5</v>
      </c>
      <c r="H1099">
        <v>0</v>
      </c>
      <c r="I1099">
        <v>0</v>
      </c>
      <c r="J1099" s="1"/>
      <c r="K1099" s="1" t="s">
        <v>340</v>
      </c>
    </row>
    <row r="1100" spans="1:11" x14ac:dyDescent="0.25">
      <c r="A1100" s="2">
        <v>45969.443622685183</v>
      </c>
      <c r="B1100" s="1" t="s">
        <v>347</v>
      </c>
      <c r="C1100" s="1" t="s">
        <v>362</v>
      </c>
      <c r="D1100" s="1" t="s">
        <v>10</v>
      </c>
      <c r="E1100" s="1" t="s">
        <v>11</v>
      </c>
      <c r="F1100" s="1" t="s">
        <v>12</v>
      </c>
      <c r="G1100">
        <v>10.5</v>
      </c>
      <c r="H1100">
        <v>0</v>
      </c>
      <c r="I1100">
        <v>0</v>
      </c>
      <c r="J1100" s="1" t="s">
        <v>252</v>
      </c>
      <c r="K1100" s="1" t="s">
        <v>337</v>
      </c>
    </row>
    <row r="1101" spans="1:11" x14ac:dyDescent="0.25">
      <c r="A1101" s="2">
        <v>45969.466458333336</v>
      </c>
      <c r="B1101" s="1" t="s">
        <v>354</v>
      </c>
      <c r="C1101" s="1" t="s">
        <v>362</v>
      </c>
      <c r="D1101" s="1" t="s">
        <v>10</v>
      </c>
      <c r="E1101" s="1" t="s">
        <v>11</v>
      </c>
      <c r="F1101" s="1" t="s">
        <v>12</v>
      </c>
      <c r="G1101">
        <v>10.5</v>
      </c>
      <c r="H1101">
        <v>0</v>
      </c>
      <c r="I1101">
        <v>0</v>
      </c>
      <c r="J1101" s="1" t="s">
        <v>253</v>
      </c>
      <c r="K1101" s="1" t="s">
        <v>342</v>
      </c>
    </row>
    <row r="1102" spans="1:11" x14ac:dyDescent="0.25">
      <c r="A1102" s="2">
        <v>45971.485925925925</v>
      </c>
      <c r="B1102" s="1" t="s">
        <v>354</v>
      </c>
      <c r="C1102" s="1" t="s">
        <v>363</v>
      </c>
      <c r="D1102" s="1" t="s">
        <v>10</v>
      </c>
      <c r="E1102" s="1" t="s">
        <v>11</v>
      </c>
      <c r="F1102" s="1" t="s">
        <v>12</v>
      </c>
      <c r="G1102">
        <v>10.5</v>
      </c>
      <c r="H1102">
        <v>0</v>
      </c>
      <c r="I1102">
        <v>0</v>
      </c>
      <c r="J1102" s="1"/>
      <c r="K1102" s="1" t="s">
        <v>106</v>
      </c>
    </row>
    <row r="1103" spans="1:11" x14ac:dyDescent="0.25">
      <c r="A1103" s="2">
        <v>45971.544849537036</v>
      </c>
      <c r="B1103" s="1" t="s">
        <v>351</v>
      </c>
      <c r="C1103" s="1" t="s">
        <v>363</v>
      </c>
      <c r="D1103" s="1" t="s">
        <v>10</v>
      </c>
      <c r="E1103" s="1" t="s">
        <v>11</v>
      </c>
      <c r="F1103" s="1" t="s">
        <v>12</v>
      </c>
      <c r="G1103">
        <v>10.5</v>
      </c>
      <c r="H1103">
        <v>0</v>
      </c>
      <c r="I1103">
        <v>0</v>
      </c>
      <c r="J1103" s="1"/>
      <c r="K1103" s="1" t="s">
        <v>340</v>
      </c>
    </row>
    <row r="1104" spans="1:11" x14ac:dyDescent="0.25">
      <c r="A1104" s="2">
        <v>45971.574305555558</v>
      </c>
      <c r="B1104" s="1" t="s">
        <v>351</v>
      </c>
      <c r="C1104" s="1" t="s">
        <v>363</v>
      </c>
      <c r="D1104" s="1" t="s">
        <v>10</v>
      </c>
      <c r="E1104" s="1" t="s">
        <v>11</v>
      </c>
      <c r="F1104" s="1" t="s">
        <v>12</v>
      </c>
      <c r="G1104">
        <v>10.5</v>
      </c>
      <c r="H1104">
        <v>0</v>
      </c>
      <c r="I1104">
        <v>0</v>
      </c>
      <c r="J1104" s="1"/>
      <c r="K1104" s="1" t="s">
        <v>340</v>
      </c>
    </row>
    <row r="1105" spans="1:11" x14ac:dyDescent="0.25">
      <c r="A1105" s="2">
        <v>45971.575266203705</v>
      </c>
      <c r="B1105" s="1" t="s">
        <v>351</v>
      </c>
      <c r="C1105" s="1" t="s">
        <v>363</v>
      </c>
      <c r="D1105" s="1" t="s">
        <v>10</v>
      </c>
      <c r="E1105" s="1" t="s">
        <v>11</v>
      </c>
      <c r="F1105" s="1" t="s">
        <v>14</v>
      </c>
      <c r="G1105">
        <v>0.5</v>
      </c>
      <c r="H1105">
        <v>0</v>
      </c>
      <c r="I1105">
        <v>0</v>
      </c>
      <c r="J1105" s="1" t="s">
        <v>254</v>
      </c>
      <c r="K1105" s="1" t="s">
        <v>345</v>
      </c>
    </row>
    <row r="1106" spans="1:11" x14ac:dyDescent="0.25">
      <c r="A1106" s="2">
        <v>45971.590983796297</v>
      </c>
      <c r="B1106" s="1" t="s">
        <v>348</v>
      </c>
      <c r="C1106" s="1" t="s">
        <v>363</v>
      </c>
      <c r="D1106" s="1" t="s">
        <v>10</v>
      </c>
      <c r="E1106" s="1" t="s">
        <v>11</v>
      </c>
      <c r="F1106" s="1" t="s">
        <v>14</v>
      </c>
      <c r="G1106">
        <v>0.5</v>
      </c>
      <c r="H1106">
        <v>0</v>
      </c>
      <c r="I1106">
        <v>0</v>
      </c>
      <c r="J1106" s="1" t="s">
        <v>255</v>
      </c>
      <c r="K1106" s="1" t="s">
        <v>345</v>
      </c>
    </row>
    <row r="1107" spans="1:11" x14ac:dyDescent="0.25">
      <c r="A1107" s="2">
        <v>45971.622557870367</v>
      </c>
      <c r="B1107" s="1" t="s">
        <v>348</v>
      </c>
      <c r="C1107" s="1" t="s">
        <v>363</v>
      </c>
      <c r="D1107" s="1" t="s">
        <v>10</v>
      </c>
      <c r="E1107" s="1" t="s">
        <v>11</v>
      </c>
      <c r="F1107" s="1" t="s">
        <v>14</v>
      </c>
      <c r="G1107">
        <v>0.5</v>
      </c>
      <c r="H1107">
        <v>0</v>
      </c>
      <c r="I1107">
        <v>0</v>
      </c>
      <c r="J1107" s="1" t="s">
        <v>256</v>
      </c>
      <c r="K1107" s="1" t="s">
        <v>345</v>
      </c>
    </row>
    <row r="1108" spans="1:11" x14ac:dyDescent="0.25">
      <c r="A1108" s="2">
        <v>45971.622824074075</v>
      </c>
      <c r="B1108" s="1" t="s">
        <v>348</v>
      </c>
      <c r="C1108" s="1" t="s">
        <v>363</v>
      </c>
      <c r="D1108" s="1" t="s">
        <v>10</v>
      </c>
      <c r="E1108" s="1" t="s">
        <v>11</v>
      </c>
      <c r="F1108" s="1" t="s">
        <v>14</v>
      </c>
      <c r="G1108">
        <v>0.5</v>
      </c>
      <c r="H1108">
        <v>0</v>
      </c>
      <c r="I1108">
        <v>1</v>
      </c>
      <c r="J1108" s="1" t="s">
        <v>257</v>
      </c>
      <c r="K1108" s="1" t="s">
        <v>336</v>
      </c>
    </row>
    <row r="1109" spans="1:11" x14ac:dyDescent="0.25">
      <c r="A1109" s="2">
        <v>45971.622824074075</v>
      </c>
      <c r="B1109" s="1" t="s">
        <v>348</v>
      </c>
      <c r="C1109" s="1" t="s">
        <v>363</v>
      </c>
      <c r="D1109" s="1" t="s">
        <v>10</v>
      </c>
      <c r="E1109" s="1" t="s">
        <v>11</v>
      </c>
      <c r="F1109" s="1" t="s">
        <v>14</v>
      </c>
      <c r="G1109">
        <v>0.5</v>
      </c>
      <c r="H1109">
        <v>0</v>
      </c>
      <c r="I1109">
        <v>1</v>
      </c>
      <c r="J1109" s="1" t="s">
        <v>257</v>
      </c>
      <c r="K1109" s="1" t="s">
        <v>345</v>
      </c>
    </row>
    <row r="1110" spans="1:11" x14ac:dyDescent="0.25">
      <c r="A1110" s="2">
        <v>45971.62290509259</v>
      </c>
      <c r="B1110" s="1" t="s">
        <v>348</v>
      </c>
      <c r="C1110" s="1" t="s">
        <v>363</v>
      </c>
      <c r="D1110" s="1" t="s">
        <v>10</v>
      </c>
      <c r="E1110" s="1" t="s">
        <v>11</v>
      </c>
      <c r="F1110" s="1" t="s">
        <v>15</v>
      </c>
      <c r="G1110">
        <v>3</v>
      </c>
      <c r="H1110">
        <v>1</v>
      </c>
      <c r="I1110">
        <v>0</v>
      </c>
      <c r="J1110" s="1"/>
      <c r="K1110" s="1" t="s">
        <v>336</v>
      </c>
    </row>
    <row r="1111" spans="1:11" x14ac:dyDescent="0.25">
      <c r="A1111" s="2">
        <v>45971.637650462966</v>
      </c>
      <c r="B1111" s="1" t="s">
        <v>349</v>
      </c>
      <c r="C1111" s="1" t="s">
        <v>363</v>
      </c>
      <c r="D1111" s="1" t="s">
        <v>10</v>
      </c>
      <c r="E1111" s="1" t="s">
        <v>11</v>
      </c>
      <c r="F1111" s="1" t="s">
        <v>12</v>
      </c>
      <c r="G1111">
        <v>10.5</v>
      </c>
      <c r="H1111">
        <v>0</v>
      </c>
      <c r="I1111">
        <v>0</v>
      </c>
      <c r="J1111" s="1"/>
      <c r="K1111" s="1" t="s">
        <v>336</v>
      </c>
    </row>
    <row r="1112" spans="1:11" x14ac:dyDescent="0.25">
      <c r="A1112" s="2">
        <v>45971.637650462966</v>
      </c>
      <c r="B1112" s="1" t="s">
        <v>349</v>
      </c>
      <c r="C1112" s="1" t="s">
        <v>363</v>
      </c>
      <c r="D1112" s="1" t="s">
        <v>10</v>
      </c>
      <c r="E1112" s="1" t="s">
        <v>11</v>
      </c>
      <c r="F1112" s="1" t="s">
        <v>12</v>
      </c>
      <c r="G1112">
        <v>10.5</v>
      </c>
      <c r="H1112">
        <v>0</v>
      </c>
      <c r="I1112">
        <v>0</v>
      </c>
      <c r="J1112" s="1"/>
      <c r="K1112" s="1" t="s">
        <v>342</v>
      </c>
    </row>
    <row r="1113" spans="1:11" x14ac:dyDescent="0.25">
      <c r="A1113" s="2">
        <v>45971.65053240741</v>
      </c>
      <c r="B1113" s="1" t="s">
        <v>349</v>
      </c>
      <c r="C1113" s="1" t="s">
        <v>363</v>
      </c>
      <c r="D1113" s="1" t="s">
        <v>10</v>
      </c>
      <c r="E1113" s="1" t="s">
        <v>11</v>
      </c>
      <c r="F1113" s="1" t="s">
        <v>15</v>
      </c>
      <c r="G1113">
        <v>3</v>
      </c>
      <c r="H1113">
        <v>0</v>
      </c>
      <c r="I1113">
        <v>0</v>
      </c>
      <c r="J1113" s="1" t="s">
        <v>258</v>
      </c>
      <c r="K1113" s="1" t="s">
        <v>345</v>
      </c>
    </row>
    <row r="1114" spans="1:11" x14ac:dyDescent="0.25">
      <c r="A1114" s="2">
        <v>45971.655266203707</v>
      </c>
      <c r="B1114" s="1" t="s">
        <v>349</v>
      </c>
      <c r="C1114" s="1" t="s">
        <v>363</v>
      </c>
      <c r="D1114" s="1" t="s">
        <v>10</v>
      </c>
      <c r="E1114" s="1" t="s">
        <v>11</v>
      </c>
      <c r="F1114" s="1" t="s">
        <v>15</v>
      </c>
      <c r="G1114">
        <v>3</v>
      </c>
      <c r="H1114">
        <v>0</v>
      </c>
      <c r="I1114">
        <v>0</v>
      </c>
      <c r="J1114" s="1" t="s">
        <v>259</v>
      </c>
      <c r="K1114" s="1" t="s">
        <v>345</v>
      </c>
    </row>
    <row r="1115" spans="1:11" x14ac:dyDescent="0.25">
      <c r="A1115" s="2">
        <v>45972.448229166665</v>
      </c>
      <c r="B1115" s="1" t="s">
        <v>347</v>
      </c>
      <c r="C1115" s="1" t="s">
        <v>358</v>
      </c>
      <c r="D1115" s="1" t="s">
        <v>10</v>
      </c>
      <c r="E1115" s="1" t="s">
        <v>11</v>
      </c>
      <c r="F1115" s="1" t="s">
        <v>14</v>
      </c>
      <c r="G1115">
        <v>0.5</v>
      </c>
      <c r="H1115">
        <v>0</v>
      </c>
      <c r="I1115">
        <v>0</v>
      </c>
      <c r="J1115" s="1"/>
      <c r="K1115" s="1" t="s">
        <v>343</v>
      </c>
    </row>
    <row r="1116" spans="1:11" x14ac:dyDescent="0.25">
      <c r="A1116" s="2">
        <v>45972.458078703705</v>
      </c>
      <c r="B1116" s="1" t="s">
        <v>347</v>
      </c>
      <c r="C1116" s="1" t="s">
        <v>358</v>
      </c>
      <c r="D1116" s="1" t="s">
        <v>20</v>
      </c>
      <c r="E1116" s="1" t="s">
        <v>11</v>
      </c>
      <c r="F1116" s="1" t="s">
        <v>12</v>
      </c>
      <c r="G1116">
        <v>10.5</v>
      </c>
      <c r="H1116">
        <v>0</v>
      </c>
      <c r="I1116">
        <v>0</v>
      </c>
      <c r="J1116" s="1" t="s">
        <v>260</v>
      </c>
      <c r="K1116" s="1" t="s">
        <v>345</v>
      </c>
    </row>
    <row r="1117" spans="1:11" x14ac:dyDescent="0.25">
      <c r="A1117" s="2">
        <v>45972.512662037036</v>
      </c>
      <c r="B1117" s="1" t="s">
        <v>350</v>
      </c>
      <c r="C1117" s="1" t="s">
        <v>358</v>
      </c>
      <c r="D1117" s="1" t="s">
        <v>10</v>
      </c>
      <c r="E1117" s="1" t="s">
        <v>11</v>
      </c>
      <c r="F1117" s="1" t="s">
        <v>15</v>
      </c>
      <c r="G1117">
        <v>3</v>
      </c>
      <c r="H1117">
        <v>1</v>
      </c>
      <c r="I1117">
        <v>0</v>
      </c>
      <c r="J1117" s="1"/>
      <c r="K1117" s="1" t="s">
        <v>336</v>
      </c>
    </row>
    <row r="1118" spans="1:11" x14ac:dyDescent="0.25">
      <c r="A1118" s="2">
        <v>45972.512766203705</v>
      </c>
      <c r="B1118" s="1" t="s">
        <v>350</v>
      </c>
      <c r="C1118" s="1" t="s">
        <v>358</v>
      </c>
      <c r="D1118" s="1" t="s">
        <v>10</v>
      </c>
      <c r="E1118" s="1" t="s">
        <v>11</v>
      </c>
      <c r="F1118" s="1" t="s">
        <v>14</v>
      </c>
      <c r="G1118">
        <v>0.5</v>
      </c>
      <c r="H1118">
        <v>0</v>
      </c>
      <c r="I1118">
        <v>0</v>
      </c>
      <c r="J1118" s="1"/>
      <c r="K1118" s="1" t="s">
        <v>344</v>
      </c>
    </row>
    <row r="1119" spans="1:11" x14ac:dyDescent="0.25">
      <c r="A1119" s="2">
        <v>45972.536585648151</v>
      </c>
      <c r="B1119" s="1" t="s">
        <v>350</v>
      </c>
      <c r="C1119" s="1" t="s">
        <v>358</v>
      </c>
      <c r="D1119" s="1" t="s">
        <v>10</v>
      </c>
      <c r="E1119" s="1" t="s">
        <v>11</v>
      </c>
      <c r="F1119" s="1" t="s">
        <v>12</v>
      </c>
      <c r="G1119">
        <v>10.5</v>
      </c>
      <c r="H1119">
        <v>1</v>
      </c>
      <c r="I1119">
        <v>1</v>
      </c>
      <c r="J1119" s="1" t="s">
        <v>261</v>
      </c>
      <c r="K1119" s="1" t="s">
        <v>336</v>
      </c>
    </row>
    <row r="1120" spans="1:11" x14ac:dyDescent="0.25">
      <c r="A1120" s="2">
        <v>45972.536585648151</v>
      </c>
      <c r="B1120" s="1" t="s">
        <v>350</v>
      </c>
      <c r="C1120" s="1" t="s">
        <v>358</v>
      </c>
      <c r="D1120" s="1" t="s">
        <v>10</v>
      </c>
      <c r="E1120" s="1" t="s">
        <v>11</v>
      </c>
      <c r="F1120" s="1" t="s">
        <v>12</v>
      </c>
      <c r="G1120">
        <v>10.5</v>
      </c>
      <c r="H1120">
        <v>1</v>
      </c>
      <c r="I1120">
        <v>1</v>
      </c>
      <c r="J1120" s="1" t="s">
        <v>261</v>
      </c>
      <c r="K1120" s="1" t="s">
        <v>345</v>
      </c>
    </row>
    <row r="1121" spans="1:11" x14ac:dyDescent="0.25">
      <c r="A1121" s="2">
        <v>45972.698692129627</v>
      </c>
      <c r="B1121" s="1" t="s">
        <v>353</v>
      </c>
      <c r="C1121" s="1" t="s">
        <v>358</v>
      </c>
      <c r="D1121" s="1" t="s">
        <v>10</v>
      </c>
      <c r="E1121" s="1" t="s">
        <v>11</v>
      </c>
      <c r="F1121" s="1" t="s">
        <v>12</v>
      </c>
      <c r="G1121">
        <v>10.5</v>
      </c>
      <c r="H1121">
        <v>0</v>
      </c>
      <c r="I1121">
        <v>0</v>
      </c>
      <c r="J1121" s="1"/>
      <c r="K1121" s="1" t="s">
        <v>340</v>
      </c>
    </row>
    <row r="1122" spans="1:11" x14ac:dyDescent="0.25">
      <c r="A1122" s="2">
        <v>45972.698692129627</v>
      </c>
      <c r="B1122" s="1" t="s">
        <v>353</v>
      </c>
      <c r="C1122" s="1" t="s">
        <v>358</v>
      </c>
      <c r="D1122" s="1" t="s">
        <v>10</v>
      </c>
      <c r="E1122" s="1" t="s">
        <v>11</v>
      </c>
      <c r="F1122" s="1" t="s">
        <v>12</v>
      </c>
      <c r="G1122">
        <v>10.5</v>
      </c>
      <c r="H1122">
        <v>0</v>
      </c>
      <c r="I1122">
        <v>0</v>
      </c>
      <c r="J1122" s="1"/>
      <c r="K1122" s="1" t="s">
        <v>106</v>
      </c>
    </row>
    <row r="1123" spans="1:11" x14ac:dyDescent="0.25">
      <c r="A1123" s="2">
        <v>45972.698842592596</v>
      </c>
      <c r="B1123" s="1" t="s">
        <v>353</v>
      </c>
      <c r="C1123" s="1" t="s">
        <v>358</v>
      </c>
      <c r="D1123" s="1" t="s">
        <v>20</v>
      </c>
      <c r="E1123" s="1" t="s">
        <v>11</v>
      </c>
      <c r="F1123" s="1" t="s">
        <v>15</v>
      </c>
      <c r="G1123">
        <v>3</v>
      </c>
      <c r="H1123">
        <v>1</v>
      </c>
      <c r="I1123">
        <v>0</v>
      </c>
      <c r="J1123" s="1"/>
      <c r="K1123" s="1" t="s">
        <v>336</v>
      </c>
    </row>
    <row r="1124" spans="1:11" x14ac:dyDescent="0.25">
      <c r="A1124" s="2">
        <v>45972.698935185188</v>
      </c>
      <c r="B1124" s="1" t="s">
        <v>353</v>
      </c>
      <c r="C1124" s="1" t="s">
        <v>358</v>
      </c>
      <c r="D1124" s="1" t="s">
        <v>10</v>
      </c>
      <c r="E1124" s="1" t="s">
        <v>11</v>
      </c>
      <c r="F1124" s="1" t="s">
        <v>14</v>
      </c>
      <c r="G1124">
        <v>0.5</v>
      </c>
      <c r="H1124">
        <v>0</v>
      </c>
      <c r="I1124">
        <v>0</v>
      </c>
      <c r="J1124" s="1"/>
      <c r="K1124" s="1" t="s">
        <v>344</v>
      </c>
    </row>
    <row r="1125" spans="1:11" x14ac:dyDescent="0.25">
      <c r="A1125" s="2">
        <v>45972.699016203704</v>
      </c>
      <c r="B1125" s="1" t="s">
        <v>353</v>
      </c>
      <c r="C1125" s="1" t="s">
        <v>358</v>
      </c>
      <c r="D1125" s="1" t="s">
        <v>10</v>
      </c>
      <c r="E1125" s="1" t="s">
        <v>11</v>
      </c>
      <c r="F1125" s="1" t="s">
        <v>14</v>
      </c>
      <c r="G1125">
        <v>0.5</v>
      </c>
      <c r="H1125">
        <v>0</v>
      </c>
      <c r="I1125">
        <v>0</v>
      </c>
      <c r="J1125" s="1"/>
      <c r="K1125" s="1" t="s">
        <v>344</v>
      </c>
    </row>
    <row r="1126" spans="1:11" x14ac:dyDescent="0.25">
      <c r="A1126" s="2">
        <v>45973.536423611113</v>
      </c>
      <c r="B1126" s="1" t="s">
        <v>350</v>
      </c>
      <c r="C1126" s="1" t="s">
        <v>359</v>
      </c>
      <c r="D1126" s="1" t="s">
        <v>10</v>
      </c>
      <c r="E1126" s="1" t="s">
        <v>11</v>
      </c>
      <c r="F1126" s="1" t="s">
        <v>18</v>
      </c>
      <c r="G1126">
        <v>20</v>
      </c>
      <c r="H1126">
        <v>1</v>
      </c>
      <c r="I1126">
        <v>0</v>
      </c>
      <c r="J1126" s="1"/>
      <c r="K1126" s="1" t="s">
        <v>336</v>
      </c>
    </row>
    <row r="1127" spans="1:11" x14ac:dyDescent="0.25">
      <c r="A1127" s="2">
        <v>45973.536423611113</v>
      </c>
      <c r="B1127" s="1" t="s">
        <v>350</v>
      </c>
      <c r="C1127" s="1" t="s">
        <v>359</v>
      </c>
      <c r="D1127" s="1" t="s">
        <v>10</v>
      </c>
      <c r="E1127" s="1" t="s">
        <v>11</v>
      </c>
      <c r="F1127" s="1" t="s">
        <v>18</v>
      </c>
      <c r="G1127">
        <v>20</v>
      </c>
      <c r="H1127">
        <v>1</v>
      </c>
      <c r="I1127">
        <v>0</v>
      </c>
      <c r="J1127" s="1"/>
      <c r="K1127" s="1" t="s">
        <v>340</v>
      </c>
    </row>
    <row r="1128" spans="1:11" x14ac:dyDescent="0.25">
      <c r="A1128" s="2">
        <v>45973.536423611113</v>
      </c>
      <c r="B1128" s="1" t="s">
        <v>350</v>
      </c>
      <c r="C1128" s="1" t="s">
        <v>359</v>
      </c>
      <c r="D1128" s="1" t="s">
        <v>10</v>
      </c>
      <c r="E1128" s="1" t="s">
        <v>11</v>
      </c>
      <c r="F1128" s="1" t="s">
        <v>18</v>
      </c>
      <c r="G1128">
        <v>20</v>
      </c>
      <c r="H1128">
        <v>1</v>
      </c>
      <c r="I1128">
        <v>0</v>
      </c>
      <c r="J1128" s="1"/>
      <c r="K1128" s="1" t="s">
        <v>106</v>
      </c>
    </row>
    <row r="1129" spans="1:11" x14ac:dyDescent="0.25">
      <c r="A1129" s="2">
        <v>45973.585196759261</v>
      </c>
      <c r="B1129" s="1" t="s">
        <v>348</v>
      </c>
      <c r="C1129" s="1" t="s">
        <v>359</v>
      </c>
      <c r="D1129" s="1" t="s">
        <v>10</v>
      </c>
      <c r="E1129" s="1" t="s">
        <v>11</v>
      </c>
      <c r="F1129" s="1" t="s">
        <v>12</v>
      </c>
      <c r="G1129">
        <v>10.5</v>
      </c>
      <c r="H1129">
        <v>1</v>
      </c>
      <c r="I1129">
        <v>0</v>
      </c>
      <c r="J1129" s="1"/>
      <c r="K1129" s="1" t="s">
        <v>336</v>
      </c>
    </row>
    <row r="1130" spans="1:11" x14ac:dyDescent="0.25">
      <c r="A1130" s="2">
        <v>45973.625856481478</v>
      </c>
      <c r="B1130" s="1" t="s">
        <v>349</v>
      </c>
      <c r="C1130" s="1" t="s">
        <v>359</v>
      </c>
      <c r="D1130" s="1" t="s">
        <v>10</v>
      </c>
      <c r="E1130" s="1" t="s">
        <v>11</v>
      </c>
      <c r="F1130" s="1" t="s">
        <v>14</v>
      </c>
      <c r="G1130">
        <v>0.5</v>
      </c>
      <c r="H1130">
        <v>0</v>
      </c>
      <c r="I1130">
        <v>0</v>
      </c>
      <c r="J1130" s="1"/>
      <c r="K1130" s="1" t="s">
        <v>342</v>
      </c>
    </row>
    <row r="1131" spans="1:11" x14ac:dyDescent="0.25">
      <c r="A1131" s="2">
        <v>45973.755729166667</v>
      </c>
      <c r="B1131" s="1" t="s">
        <v>355</v>
      </c>
      <c r="C1131" s="1" t="s">
        <v>359</v>
      </c>
      <c r="D1131" s="1" t="s">
        <v>10</v>
      </c>
      <c r="E1131" s="1" t="s">
        <v>11</v>
      </c>
      <c r="F1131" s="1" t="s">
        <v>14</v>
      </c>
      <c r="G1131">
        <v>0.5</v>
      </c>
      <c r="H1131">
        <v>0</v>
      </c>
      <c r="I1131">
        <v>0</v>
      </c>
      <c r="J1131" s="1"/>
      <c r="K1131" s="1" t="s">
        <v>345</v>
      </c>
    </row>
    <row r="1132" spans="1:11" x14ac:dyDescent="0.25">
      <c r="A1132" s="2">
        <v>45973.755844907406</v>
      </c>
      <c r="B1132" s="1" t="s">
        <v>355</v>
      </c>
      <c r="C1132" s="1" t="s">
        <v>359</v>
      </c>
      <c r="D1132" s="1" t="s">
        <v>10</v>
      </c>
      <c r="E1132" s="1" t="s">
        <v>11</v>
      </c>
      <c r="F1132" s="1" t="s">
        <v>14</v>
      </c>
      <c r="G1132">
        <v>0.5</v>
      </c>
      <c r="H1132">
        <v>0</v>
      </c>
      <c r="I1132">
        <v>0</v>
      </c>
      <c r="J1132" s="1"/>
      <c r="K1132" s="1" t="s">
        <v>345</v>
      </c>
    </row>
    <row r="1133" spans="1:11" x14ac:dyDescent="0.25">
      <c r="A1133" s="2">
        <v>45973.755960648145</v>
      </c>
      <c r="B1133" s="1" t="s">
        <v>355</v>
      </c>
      <c r="C1133" s="1" t="s">
        <v>359</v>
      </c>
      <c r="D1133" s="1" t="s">
        <v>10</v>
      </c>
      <c r="E1133" s="1" t="s">
        <v>11</v>
      </c>
      <c r="F1133" s="1" t="s">
        <v>15</v>
      </c>
      <c r="G1133">
        <v>3</v>
      </c>
      <c r="H1133">
        <v>0</v>
      </c>
      <c r="I1133">
        <v>0</v>
      </c>
      <c r="J1133" s="1"/>
      <c r="K1133" s="1" t="s">
        <v>341</v>
      </c>
    </row>
    <row r="1134" spans="1:11" x14ac:dyDescent="0.25">
      <c r="A1134" s="2">
        <v>45973.756018518521</v>
      </c>
      <c r="B1134" s="1" t="s">
        <v>355</v>
      </c>
      <c r="C1134" s="1" t="s">
        <v>359</v>
      </c>
      <c r="D1134" s="1" t="s">
        <v>10</v>
      </c>
      <c r="E1134" s="1" t="s">
        <v>11</v>
      </c>
      <c r="F1134" s="1" t="s">
        <v>15</v>
      </c>
      <c r="G1134">
        <v>3</v>
      </c>
      <c r="H1134">
        <v>0</v>
      </c>
      <c r="I1134">
        <v>0</v>
      </c>
      <c r="J1134" s="1"/>
      <c r="K1134" s="1" t="s">
        <v>342</v>
      </c>
    </row>
    <row r="1135" spans="1:11" x14ac:dyDescent="0.25">
      <c r="A1135" s="2">
        <v>45973.75608796296</v>
      </c>
      <c r="B1135" s="1" t="s">
        <v>355</v>
      </c>
      <c r="C1135" s="1" t="s">
        <v>359</v>
      </c>
      <c r="D1135" s="1" t="s">
        <v>10</v>
      </c>
      <c r="E1135" s="1" t="s">
        <v>11</v>
      </c>
      <c r="F1135" s="1" t="s">
        <v>14</v>
      </c>
      <c r="G1135">
        <v>0.5</v>
      </c>
      <c r="H1135">
        <v>0</v>
      </c>
      <c r="I1135">
        <v>0</v>
      </c>
      <c r="J1135" s="1"/>
      <c r="K1135" s="1" t="s">
        <v>343</v>
      </c>
    </row>
    <row r="1136" spans="1:11" x14ac:dyDescent="0.25">
      <c r="A1136" s="2">
        <v>45974.39502314815</v>
      </c>
      <c r="B1136" s="1" t="s">
        <v>352</v>
      </c>
      <c r="C1136" s="1" t="s">
        <v>360</v>
      </c>
      <c r="D1136" s="1" t="s">
        <v>10</v>
      </c>
      <c r="E1136" s="1" t="s">
        <v>11</v>
      </c>
      <c r="F1136" s="1" t="s">
        <v>15</v>
      </c>
      <c r="G1136">
        <v>3</v>
      </c>
      <c r="H1136">
        <v>0</v>
      </c>
      <c r="I1136">
        <v>0</v>
      </c>
      <c r="J1136" s="1" t="s">
        <v>262</v>
      </c>
      <c r="K1136" s="1" t="s">
        <v>343</v>
      </c>
    </row>
    <row r="1137" spans="1:11" x14ac:dyDescent="0.25">
      <c r="A1137" s="2">
        <v>45974.396909722222</v>
      </c>
      <c r="B1137" s="1" t="s">
        <v>352</v>
      </c>
      <c r="C1137" s="1" t="s">
        <v>360</v>
      </c>
      <c r="D1137" s="1" t="s">
        <v>10</v>
      </c>
      <c r="E1137" s="1" t="s">
        <v>11</v>
      </c>
      <c r="F1137" s="1" t="s">
        <v>15</v>
      </c>
      <c r="G1137">
        <v>3</v>
      </c>
      <c r="H1137">
        <v>0</v>
      </c>
      <c r="I1137">
        <v>0</v>
      </c>
      <c r="J1137" s="1"/>
      <c r="K1137" s="1" t="s">
        <v>342</v>
      </c>
    </row>
    <row r="1138" spans="1:11" x14ac:dyDescent="0.25">
      <c r="A1138" s="2">
        <v>45974.40824074074</v>
      </c>
      <c r="B1138" s="1" t="s">
        <v>352</v>
      </c>
      <c r="C1138" s="1" t="s">
        <v>360</v>
      </c>
      <c r="D1138" s="1" t="s">
        <v>10</v>
      </c>
      <c r="E1138" s="1" t="s">
        <v>11</v>
      </c>
      <c r="F1138" s="1" t="s">
        <v>14</v>
      </c>
      <c r="G1138">
        <v>0.5</v>
      </c>
      <c r="H1138">
        <v>0</v>
      </c>
      <c r="I1138">
        <v>0</v>
      </c>
      <c r="J1138" s="1"/>
      <c r="K1138" s="1" t="s">
        <v>344</v>
      </c>
    </row>
    <row r="1139" spans="1:11" x14ac:dyDescent="0.25">
      <c r="A1139" s="2">
        <v>45974.408333333333</v>
      </c>
      <c r="B1139" s="1" t="s">
        <v>352</v>
      </c>
      <c r="C1139" s="1" t="s">
        <v>360</v>
      </c>
      <c r="D1139" s="1" t="s">
        <v>10</v>
      </c>
      <c r="E1139" s="1" t="s">
        <v>11</v>
      </c>
      <c r="F1139" s="1" t="s">
        <v>15</v>
      </c>
      <c r="G1139">
        <v>3</v>
      </c>
      <c r="H1139">
        <v>1</v>
      </c>
      <c r="I1139">
        <v>0</v>
      </c>
      <c r="J1139" s="1"/>
      <c r="K1139" s="1" t="s">
        <v>106</v>
      </c>
    </row>
    <row r="1140" spans="1:11" x14ac:dyDescent="0.25">
      <c r="A1140" s="2">
        <v>45974.40861111111</v>
      </c>
      <c r="B1140" s="1" t="s">
        <v>352</v>
      </c>
      <c r="C1140" s="1" t="s">
        <v>360</v>
      </c>
      <c r="D1140" s="1" t="s">
        <v>10</v>
      </c>
      <c r="E1140" s="1" t="s">
        <v>11</v>
      </c>
      <c r="F1140" s="1" t="s">
        <v>12</v>
      </c>
      <c r="G1140">
        <v>10.5</v>
      </c>
      <c r="H1140">
        <v>0</v>
      </c>
      <c r="I1140">
        <v>0</v>
      </c>
      <c r="J1140" s="1"/>
      <c r="K1140" s="1" t="s">
        <v>343</v>
      </c>
    </row>
    <row r="1141" spans="1:11" x14ac:dyDescent="0.25">
      <c r="A1141" s="2">
        <v>45974.453043981484</v>
      </c>
      <c r="B1141" s="1" t="s">
        <v>347</v>
      </c>
      <c r="C1141" s="1" t="s">
        <v>360</v>
      </c>
      <c r="D1141" s="1" t="s">
        <v>10</v>
      </c>
      <c r="E1141" s="1" t="s">
        <v>11</v>
      </c>
      <c r="F1141" s="1" t="s">
        <v>15</v>
      </c>
      <c r="G1141">
        <v>3</v>
      </c>
      <c r="H1141">
        <v>0</v>
      </c>
      <c r="I1141">
        <v>0</v>
      </c>
      <c r="J1141" s="1" t="s">
        <v>263</v>
      </c>
      <c r="K1141" s="1" t="s">
        <v>345</v>
      </c>
    </row>
    <row r="1142" spans="1:11" x14ac:dyDescent="0.25">
      <c r="A1142" s="2">
        <v>45974.453182870369</v>
      </c>
      <c r="B1142" s="1" t="s">
        <v>347</v>
      </c>
      <c r="C1142" s="1" t="s">
        <v>360</v>
      </c>
      <c r="D1142" s="1" t="s">
        <v>10</v>
      </c>
      <c r="E1142" s="1" t="s">
        <v>11</v>
      </c>
      <c r="F1142" s="1" t="s">
        <v>12</v>
      </c>
      <c r="G1142">
        <v>10.5</v>
      </c>
      <c r="H1142">
        <v>0</v>
      </c>
      <c r="I1142">
        <v>0</v>
      </c>
      <c r="J1142" s="1"/>
      <c r="K1142" s="1" t="s">
        <v>106</v>
      </c>
    </row>
    <row r="1143" spans="1:11" x14ac:dyDescent="0.25">
      <c r="A1143" s="2">
        <v>45974.453333333331</v>
      </c>
      <c r="B1143" s="1" t="s">
        <v>347</v>
      </c>
      <c r="C1143" s="1" t="s">
        <v>360</v>
      </c>
      <c r="D1143" s="1" t="s">
        <v>10</v>
      </c>
      <c r="E1143" s="1" t="s">
        <v>11</v>
      </c>
      <c r="F1143" s="1" t="s">
        <v>12</v>
      </c>
      <c r="G1143">
        <v>10.5</v>
      </c>
      <c r="H1143">
        <v>0</v>
      </c>
      <c r="I1143">
        <v>0</v>
      </c>
      <c r="J1143" s="1"/>
      <c r="K1143" s="1" t="s">
        <v>106</v>
      </c>
    </row>
    <row r="1144" spans="1:11" x14ac:dyDescent="0.25">
      <c r="A1144" s="2">
        <v>45974.590081018519</v>
      </c>
      <c r="B1144" s="1" t="s">
        <v>348</v>
      </c>
      <c r="C1144" s="1" t="s">
        <v>360</v>
      </c>
      <c r="D1144" s="1" t="s">
        <v>10</v>
      </c>
      <c r="E1144" s="1" t="s">
        <v>11</v>
      </c>
      <c r="F1144" s="1" t="s">
        <v>14</v>
      </c>
      <c r="G1144">
        <v>0.5</v>
      </c>
      <c r="H1144">
        <v>0</v>
      </c>
      <c r="I1144">
        <v>0</v>
      </c>
      <c r="J1144" s="1"/>
      <c r="K1144" s="1" t="s">
        <v>344</v>
      </c>
    </row>
    <row r="1145" spans="1:11" x14ac:dyDescent="0.25">
      <c r="A1145" s="2">
        <v>45974.592199074075</v>
      </c>
      <c r="B1145" s="1" t="s">
        <v>348</v>
      </c>
      <c r="C1145" s="1" t="s">
        <v>360</v>
      </c>
      <c r="D1145" s="1" t="s">
        <v>10</v>
      </c>
      <c r="E1145" s="1" t="s">
        <v>11</v>
      </c>
      <c r="F1145" s="1" t="s">
        <v>15</v>
      </c>
      <c r="G1145">
        <v>3</v>
      </c>
      <c r="H1145">
        <v>1</v>
      </c>
      <c r="I1145">
        <v>0</v>
      </c>
      <c r="J1145" s="1"/>
      <c r="K1145" s="1" t="s">
        <v>336</v>
      </c>
    </row>
    <row r="1146" spans="1:11" x14ac:dyDescent="0.25">
      <c r="A1146" s="2">
        <v>45974.604861111111</v>
      </c>
      <c r="B1146" s="1" t="s">
        <v>348</v>
      </c>
      <c r="C1146" s="1" t="s">
        <v>360</v>
      </c>
      <c r="D1146" s="1" t="s">
        <v>10</v>
      </c>
      <c r="E1146" s="1" t="s">
        <v>11</v>
      </c>
      <c r="F1146" s="1" t="s">
        <v>15</v>
      </c>
      <c r="G1146">
        <v>3</v>
      </c>
      <c r="H1146">
        <v>0</v>
      </c>
      <c r="I1146">
        <v>0</v>
      </c>
      <c r="J1146" s="1"/>
      <c r="K1146" s="1" t="s">
        <v>336</v>
      </c>
    </row>
    <row r="1147" spans="1:11" x14ac:dyDescent="0.25">
      <c r="A1147" s="2">
        <v>45974.604861111111</v>
      </c>
      <c r="B1147" s="1" t="s">
        <v>348</v>
      </c>
      <c r="C1147" s="1" t="s">
        <v>360</v>
      </c>
      <c r="D1147" s="1" t="s">
        <v>10</v>
      </c>
      <c r="E1147" s="1" t="s">
        <v>11</v>
      </c>
      <c r="F1147" s="1" t="s">
        <v>15</v>
      </c>
      <c r="G1147">
        <v>3</v>
      </c>
      <c r="H1147">
        <v>0</v>
      </c>
      <c r="I1147">
        <v>0</v>
      </c>
      <c r="J1147" s="1"/>
      <c r="K1147" s="1" t="s">
        <v>106</v>
      </c>
    </row>
    <row r="1148" spans="1:11" x14ac:dyDescent="0.25">
      <c r="A1148" s="2">
        <v>45974.613020833334</v>
      </c>
      <c r="B1148" s="1" t="s">
        <v>348</v>
      </c>
      <c r="C1148" s="1" t="s">
        <v>360</v>
      </c>
      <c r="D1148" s="1" t="s">
        <v>10</v>
      </c>
      <c r="E1148" s="1" t="s">
        <v>11</v>
      </c>
      <c r="F1148" s="1" t="s">
        <v>15</v>
      </c>
      <c r="G1148">
        <v>3</v>
      </c>
      <c r="H1148">
        <v>1</v>
      </c>
      <c r="I1148">
        <v>0</v>
      </c>
      <c r="J1148" s="1"/>
      <c r="K1148" s="1" t="s">
        <v>336</v>
      </c>
    </row>
    <row r="1149" spans="1:11" x14ac:dyDescent="0.25">
      <c r="A1149" s="2">
        <v>45974.613020833334</v>
      </c>
      <c r="B1149" s="1" t="s">
        <v>348</v>
      </c>
      <c r="C1149" s="1" t="s">
        <v>360</v>
      </c>
      <c r="D1149" s="1" t="s">
        <v>10</v>
      </c>
      <c r="E1149" s="1" t="s">
        <v>11</v>
      </c>
      <c r="F1149" s="1" t="s">
        <v>15</v>
      </c>
      <c r="G1149">
        <v>3</v>
      </c>
      <c r="H1149">
        <v>1</v>
      </c>
      <c r="I1149">
        <v>0</v>
      </c>
      <c r="J1149" s="1"/>
      <c r="K1149" s="1" t="s">
        <v>106</v>
      </c>
    </row>
    <row r="1150" spans="1:11" x14ac:dyDescent="0.25">
      <c r="A1150" s="2">
        <v>45974.619884259257</v>
      </c>
      <c r="B1150" s="1" t="s">
        <v>348</v>
      </c>
      <c r="C1150" s="1" t="s">
        <v>360</v>
      </c>
      <c r="D1150" s="1" t="s">
        <v>10</v>
      </c>
      <c r="E1150" s="1" t="s">
        <v>11</v>
      </c>
      <c r="F1150" s="1" t="s">
        <v>14</v>
      </c>
      <c r="G1150">
        <v>0.5</v>
      </c>
      <c r="H1150">
        <v>0</v>
      </c>
      <c r="I1150">
        <v>0</v>
      </c>
      <c r="J1150" s="1" t="s">
        <v>264</v>
      </c>
      <c r="K1150" s="1" t="s">
        <v>345</v>
      </c>
    </row>
    <row r="1151" spans="1:11" x14ac:dyDescent="0.25">
      <c r="A1151" s="2">
        <v>45974.746759259258</v>
      </c>
      <c r="B1151" s="1" t="s">
        <v>355</v>
      </c>
      <c r="C1151" s="1" t="s">
        <v>360</v>
      </c>
      <c r="D1151" s="1" t="s">
        <v>20</v>
      </c>
      <c r="E1151" s="1" t="s">
        <v>11</v>
      </c>
      <c r="F1151" s="1" t="s">
        <v>12</v>
      </c>
      <c r="G1151">
        <v>10.5</v>
      </c>
      <c r="H1151">
        <v>1</v>
      </c>
      <c r="I1151">
        <v>0</v>
      </c>
      <c r="J1151" s="1"/>
      <c r="K1151" s="1" t="s">
        <v>336</v>
      </c>
    </row>
    <row r="1152" spans="1:11" x14ac:dyDescent="0.25">
      <c r="A1152" s="2">
        <v>45974.746759259258</v>
      </c>
      <c r="B1152" s="1" t="s">
        <v>355</v>
      </c>
      <c r="C1152" s="1" t="s">
        <v>360</v>
      </c>
      <c r="D1152" s="1" t="s">
        <v>20</v>
      </c>
      <c r="E1152" s="1" t="s">
        <v>11</v>
      </c>
      <c r="F1152" s="1" t="s">
        <v>12</v>
      </c>
      <c r="G1152">
        <v>10.5</v>
      </c>
      <c r="H1152">
        <v>1</v>
      </c>
      <c r="I1152">
        <v>0</v>
      </c>
      <c r="J1152" s="1"/>
      <c r="K1152" s="1" t="s">
        <v>344</v>
      </c>
    </row>
    <row r="1153" spans="1:11" x14ac:dyDescent="0.25">
      <c r="A1153" s="2">
        <v>45974.746874999997</v>
      </c>
      <c r="B1153" s="1" t="s">
        <v>355</v>
      </c>
      <c r="C1153" s="1" t="s">
        <v>360</v>
      </c>
      <c r="D1153" s="1" t="s">
        <v>10</v>
      </c>
      <c r="E1153" s="1" t="s">
        <v>11</v>
      </c>
      <c r="F1153" s="1" t="s">
        <v>15</v>
      </c>
      <c r="G1153">
        <v>3</v>
      </c>
      <c r="H1153">
        <v>1</v>
      </c>
      <c r="I1153">
        <v>0</v>
      </c>
      <c r="J1153" s="1"/>
      <c r="K1153" s="1" t="s">
        <v>336</v>
      </c>
    </row>
    <row r="1154" spans="1:11" x14ac:dyDescent="0.25">
      <c r="A1154" s="2">
        <v>45974.746944444443</v>
      </c>
      <c r="B1154" s="1" t="s">
        <v>355</v>
      </c>
      <c r="C1154" s="1" t="s">
        <v>360</v>
      </c>
      <c r="D1154" s="1" t="s">
        <v>10</v>
      </c>
      <c r="E1154" s="1" t="s">
        <v>11</v>
      </c>
      <c r="F1154" s="1" t="s">
        <v>14</v>
      </c>
      <c r="G1154">
        <v>0.5</v>
      </c>
      <c r="H1154">
        <v>0</v>
      </c>
      <c r="I1154">
        <v>0</v>
      </c>
      <c r="J1154" s="1"/>
      <c r="K1154" s="1" t="s">
        <v>344</v>
      </c>
    </row>
    <row r="1155" spans="1:11" x14ac:dyDescent="0.25">
      <c r="A1155" s="2">
        <v>45974.747013888889</v>
      </c>
      <c r="B1155" s="1" t="s">
        <v>355</v>
      </c>
      <c r="C1155" s="1" t="s">
        <v>360</v>
      </c>
      <c r="D1155" s="1" t="s">
        <v>10</v>
      </c>
      <c r="E1155" s="1" t="s">
        <v>11</v>
      </c>
      <c r="F1155" s="1" t="s">
        <v>14</v>
      </c>
      <c r="G1155">
        <v>0.5</v>
      </c>
      <c r="H1155">
        <v>0</v>
      </c>
      <c r="I1155">
        <v>0</v>
      </c>
      <c r="J1155" s="1"/>
      <c r="K1155" s="1" t="s">
        <v>345</v>
      </c>
    </row>
    <row r="1156" spans="1:11" x14ac:dyDescent="0.25">
      <c r="A1156" s="2">
        <v>45974.747129629628</v>
      </c>
      <c r="B1156" s="1" t="s">
        <v>355</v>
      </c>
      <c r="C1156" s="1" t="s">
        <v>360</v>
      </c>
      <c r="D1156" s="1" t="s">
        <v>10</v>
      </c>
      <c r="E1156" s="1" t="s">
        <v>11</v>
      </c>
      <c r="F1156" s="1" t="s">
        <v>14</v>
      </c>
      <c r="G1156">
        <v>0.5</v>
      </c>
      <c r="H1156">
        <v>0</v>
      </c>
      <c r="I1156">
        <v>0</v>
      </c>
      <c r="J1156" s="1"/>
      <c r="K1156" s="1" t="s">
        <v>342</v>
      </c>
    </row>
    <row r="1157" spans="1:11" x14ac:dyDescent="0.25">
      <c r="A1157" s="2">
        <v>45975.405532407407</v>
      </c>
      <c r="B1157" s="1" t="s">
        <v>352</v>
      </c>
      <c r="C1157" s="1" t="s">
        <v>361</v>
      </c>
      <c r="D1157" s="1" t="s">
        <v>10</v>
      </c>
      <c r="E1157" s="1" t="s">
        <v>11</v>
      </c>
      <c r="F1157" s="1" t="s">
        <v>14</v>
      </c>
      <c r="G1157">
        <v>0.5</v>
      </c>
      <c r="H1157">
        <v>0</v>
      </c>
      <c r="I1157">
        <v>0</v>
      </c>
      <c r="J1157" s="1"/>
      <c r="K1157" s="1" t="s">
        <v>344</v>
      </c>
    </row>
    <row r="1158" spans="1:11" x14ac:dyDescent="0.25">
      <c r="A1158" s="2">
        <v>45975.509375000001</v>
      </c>
      <c r="B1158" s="1" t="s">
        <v>350</v>
      </c>
      <c r="C1158" s="1" t="s">
        <v>361</v>
      </c>
      <c r="D1158" s="1" t="s">
        <v>10</v>
      </c>
      <c r="E1158" s="1" t="s">
        <v>11</v>
      </c>
      <c r="F1158" s="1" t="s">
        <v>15</v>
      </c>
      <c r="G1158">
        <v>3</v>
      </c>
      <c r="H1158">
        <v>0</v>
      </c>
      <c r="I1158">
        <v>0</v>
      </c>
      <c r="J1158" s="1"/>
      <c r="K1158" s="1" t="s">
        <v>343</v>
      </c>
    </row>
    <row r="1159" spans="1:11" x14ac:dyDescent="0.25">
      <c r="A1159" s="2">
        <v>45975.50949074074</v>
      </c>
      <c r="B1159" s="1" t="s">
        <v>350</v>
      </c>
      <c r="C1159" s="1" t="s">
        <v>361</v>
      </c>
      <c r="D1159" s="1" t="s">
        <v>10</v>
      </c>
      <c r="E1159" s="1" t="s">
        <v>11</v>
      </c>
      <c r="F1159" s="1" t="s">
        <v>14</v>
      </c>
      <c r="G1159">
        <v>0.5</v>
      </c>
      <c r="H1159">
        <v>0</v>
      </c>
      <c r="I1159">
        <v>0</v>
      </c>
      <c r="J1159" s="1"/>
      <c r="K1159" s="1" t="s">
        <v>343</v>
      </c>
    </row>
    <row r="1160" spans="1:11" x14ac:dyDescent="0.25">
      <c r="A1160" s="2">
        <v>45975.578136574077</v>
      </c>
      <c r="B1160" s="1" t="s">
        <v>351</v>
      </c>
      <c r="C1160" s="1" t="s">
        <v>361</v>
      </c>
      <c r="D1160" s="1" t="s">
        <v>10</v>
      </c>
      <c r="E1160" s="1" t="s">
        <v>11</v>
      </c>
      <c r="F1160" s="1" t="s">
        <v>12</v>
      </c>
      <c r="G1160">
        <v>10.5</v>
      </c>
      <c r="H1160">
        <v>0</v>
      </c>
      <c r="I1160">
        <v>0</v>
      </c>
      <c r="J1160" s="1"/>
      <c r="K1160" s="1" t="s">
        <v>340</v>
      </c>
    </row>
    <row r="1161" spans="1:11" x14ac:dyDescent="0.25">
      <c r="A1161" s="2">
        <v>45975.593564814815</v>
      </c>
      <c r="B1161" s="1" t="s">
        <v>348</v>
      </c>
      <c r="C1161" s="1" t="s">
        <v>361</v>
      </c>
      <c r="D1161" s="1" t="s">
        <v>10</v>
      </c>
      <c r="E1161" s="1" t="s">
        <v>11</v>
      </c>
      <c r="F1161" s="1" t="s">
        <v>12</v>
      </c>
      <c r="G1161">
        <v>10.5</v>
      </c>
      <c r="H1161">
        <v>1</v>
      </c>
      <c r="I1161">
        <v>0</v>
      </c>
      <c r="J1161" s="1"/>
      <c r="K1161" s="1" t="s">
        <v>336</v>
      </c>
    </row>
    <row r="1162" spans="1:11" x14ac:dyDescent="0.25">
      <c r="A1162" s="2">
        <v>45975.595405092594</v>
      </c>
      <c r="B1162" s="1" t="s">
        <v>348</v>
      </c>
      <c r="C1162" s="1" t="s">
        <v>361</v>
      </c>
      <c r="D1162" s="1" t="s">
        <v>10</v>
      </c>
      <c r="E1162" s="1" t="s">
        <v>11</v>
      </c>
      <c r="F1162" s="1" t="s">
        <v>14</v>
      </c>
      <c r="G1162">
        <v>0.5</v>
      </c>
      <c r="H1162">
        <v>0</v>
      </c>
      <c r="I1162">
        <v>0</v>
      </c>
      <c r="J1162" s="1" t="s">
        <v>265</v>
      </c>
      <c r="K1162" s="1" t="s">
        <v>344</v>
      </c>
    </row>
    <row r="1163" spans="1:11" x14ac:dyDescent="0.25">
      <c r="A1163" s="2">
        <v>45975.642511574071</v>
      </c>
      <c r="B1163" s="1" t="s">
        <v>349</v>
      </c>
      <c r="C1163" s="1" t="s">
        <v>361</v>
      </c>
      <c r="D1163" s="1" t="s">
        <v>10</v>
      </c>
      <c r="E1163" s="1" t="s">
        <v>11</v>
      </c>
      <c r="F1163" s="1" t="s">
        <v>12</v>
      </c>
      <c r="G1163">
        <v>10.5</v>
      </c>
      <c r="H1163">
        <v>0</v>
      </c>
      <c r="I1163">
        <v>0</v>
      </c>
      <c r="J1163" s="1"/>
      <c r="K1163" s="1" t="s">
        <v>340</v>
      </c>
    </row>
    <row r="1164" spans="1:11" x14ac:dyDescent="0.25">
      <c r="A1164" s="2">
        <v>45975.642604166664</v>
      </c>
      <c r="B1164" s="1" t="s">
        <v>349</v>
      </c>
      <c r="C1164" s="1" t="s">
        <v>361</v>
      </c>
      <c r="D1164" s="1" t="s">
        <v>10</v>
      </c>
      <c r="E1164" s="1" t="s">
        <v>11</v>
      </c>
      <c r="F1164" s="1" t="s">
        <v>15</v>
      </c>
      <c r="G1164">
        <v>3</v>
      </c>
      <c r="H1164">
        <v>0</v>
      </c>
      <c r="I1164">
        <v>0</v>
      </c>
      <c r="J1164" s="1"/>
      <c r="K1164" s="1" t="s">
        <v>341</v>
      </c>
    </row>
    <row r="1165" spans="1:11" x14ac:dyDescent="0.25">
      <c r="A1165" s="2">
        <v>45975.642708333333</v>
      </c>
      <c r="B1165" s="1" t="s">
        <v>349</v>
      </c>
      <c r="C1165" s="1" t="s">
        <v>361</v>
      </c>
      <c r="D1165" s="1" t="s">
        <v>10</v>
      </c>
      <c r="E1165" s="1" t="s">
        <v>11</v>
      </c>
      <c r="F1165" s="1" t="s">
        <v>15</v>
      </c>
      <c r="G1165">
        <v>3</v>
      </c>
      <c r="H1165">
        <v>1</v>
      </c>
      <c r="I1165">
        <v>0</v>
      </c>
      <c r="J1165" s="1"/>
      <c r="K1165" s="1" t="s">
        <v>336</v>
      </c>
    </row>
    <row r="1166" spans="1:11" x14ac:dyDescent="0.25">
      <c r="A1166" s="2">
        <v>45978.40730324074</v>
      </c>
      <c r="B1166" s="1" t="s">
        <v>352</v>
      </c>
      <c r="C1166" s="1" t="s">
        <v>363</v>
      </c>
      <c r="D1166" s="1" t="s">
        <v>10</v>
      </c>
      <c r="E1166" s="1" t="s">
        <v>11</v>
      </c>
      <c r="F1166" s="1" t="s">
        <v>15</v>
      </c>
      <c r="G1166">
        <v>3</v>
      </c>
      <c r="H1166">
        <v>0</v>
      </c>
      <c r="I1166">
        <v>0</v>
      </c>
      <c r="J1166" s="1"/>
      <c r="K1166" s="1" t="s">
        <v>341</v>
      </c>
    </row>
    <row r="1167" spans="1:11" x14ac:dyDescent="0.25">
      <c r="A1167" s="2">
        <v>45978.407372685186</v>
      </c>
      <c r="B1167" s="1" t="s">
        <v>352</v>
      </c>
      <c r="C1167" s="1" t="s">
        <v>363</v>
      </c>
      <c r="D1167" s="1" t="s">
        <v>10</v>
      </c>
      <c r="E1167" s="1" t="s">
        <v>11</v>
      </c>
      <c r="F1167" s="1" t="s">
        <v>15</v>
      </c>
      <c r="G1167">
        <v>3</v>
      </c>
      <c r="H1167">
        <v>0</v>
      </c>
      <c r="I1167">
        <v>0</v>
      </c>
      <c r="J1167" s="1"/>
      <c r="K1167" s="1" t="s">
        <v>341</v>
      </c>
    </row>
    <row r="1168" spans="1:11" x14ac:dyDescent="0.25">
      <c r="A1168" s="2">
        <v>45978.407604166663</v>
      </c>
      <c r="B1168" s="1" t="s">
        <v>352</v>
      </c>
      <c r="C1168" s="1" t="s">
        <v>363</v>
      </c>
      <c r="D1168" s="1" t="s">
        <v>10</v>
      </c>
      <c r="E1168" s="1" t="s">
        <v>11</v>
      </c>
      <c r="F1168" s="1" t="s">
        <v>15</v>
      </c>
      <c r="G1168">
        <v>3</v>
      </c>
      <c r="H1168">
        <v>0</v>
      </c>
      <c r="I1168">
        <v>0</v>
      </c>
      <c r="J1168" s="1"/>
      <c r="K1168" s="1" t="s">
        <v>343</v>
      </c>
    </row>
    <row r="1169" spans="1:11" x14ac:dyDescent="0.25">
      <c r="A1169" s="2">
        <v>45978.417743055557</v>
      </c>
      <c r="B1169" s="1" t="s">
        <v>347</v>
      </c>
      <c r="C1169" s="1" t="s">
        <v>363</v>
      </c>
      <c r="D1169" s="1" t="s">
        <v>10</v>
      </c>
      <c r="E1169" s="1" t="s">
        <v>11</v>
      </c>
      <c r="F1169" s="1" t="s">
        <v>15</v>
      </c>
      <c r="G1169">
        <v>3</v>
      </c>
      <c r="H1169">
        <v>1</v>
      </c>
      <c r="I1169">
        <v>0</v>
      </c>
      <c r="J1169" s="1" t="s">
        <v>266</v>
      </c>
      <c r="K1169" s="1" t="s">
        <v>336</v>
      </c>
    </row>
    <row r="1170" spans="1:11" x14ac:dyDescent="0.25">
      <c r="A1170" s="2">
        <v>45978.440949074073</v>
      </c>
      <c r="B1170" s="1" t="s">
        <v>347</v>
      </c>
      <c r="C1170" s="1" t="s">
        <v>363</v>
      </c>
      <c r="D1170" s="1" t="s">
        <v>10</v>
      </c>
      <c r="E1170" s="1" t="s">
        <v>11</v>
      </c>
      <c r="F1170" s="1" t="s">
        <v>15</v>
      </c>
      <c r="G1170">
        <v>3</v>
      </c>
      <c r="H1170">
        <v>0</v>
      </c>
      <c r="I1170">
        <v>0</v>
      </c>
      <c r="J1170" s="1" t="s">
        <v>267</v>
      </c>
      <c r="K1170" s="1" t="s">
        <v>345</v>
      </c>
    </row>
    <row r="1171" spans="1:11" x14ac:dyDescent="0.25">
      <c r="A1171" s="2">
        <v>45978.542893518519</v>
      </c>
      <c r="B1171" s="1" t="s">
        <v>351</v>
      </c>
      <c r="C1171" s="1" t="s">
        <v>363</v>
      </c>
      <c r="D1171" s="1" t="s">
        <v>10</v>
      </c>
      <c r="E1171" s="1" t="s">
        <v>11</v>
      </c>
      <c r="F1171" s="1" t="s">
        <v>12</v>
      </c>
      <c r="G1171">
        <v>10.5</v>
      </c>
      <c r="H1171">
        <v>0</v>
      </c>
      <c r="I1171">
        <v>0</v>
      </c>
      <c r="J1171" s="1"/>
      <c r="K1171" s="1" t="s">
        <v>336</v>
      </c>
    </row>
    <row r="1172" spans="1:11" x14ac:dyDescent="0.25">
      <c r="A1172" s="2">
        <v>45978.543067129627</v>
      </c>
      <c r="B1172" s="1" t="s">
        <v>351</v>
      </c>
      <c r="C1172" s="1" t="s">
        <v>363</v>
      </c>
      <c r="D1172" s="1" t="s">
        <v>10</v>
      </c>
      <c r="E1172" s="1" t="s">
        <v>11</v>
      </c>
      <c r="F1172" s="1" t="s">
        <v>12</v>
      </c>
      <c r="G1172">
        <v>10.5</v>
      </c>
      <c r="H1172">
        <v>0</v>
      </c>
      <c r="I1172">
        <v>0</v>
      </c>
      <c r="J1172" s="1"/>
      <c r="K1172" s="1" t="s">
        <v>340</v>
      </c>
    </row>
    <row r="1173" spans="1:11" x14ac:dyDescent="0.25">
      <c r="A1173" s="2">
        <v>45978.561006944445</v>
      </c>
      <c r="B1173" s="1" t="s">
        <v>351</v>
      </c>
      <c r="C1173" s="1" t="s">
        <v>363</v>
      </c>
      <c r="D1173" s="1" t="s">
        <v>10</v>
      </c>
      <c r="E1173" s="1" t="s">
        <v>11</v>
      </c>
      <c r="F1173" s="1" t="s">
        <v>12</v>
      </c>
      <c r="G1173">
        <v>10.5</v>
      </c>
      <c r="H1173">
        <v>0</v>
      </c>
      <c r="I1173">
        <v>0</v>
      </c>
      <c r="J1173" s="1"/>
      <c r="K1173" s="1" t="s">
        <v>340</v>
      </c>
    </row>
    <row r="1174" spans="1:11" x14ac:dyDescent="0.25">
      <c r="A1174" s="2">
        <v>45978.583865740744</v>
      </c>
      <c r="B1174" s="1" t="s">
        <v>348</v>
      </c>
      <c r="C1174" s="1" t="s">
        <v>363</v>
      </c>
      <c r="D1174" s="1" t="s">
        <v>20</v>
      </c>
      <c r="E1174" s="1" t="s">
        <v>11</v>
      </c>
      <c r="F1174" s="1" t="s">
        <v>18</v>
      </c>
      <c r="G1174">
        <v>20</v>
      </c>
      <c r="H1174">
        <v>0</v>
      </c>
      <c r="I1174">
        <v>0</v>
      </c>
      <c r="J1174" s="1" t="s">
        <v>268</v>
      </c>
      <c r="K1174" s="1" t="s">
        <v>345</v>
      </c>
    </row>
    <row r="1175" spans="1:11" x14ac:dyDescent="0.25">
      <c r="A1175" s="2">
        <v>45978.588171296295</v>
      </c>
      <c r="B1175" s="1" t="s">
        <v>348</v>
      </c>
      <c r="C1175" s="1" t="s">
        <v>363</v>
      </c>
      <c r="D1175" s="1" t="s">
        <v>10</v>
      </c>
      <c r="E1175" s="1" t="s">
        <v>11</v>
      </c>
      <c r="F1175" s="1" t="s">
        <v>15</v>
      </c>
      <c r="G1175">
        <v>3</v>
      </c>
      <c r="H1175">
        <v>0</v>
      </c>
      <c r="I1175">
        <v>0</v>
      </c>
      <c r="J1175" s="1" t="s">
        <v>269</v>
      </c>
      <c r="K1175" s="1" t="s">
        <v>345</v>
      </c>
    </row>
    <row r="1176" spans="1:11" x14ac:dyDescent="0.25">
      <c r="A1176" s="2">
        <v>45978.602638888886</v>
      </c>
      <c r="B1176" s="1" t="s">
        <v>348</v>
      </c>
      <c r="C1176" s="1" t="s">
        <v>363</v>
      </c>
      <c r="D1176" s="1" t="s">
        <v>10</v>
      </c>
      <c r="E1176" s="1" t="s">
        <v>11</v>
      </c>
      <c r="F1176" s="1" t="s">
        <v>15</v>
      </c>
      <c r="G1176">
        <v>3</v>
      </c>
      <c r="H1176">
        <v>0</v>
      </c>
      <c r="I1176">
        <v>0</v>
      </c>
      <c r="J1176" s="1"/>
      <c r="K1176" s="1" t="s">
        <v>336</v>
      </c>
    </row>
    <row r="1177" spans="1:11" x14ac:dyDescent="0.25">
      <c r="A1177" s="2">
        <v>45978.623055555552</v>
      </c>
      <c r="B1177" s="1" t="s">
        <v>348</v>
      </c>
      <c r="C1177" s="1" t="s">
        <v>363</v>
      </c>
      <c r="D1177" s="1" t="s">
        <v>10</v>
      </c>
      <c r="E1177" s="1" t="s">
        <v>11</v>
      </c>
      <c r="F1177" s="1" t="s">
        <v>12</v>
      </c>
      <c r="G1177">
        <v>10.5</v>
      </c>
      <c r="H1177">
        <v>1</v>
      </c>
      <c r="I1177">
        <v>1</v>
      </c>
      <c r="J1177" s="1"/>
      <c r="K1177" s="1" t="s">
        <v>337</v>
      </c>
    </row>
    <row r="1178" spans="1:11" x14ac:dyDescent="0.25">
      <c r="A1178" s="2">
        <v>45978.64565972222</v>
      </c>
      <c r="B1178" s="1" t="s">
        <v>349</v>
      </c>
      <c r="C1178" s="1" t="s">
        <v>363</v>
      </c>
      <c r="D1178" s="1" t="s">
        <v>10</v>
      </c>
      <c r="E1178" s="1" t="s">
        <v>11</v>
      </c>
      <c r="F1178" s="1" t="s">
        <v>14</v>
      </c>
      <c r="G1178">
        <v>0.5</v>
      </c>
      <c r="H1178">
        <v>0</v>
      </c>
      <c r="I1178">
        <v>0</v>
      </c>
      <c r="J1178" s="1" t="s">
        <v>214</v>
      </c>
      <c r="K1178" s="1" t="s">
        <v>345</v>
      </c>
    </row>
    <row r="1179" spans="1:11" x14ac:dyDescent="0.25">
      <c r="A1179" s="2">
        <v>45980.462777777779</v>
      </c>
      <c r="B1179" s="1" t="s">
        <v>354</v>
      </c>
      <c r="C1179" s="1" t="s">
        <v>359</v>
      </c>
      <c r="D1179" s="1" t="s">
        <v>10</v>
      </c>
      <c r="E1179" s="1" t="s">
        <v>11</v>
      </c>
      <c r="F1179" s="1" t="s">
        <v>15</v>
      </c>
      <c r="G1179">
        <v>3</v>
      </c>
      <c r="H1179">
        <v>1</v>
      </c>
      <c r="I1179">
        <v>0</v>
      </c>
      <c r="J1179" s="1"/>
      <c r="K1179" s="1" t="s">
        <v>343</v>
      </c>
    </row>
    <row r="1180" spans="1:11" x14ac:dyDescent="0.25">
      <c r="A1180" s="2">
        <v>45980.620243055557</v>
      </c>
      <c r="B1180" s="1" t="s">
        <v>348</v>
      </c>
      <c r="C1180" s="1" t="s">
        <v>359</v>
      </c>
      <c r="D1180" s="1" t="s">
        <v>10</v>
      </c>
      <c r="E1180" s="1" t="s">
        <v>11</v>
      </c>
      <c r="F1180" s="1" t="s">
        <v>18</v>
      </c>
      <c r="G1180">
        <v>20</v>
      </c>
      <c r="H1180">
        <v>1</v>
      </c>
      <c r="I1180">
        <v>0</v>
      </c>
      <c r="J1180" s="1"/>
      <c r="K1180" s="1" t="s">
        <v>336</v>
      </c>
    </row>
    <row r="1181" spans="1:11" x14ac:dyDescent="0.25">
      <c r="A1181" s="2">
        <v>45980.620243055557</v>
      </c>
      <c r="B1181" s="1" t="s">
        <v>348</v>
      </c>
      <c r="C1181" s="1" t="s">
        <v>359</v>
      </c>
      <c r="D1181" s="1" t="s">
        <v>10</v>
      </c>
      <c r="E1181" s="1" t="s">
        <v>11</v>
      </c>
      <c r="F1181" s="1" t="s">
        <v>18</v>
      </c>
      <c r="G1181">
        <v>20</v>
      </c>
      <c r="H1181">
        <v>1</v>
      </c>
      <c r="I1181">
        <v>0</v>
      </c>
      <c r="J1181" s="1"/>
      <c r="K1181" s="1" t="s">
        <v>340</v>
      </c>
    </row>
    <row r="1182" spans="1:11" x14ac:dyDescent="0.25">
      <c r="A1182" s="2">
        <v>45980.620243055557</v>
      </c>
      <c r="B1182" s="1" t="s">
        <v>348</v>
      </c>
      <c r="C1182" s="1" t="s">
        <v>359</v>
      </c>
      <c r="D1182" s="1" t="s">
        <v>10</v>
      </c>
      <c r="E1182" s="1" t="s">
        <v>11</v>
      </c>
      <c r="F1182" s="1" t="s">
        <v>18</v>
      </c>
      <c r="G1182">
        <v>20</v>
      </c>
      <c r="H1182">
        <v>1</v>
      </c>
      <c r="I1182">
        <v>0</v>
      </c>
      <c r="J1182" s="1"/>
      <c r="K1182" s="1" t="s">
        <v>106</v>
      </c>
    </row>
    <row r="1183" spans="1:11" x14ac:dyDescent="0.25">
      <c r="A1183" s="2">
        <v>45980.620428240742</v>
      </c>
      <c r="B1183" s="1" t="s">
        <v>348</v>
      </c>
      <c r="C1183" s="1" t="s">
        <v>359</v>
      </c>
      <c r="D1183" s="1" t="s">
        <v>10</v>
      </c>
      <c r="E1183" s="1" t="s">
        <v>11</v>
      </c>
      <c r="F1183" s="1" t="s">
        <v>15</v>
      </c>
      <c r="G1183">
        <v>3</v>
      </c>
      <c r="H1183">
        <v>0</v>
      </c>
      <c r="I1183">
        <v>0</v>
      </c>
      <c r="J1183" s="1" t="s">
        <v>270</v>
      </c>
      <c r="K1183" s="1" t="s">
        <v>345</v>
      </c>
    </row>
    <row r="1184" spans="1:11" x14ac:dyDescent="0.25">
      <c r="A1184" s="2">
        <v>45980.620532407411</v>
      </c>
      <c r="B1184" s="1" t="s">
        <v>348</v>
      </c>
      <c r="C1184" s="1" t="s">
        <v>359</v>
      </c>
      <c r="D1184" s="1" t="s">
        <v>10</v>
      </c>
      <c r="E1184" s="1" t="s">
        <v>11</v>
      </c>
      <c r="F1184" s="1" t="s">
        <v>15</v>
      </c>
      <c r="G1184">
        <v>3</v>
      </c>
      <c r="H1184">
        <v>1</v>
      </c>
      <c r="I1184">
        <v>0</v>
      </c>
      <c r="J1184" s="1"/>
      <c r="K1184" s="1" t="s">
        <v>336</v>
      </c>
    </row>
    <row r="1185" spans="1:11" x14ac:dyDescent="0.25">
      <c r="A1185" s="2">
        <v>45980.620532407411</v>
      </c>
      <c r="B1185" s="1" t="s">
        <v>348</v>
      </c>
      <c r="C1185" s="1" t="s">
        <v>359</v>
      </c>
      <c r="D1185" s="1" t="s">
        <v>10</v>
      </c>
      <c r="E1185" s="1" t="s">
        <v>11</v>
      </c>
      <c r="F1185" s="1" t="s">
        <v>15</v>
      </c>
      <c r="G1185">
        <v>3</v>
      </c>
      <c r="H1185">
        <v>1</v>
      </c>
      <c r="I1185">
        <v>0</v>
      </c>
      <c r="J1185" s="1"/>
      <c r="K1185" s="1" t="s">
        <v>106</v>
      </c>
    </row>
    <row r="1186" spans="1:11" x14ac:dyDescent="0.25">
      <c r="A1186" s="2">
        <v>45980.620648148149</v>
      </c>
      <c r="B1186" s="1" t="s">
        <v>348</v>
      </c>
      <c r="C1186" s="1" t="s">
        <v>359</v>
      </c>
      <c r="D1186" s="1" t="s">
        <v>10</v>
      </c>
      <c r="E1186" s="1" t="s">
        <v>11</v>
      </c>
      <c r="F1186" s="1" t="s">
        <v>15</v>
      </c>
      <c r="G1186">
        <v>3</v>
      </c>
      <c r="H1186">
        <v>1</v>
      </c>
      <c r="I1186">
        <v>0</v>
      </c>
      <c r="J1186" s="1"/>
      <c r="K1186" s="1" t="s">
        <v>336</v>
      </c>
    </row>
    <row r="1187" spans="1:11" x14ac:dyDescent="0.25">
      <c r="A1187" s="2">
        <v>45980.620833333334</v>
      </c>
      <c r="B1187" s="1" t="s">
        <v>348</v>
      </c>
      <c r="C1187" s="1" t="s">
        <v>359</v>
      </c>
      <c r="D1187" s="1" t="s">
        <v>10</v>
      </c>
      <c r="E1187" s="1" t="s">
        <v>11</v>
      </c>
      <c r="F1187" s="1" t="s">
        <v>15</v>
      </c>
      <c r="G1187">
        <v>3</v>
      </c>
      <c r="H1187">
        <v>0</v>
      </c>
      <c r="I1187">
        <v>1</v>
      </c>
      <c r="J1187" s="1" t="s">
        <v>271</v>
      </c>
      <c r="K1187" s="1" t="s">
        <v>337</v>
      </c>
    </row>
    <row r="1188" spans="1:11" x14ac:dyDescent="0.25">
      <c r="A1188" s="2">
        <v>45981.455868055556</v>
      </c>
      <c r="B1188" s="1" t="s">
        <v>347</v>
      </c>
      <c r="C1188" s="1" t="s">
        <v>360</v>
      </c>
      <c r="D1188" s="1" t="s">
        <v>10</v>
      </c>
      <c r="E1188" s="1" t="s">
        <v>11</v>
      </c>
      <c r="F1188" s="1" t="s">
        <v>12</v>
      </c>
      <c r="G1188">
        <v>10.5</v>
      </c>
      <c r="H1188">
        <v>0</v>
      </c>
      <c r="I1188">
        <v>0</v>
      </c>
      <c r="J1188" s="1"/>
      <c r="K1188" s="1" t="s">
        <v>343</v>
      </c>
    </row>
    <row r="1189" spans="1:11" x14ac:dyDescent="0.25">
      <c r="A1189" s="2">
        <v>45981.456041666665</v>
      </c>
      <c r="B1189" s="1" t="s">
        <v>347</v>
      </c>
      <c r="C1189" s="1" t="s">
        <v>360</v>
      </c>
      <c r="D1189" s="1" t="s">
        <v>10</v>
      </c>
      <c r="E1189" s="1" t="s">
        <v>11</v>
      </c>
      <c r="F1189" s="1" t="s">
        <v>15</v>
      </c>
      <c r="G1189">
        <v>3</v>
      </c>
      <c r="H1189">
        <v>0</v>
      </c>
      <c r="I1189">
        <v>0</v>
      </c>
      <c r="J1189" s="1"/>
      <c r="K1189" s="1" t="s">
        <v>343</v>
      </c>
    </row>
    <row r="1190" spans="1:11" x14ac:dyDescent="0.25">
      <c r="A1190" s="2">
        <v>45981.506539351853</v>
      </c>
      <c r="B1190" s="1" t="s">
        <v>350</v>
      </c>
      <c r="C1190" s="1" t="s">
        <v>360</v>
      </c>
      <c r="D1190" s="1" t="s">
        <v>10</v>
      </c>
      <c r="E1190" s="1" t="s">
        <v>11</v>
      </c>
      <c r="F1190" s="1" t="s">
        <v>15</v>
      </c>
      <c r="G1190">
        <v>3</v>
      </c>
      <c r="H1190">
        <v>0</v>
      </c>
      <c r="I1190">
        <v>0</v>
      </c>
      <c r="J1190" s="1"/>
      <c r="K1190" s="1" t="s">
        <v>341</v>
      </c>
    </row>
    <row r="1191" spans="1:11" x14ac:dyDescent="0.25">
      <c r="A1191" s="2">
        <v>45981.545104166667</v>
      </c>
      <c r="B1191" s="1" t="s">
        <v>351</v>
      </c>
      <c r="C1191" s="1" t="s">
        <v>360</v>
      </c>
      <c r="D1191" s="1" t="s">
        <v>10</v>
      </c>
      <c r="E1191" s="1" t="s">
        <v>11</v>
      </c>
      <c r="F1191" s="1" t="s">
        <v>18</v>
      </c>
      <c r="G1191">
        <v>20</v>
      </c>
      <c r="H1191">
        <v>0</v>
      </c>
      <c r="I1191">
        <v>0</v>
      </c>
      <c r="J1191" s="1"/>
      <c r="K1191" s="1" t="s">
        <v>336</v>
      </c>
    </row>
    <row r="1192" spans="1:11" x14ac:dyDescent="0.25">
      <c r="A1192" s="2">
        <v>45981.58556712963</v>
      </c>
      <c r="B1192" s="1" t="s">
        <v>348</v>
      </c>
      <c r="C1192" s="1" t="s">
        <v>360</v>
      </c>
      <c r="D1192" s="1" t="s">
        <v>10</v>
      </c>
      <c r="E1192" s="1" t="s">
        <v>11</v>
      </c>
      <c r="F1192" s="1" t="s">
        <v>15</v>
      </c>
      <c r="G1192">
        <v>3</v>
      </c>
      <c r="H1192">
        <v>1</v>
      </c>
      <c r="I1192">
        <v>0</v>
      </c>
      <c r="J1192" s="1"/>
      <c r="K1192" s="1" t="s">
        <v>336</v>
      </c>
    </row>
    <row r="1193" spans="1:11" x14ac:dyDescent="0.25">
      <c r="A1193" s="2">
        <v>45981.590150462966</v>
      </c>
      <c r="B1193" s="1" t="s">
        <v>348</v>
      </c>
      <c r="C1193" s="1" t="s">
        <v>360</v>
      </c>
      <c r="D1193" s="1" t="s">
        <v>10</v>
      </c>
      <c r="E1193" s="1" t="s">
        <v>11</v>
      </c>
      <c r="F1193" s="1" t="s">
        <v>14</v>
      </c>
      <c r="G1193">
        <v>0.5</v>
      </c>
      <c r="H1193">
        <v>0</v>
      </c>
      <c r="I1193">
        <v>0</v>
      </c>
      <c r="J1193" s="1"/>
      <c r="K1193" s="1" t="s">
        <v>344</v>
      </c>
    </row>
    <row r="1194" spans="1:11" x14ac:dyDescent="0.25">
      <c r="A1194" s="2">
        <v>45981.612905092596</v>
      </c>
      <c r="B1194" s="1" t="s">
        <v>348</v>
      </c>
      <c r="C1194" s="1" t="s">
        <v>360</v>
      </c>
      <c r="D1194" s="1" t="s">
        <v>10</v>
      </c>
      <c r="E1194" s="1" t="s">
        <v>17</v>
      </c>
      <c r="F1194" s="1" t="s">
        <v>15</v>
      </c>
      <c r="G1194">
        <v>3</v>
      </c>
      <c r="H1194">
        <v>0</v>
      </c>
      <c r="I1194">
        <v>0</v>
      </c>
      <c r="J1194" s="1"/>
      <c r="K1194" s="1" t="s">
        <v>342</v>
      </c>
    </row>
    <row r="1195" spans="1:11" x14ac:dyDescent="0.25">
      <c r="A1195" s="2">
        <v>45981.613136574073</v>
      </c>
      <c r="B1195" s="1" t="s">
        <v>348</v>
      </c>
      <c r="C1195" s="1" t="s">
        <v>360</v>
      </c>
      <c r="D1195" s="1" t="s">
        <v>10</v>
      </c>
      <c r="E1195" s="1" t="s">
        <v>11</v>
      </c>
      <c r="F1195" s="1" t="s">
        <v>12</v>
      </c>
      <c r="G1195">
        <v>10.5</v>
      </c>
      <c r="H1195">
        <v>1</v>
      </c>
      <c r="I1195">
        <v>0</v>
      </c>
      <c r="J1195" s="1"/>
      <c r="K1195" s="1" t="s">
        <v>340</v>
      </c>
    </row>
    <row r="1196" spans="1:11" x14ac:dyDescent="0.25">
      <c r="A1196" s="2">
        <v>45981.613136574073</v>
      </c>
      <c r="B1196" s="1" t="s">
        <v>348</v>
      </c>
      <c r="C1196" s="1" t="s">
        <v>360</v>
      </c>
      <c r="D1196" s="1" t="s">
        <v>10</v>
      </c>
      <c r="E1196" s="1" t="s">
        <v>11</v>
      </c>
      <c r="F1196" s="1" t="s">
        <v>12</v>
      </c>
      <c r="G1196">
        <v>10.5</v>
      </c>
      <c r="H1196">
        <v>1</v>
      </c>
      <c r="I1196">
        <v>0</v>
      </c>
      <c r="J1196" s="1"/>
      <c r="K1196" s="1" t="s">
        <v>343</v>
      </c>
    </row>
    <row r="1197" spans="1:11" x14ac:dyDescent="0.25">
      <c r="A1197" s="2">
        <v>45981.613252314812</v>
      </c>
      <c r="B1197" s="1" t="s">
        <v>348</v>
      </c>
      <c r="C1197" s="1" t="s">
        <v>360</v>
      </c>
      <c r="D1197" s="1" t="s">
        <v>10</v>
      </c>
      <c r="E1197" s="1" t="s">
        <v>11</v>
      </c>
      <c r="F1197" s="1" t="s">
        <v>15</v>
      </c>
      <c r="G1197">
        <v>3</v>
      </c>
      <c r="H1197">
        <v>1</v>
      </c>
      <c r="I1197">
        <v>0</v>
      </c>
      <c r="J1197" s="1"/>
      <c r="K1197" s="1" t="s">
        <v>336</v>
      </c>
    </row>
    <row r="1198" spans="1:11" x14ac:dyDescent="0.25">
      <c r="A1198" s="2">
        <v>45982.392800925925</v>
      </c>
      <c r="B1198" s="1" t="s">
        <v>352</v>
      </c>
      <c r="C1198" s="1" t="s">
        <v>361</v>
      </c>
      <c r="D1198" s="1" t="s">
        <v>10</v>
      </c>
      <c r="E1198" s="1" t="s">
        <v>11</v>
      </c>
      <c r="F1198" s="1" t="s">
        <v>15</v>
      </c>
      <c r="G1198">
        <v>3</v>
      </c>
      <c r="H1198">
        <v>0</v>
      </c>
      <c r="I1198">
        <v>0</v>
      </c>
      <c r="J1198" s="1"/>
      <c r="K1198" s="1" t="s">
        <v>342</v>
      </c>
    </row>
    <row r="1199" spans="1:11" x14ac:dyDescent="0.25">
      <c r="A1199" s="2">
        <v>45982.392997685187</v>
      </c>
      <c r="B1199" s="1" t="s">
        <v>352</v>
      </c>
      <c r="C1199" s="1" t="s">
        <v>361</v>
      </c>
      <c r="D1199" s="1" t="s">
        <v>10</v>
      </c>
      <c r="E1199" s="1" t="s">
        <v>11</v>
      </c>
      <c r="F1199" s="1" t="s">
        <v>14</v>
      </c>
      <c r="G1199">
        <v>0.5</v>
      </c>
      <c r="H1199">
        <v>0</v>
      </c>
      <c r="I1199">
        <v>0</v>
      </c>
      <c r="J1199" s="1"/>
      <c r="K1199" s="1" t="s">
        <v>345</v>
      </c>
    </row>
    <row r="1200" spans="1:11" x14ac:dyDescent="0.25">
      <c r="A1200" s="2">
        <v>45982.399976851855</v>
      </c>
      <c r="B1200" s="1" t="s">
        <v>352</v>
      </c>
      <c r="C1200" s="1" t="s">
        <v>361</v>
      </c>
      <c r="D1200" s="1" t="s">
        <v>10</v>
      </c>
      <c r="E1200" s="1" t="s">
        <v>11</v>
      </c>
      <c r="F1200" s="1" t="s">
        <v>15</v>
      </c>
      <c r="G1200">
        <v>3</v>
      </c>
      <c r="H1200">
        <v>0</v>
      </c>
      <c r="I1200">
        <v>0</v>
      </c>
      <c r="J1200" s="1"/>
      <c r="K1200" s="1" t="s">
        <v>340</v>
      </c>
    </row>
    <row r="1201" spans="1:11" x14ac:dyDescent="0.25">
      <c r="A1201" s="2">
        <v>45982.399976851855</v>
      </c>
      <c r="B1201" s="1" t="s">
        <v>352</v>
      </c>
      <c r="C1201" s="1" t="s">
        <v>361</v>
      </c>
      <c r="D1201" s="1" t="s">
        <v>10</v>
      </c>
      <c r="E1201" s="1" t="s">
        <v>11</v>
      </c>
      <c r="F1201" s="1" t="s">
        <v>15</v>
      </c>
      <c r="G1201">
        <v>3</v>
      </c>
      <c r="H1201">
        <v>0</v>
      </c>
      <c r="I1201">
        <v>0</v>
      </c>
      <c r="J1201" s="1"/>
      <c r="K1201" s="1" t="s">
        <v>106</v>
      </c>
    </row>
    <row r="1202" spans="1:11" x14ac:dyDescent="0.25">
      <c r="A1202" s="2">
        <v>45982.484965277778</v>
      </c>
      <c r="B1202" s="1" t="s">
        <v>354</v>
      </c>
      <c r="C1202" s="1" t="s">
        <v>361</v>
      </c>
      <c r="D1202" s="1" t="s">
        <v>10</v>
      </c>
      <c r="E1202" s="1" t="s">
        <v>11</v>
      </c>
      <c r="F1202" s="1" t="s">
        <v>12</v>
      </c>
      <c r="G1202">
        <v>10.5</v>
      </c>
      <c r="H1202">
        <v>0</v>
      </c>
      <c r="I1202">
        <v>0</v>
      </c>
      <c r="J1202" s="1" t="s">
        <v>272</v>
      </c>
      <c r="K1202" s="1" t="s">
        <v>345</v>
      </c>
    </row>
    <row r="1203" spans="1:11" x14ac:dyDescent="0.25">
      <c r="A1203" s="2">
        <v>45982.485208333332</v>
      </c>
      <c r="B1203" s="1" t="s">
        <v>354</v>
      </c>
      <c r="C1203" s="1" t="s">
        <v>361</v>
      </c>
      <c r="D1203" s="1" t="s">
        <v>10</v>
      </c>
      <c r="E1203" s="1" t="s">
        <v>11</v>
      </c>
      <c r="F1203" s="1" t="s">
        <v>15</v>
      </c>
      <c r="G1203">
        <v>3</v>
      </c>
      <c r="H1203">
        <v>1</v>
      </c>
      <c r="I1203">
        <v>0</v>
      </c>
      <c r="J1203" s="1"/>
      <c r="K1203" s="1" t="s">
        <v>336</v>
      </c>
    </row>
    <row r="1204" spans="1:11" x14ac:dyDescent="0.25">
      <c r="A1204" s="2">
        <v>45982.485312500001</v>
      </c>
      <c r="B1204" s="1" t="s">
        <v>354</v>
      </c>
      <c r="C1204" s="1" t="s">
        <v>361</v>
      </c>
      <c r="D1204" s="1" t="s">
        <v>10</v>
      </c>
      <c r="E1204" s="1" t="s">
        <v>11</v>
      </c>
      <c r="F1204" s="1" t="s">
        <v>14</v>
      </c>
      <c r="G1204">
        <v>0.5</v>
      </c>
      <c r="H1204">
        <v>0</v>
      </c>
      <c r="I1204">
        <v>0</v>
      </c>
      <c r="J1204" s="1"/>
      <c r="K1204" s="1" t="s">
        <v>344</v>
      </c>
    </row>
    <row r="1205" spans="1:11" x14ac:dyDescent="0.25">
      <c r="A1205" s="2">
        <v>45982.500474537039</v>
      </c>
      <c r="B1205" s="1" t="s">
        <v>350</v>
      </c>
      <c r="C1205" s="1" t="s">
        <v>361</v>
      </c>
      <c r="D1205" s="1" t="s">
        <v>10</v>
      </c>
      <c r="E1205" s="1" t="s">
        <v>11</v>
      </c>
      <c r="F1205" s="1" t="s">
        <v>15</v>
      </c>
      <c r="G1205">
        <v>3</v>
      </c>
      <c r="H1205">
        <v>0</v>
      </c>
      <c r="I1205">
        <v>0</v>
      </c>
      <c r="J1205" s="1"/>
      <c r="K1205" s="1" t="s">
        <v>336</v>
      </c>
    </row>
    <row r="1206" spans="1:11" x14ac:dyDescent="0.25">
      <c r="A1206" s="2">
        <v>45982.665752314817</v>
      </c>
      <c r="B1206" s="1" t="s">
        <v>349</v>
      </c>
      <c r="C1206" s="1" t="s">
        <v>361</v>
      </c>
      <c r="D1206" s="1" t="s">
        <v>10</v>
      </c>
      <c r="E1206" s="1" t="s">
        <v>11</v>
      </c>
      <c r="F1206" s="1" t="s">
        <v>18</v>
      </c>
      <c r="G1206">
        <v>20</v>
      </c>
      <c r="H1206">
        <v>1</v>
      </c>
      <c r="I1206">
        <v>0</v>
      </c>
      <c r="J1206" s="1"/>
      <c r="K1206" s="1" t="s">
        <v>340</v>
      </c>
    </row>
    <row r="1207" spans="1:11" x14ac:dyDescent="0.25">
      <c r="A1207" s="2">
        <v>45982.665752314817</v>
      </c>
      <c r="B1207" s="1" t="s">
        <v>349</v>
      </c>
      <c r="C1207" s="1" t="s">
        <v>361</v>
      </c>
      <c r="D1207" s="1" t="s">
        <v>10</v>
      </c>
      <c r="E1207" s="1" t="s">
        <v>11</v>
      </c>
      <c r="F1207" s="1" t="s">
        <v>18</v>
      </c>
      <c r="G1207">
        <v>20</v>
      </c>
      <c r="H1207">
        <v>1</v>
      </c>
      <c r="I1207">
        <v>0</v>
      </c>
      <c r="J1207" s="1"/>
      <c r="K1207" s="1" t="s">
        <v>343</v>
      </c>
    </row>
    <row r="1208" spans="1:11" x14ac:dyDescent="0.25">
      <c r="A1208" s="2">
        <v>45982.665868055556</v>
      </c>
      <c r="B1208" s="1" t="s">
        <v>349</v>
      </c>
      <c r="C1208" s="1" t="s">
        <v>361</v>
      </c>
      <c r="D1208" s="1" t="s">
        <v>10</v>
      </c>
      <c r="E1208" s="1" t="s">
        <v>11</v>
      </c>
      <c r="F1208" s="1" t="s">
        <v>12</v>
      </c>
      <c r="G1208">
        <v>10.5</v>
      </c>
      <c r="H1208">
        <v>0</v>
      </c>
      <c r="I1208">
        <v>0</v>
      </c>
      <c r="J1208" s="1"/>
      <c r="K1208" s="1" t="s">
        <v>106</v>
      </c>
    </row>
    <row r="1209" spans="1:11" x14ac:dyDescent="0.25">
      <c r="A1209" s="2">
        <v>45982.666006944448</v>
      </c>
      <c r="B1209" s="1" t="s">
        <v>349</v>
      </c>
      <c r="C1209" s="1" t="s">
        <v>361</v>
      </c>
      <c r="D1209" s="1" t="s">
        <v>10</v>
      </c>
      <c r="E1209" s="1" t="s">
        <v>11</v>
      </c>
      <c r="F1209" s="1" t="s">
        <v>15</v>
      </c>
      <c r="G1209">
        <v>3</v>
      </c>
      <c r="H1209">
        <v>0</v>
      </c>
      <c r="I1209">
        <v>0</v>
      </c>
      <c r="J1209" s="1"/>
      <c r="K1209" s="1" t="s">
        <v>340</v>
      </c>
    </row>
    <row r="1210" spans="1:11" x14ac:dyDescent="0.25">
      <c r="A1210" s="2">
        <v>45982.666087962964</v>
      </c>
      <c r="B1210" s="1" t="s">
        <v>349</v>
      </c>
      <c r="C1210" s="1" t="s">
        <v>361</v>
      </c>
      <c r="D1210" s="1" t="s">
        <v>10</v>
      </c>
      <c r="E1210" s="1" t="s">
        <v>11</v>
      </c>
      <c r="F1210" s="1" t="s">
        <v>15</v>
      </c>
      <c r="G1210">
        <v>3</v>
      </c>
      <c r="H1210">
        <v>0</v>
      </c>
      <c r="I1210">
        <v>0</v>
      </c>
      <c r="J1210" s="1"/>
      <c r="K1210" s="1" t="s">
        <v>342</v>
      </c>
    </row>
    <row r="1211" spans="1:11" x14ac:dyDescent="0.25">
      <c r="A1211" s="2">
        <v>45985.445347222223</v>
      </c>
      <c r="B1211" s="1" t="s">
        <v>347</v>
      </c>
      <c r="C1211" s="1" t="s">
        <v>363</v>
      </c>
      <c r="D1211" s="1" t="s">
        <v>10</v>
      </c>
      <c r="E1211" s="1" t="s">
        <v>11</v>
      </c>
      <c r="F1211" s="1" t="s">
        <v>12</v>
      </c>
      <c r="G1211">
        <v>10.5</v>
      </c>
      <c r="H1211">
        <v>0</v>
      </c>
      <c r="I1211">
        <v>0</v>
      </c>
      <c r="J1211" s="1" t="s">
        <v>273</v>
      </c>
      <c r="K1211" s="1" t="s">
        <v>342</v>
      </c>
    </row>
    <row r="1212" spans="1:11" x14ac:dyDescent="0.25">
      <c r="A1212" s="2">
        <v>45985.496689814812</v>
      </c>
      <c r="B1212" s="1" t="s">
        <v>354</v>
      </c>
      <c r="C1212" s="1" t="s">
        <v>363</v>
      </c>
      <c r="D1212" s="1" t="s">
        <v>10</v>
      </c>
      <c r="E1212" s="1" t="s">
        <v>11</v>
      </c>
      <c r="F1212" s="1" t="s">
        <v>14</v>
      </c>
      <c r="G1212">
        <v>0.5</v>
      </c>
      <c r="H1212">
        <v>0</v>
      </c>
      <c r="I1212">
        <v>0</v>
      </c>
      <c r="J1212" s="1"/>
      <c r="K1212" s="1" t="s">
        <v>343</v>
      </c>
    </row>
    <row r="1213" spans="1:11" x14ac:dyDescent="0.25">
      <c r="A1213" s="2">
        <v>45985.496921296297</v>
      </c>
      <c r="B1213" s="1" t="s">
        <v>354</v>
      </c>
      <c r="C1213" s="1" t="s">
        <v>363</v>
      </c>
      <c r="D1213" s="1" t="s">
        <v>10</v>
      </c>
      <c r="E1213" s="1" t="s">
        <v>11</v>
      </c>
      <c r="F1213" s="1" t="s">
        <v>15</v>
      </c>
      <c r="G1213">
        <v>3</v>
      </c>
      <c r="H1213">
        <v>1</v>
      </c>
      <c r="I1213">
        <v>0</v>
      </c>
      <c r="J1213" s="1"/>
      <c r="K1213" s="1" t="s">
        <v>336</v>
      </c>
    </row>
    <row r="1214" spans="1:11" x14ac:dyDescent="0.25">
      <c r="A1214" s="2">
        <v>45985.497083333335</v>
      </c>
      <c r="B1214" s="1" t="s">
        <v>354</v>
      </c>
      <c r="C1214" s="1" t="s">
        <v>363</v>
      </c>
      <c r="D1214" s="1" t="s">
        <v>10</v>
      </c>
      <c r="E1214" s="1" t="s">
        <v>11</v>
      </c>
      <c r="F1214" s="1" t="s">
        <v>14</v>
      </c>
      <c r="G1214">
        <v>0.5</v>
      </c>
      <c r="H1214">
        <v>0</v>
      </c>
      <c r="I1214">
        <v>0</v>
      </c>
      <c r="J1214" s="1"/>
      <c r="K1214" s="1" t="s">
        <v>342</v>
      </c>
    </row>
    <row r="1215" spans="1:11" x14ac:dyDescent="0.25">
      <c r="A1215" s="2">
        <v>45985.554097222222</v>
      </c>
      <c r="B1215" s="1" t="s">
        <v>351</v>
      </c>
      <c r="C1215" s="1" t="s">
        <v>363</v>
      </c>
      <c r="D1215" s="1" t="s">
        <v>10</v>
      </c>
      <c r="E1215" s="1" t="s">
        <v>11</v>
      </c>
      <c r="F1215" s="1" t="s">
        <v>12</v>
      </c>
      <c r="G1215">
        <v>10.5</v>
      </c>
      <c r="H1215">
        <v>0</v>
      </c>
      <c r="I1215">
        <v>0</v>
      </c>
      <c r="J1215" s="1" t="s">
        <v>274</v>
      </c>
      <c r="K1215" s="1" t="s">
        <v>336</v>
      </c>
    </row>
    <row r="1216" spans="1:11" x14ac:dyDescent="0.25">
      <c r="A1216" s="2">
        <v>45985.564884259256</v>
      </c>
      <c r="B1216" s="1" t="s">
        <v>351</v>
      </c>
      <c r="C1216" s="1" t="s">
        <v>363</v>
      </c>
      <c r="D1216" s="1" t="s">
        <v>10</v>
      </c>
      <c r="E1216" s="1" t="s">
        <v>11</v>
      </c>
      <c r="F1216" s="1" t="s">
        <v>12</v>
      </c>
      <c r="G1216">
        <v>10.5</v>
      </c>
      <c r="H1216">
        <v>1</v>
      </c>
      <c r="I1216">
        <v>0</v>
      </c>
      <c r="J1216" s="1" t="s">
        <v>275</v>
      </c>
      <c r="K1216" s="1" t="s">
        <v>336</v>
      </c>
    </row>
    <row r="1217" spans="1:11" x14ac:dyDescent="0.25">
      <c r="A1217" s="2">
        <v>45985.597129629627</v>
      </c>
      <c r="B1217" s="1" t="s">
        <v>348</v>
      </c>
      <c r="C1217" s="1" t="s">
        <v>363</v>
      </c>
      <c r="D1217" s="1" t="s">
        <v>10</v>
      </c>
      <c r="E1217" s="1" t="s">
        <v>11</v>
      </c>
      <c r="F1217" s="1" t="s">
        <v>12</v>
      </c>
      <c r="G1217">
        <v>10.5</v>
      </c>
      <c r="H1217">
        <v>1</v>
      </c>
      <c r="I1217">
        <v>0</v>
      </c>
      <c r="J1217" s="1"/>
      <c r="K1217" s="1" t="s">
        <v>343</v>
      </c>
    </row>
    <row r="1218" spans="1:11" x14ac:dyDescent="0.25">
      <c r="A1218" s="2">
        <v>45985.597430555557</v>
      </c>
      <c r="B1218" s="1" t="s">
        <v>348</v>
      </c>
      <c r="C1218" s="1" t="s">
        <v>363</v>
      </c>
      <c r="D1218" s="1" t="s">
        <v>10</v>
      </c>
      <c r="E1218" s="1" t="s">
        <v>11</v>
      </c>
      <c r="F1218" s="1" t="s">
        <v>18</v>
      </c>
      <c r="G1218">
        <v>20</v>
      </c>
      <c r="H1218">
        <v>0</v>
      </c>
      <c r="I1218">
        <v>0</v>
      </c>
      <c r="J1218" s="1"/>
      <c r="K1218" s="1" t="s">
        <v>340</v>
      </c>
    </row>
    <row r="1219" spans="1:11" x14ac:dyDescent="0.25">
      <c r="A1219" s="2">
        <v>45985.633321759262</v>
      </c>
      <c r="B1219" s="1" t="s">
        <v>349</v>
      </c>
      <c r="C1219" s="1" t="s">
        <v>363</v>
      </c>
      <c r="D1219" s="1" t="s">
        <v>10</v>
      </c>
      <c r="E1219" s="1" t="s">
        <v>11</v>
      </c>
      <c r="F1219" s="1" t="s">
        <v>14</v>
      </c>
      <c r="G1219">
        <v>0.5</v>
      </c>
      <c r="H1219">
        <v>0</v>
      </c>
      <c r="I1219">
        <v>0</v>
      </c>
      <c r="J1219" s="1"/>
      <c r="K1219" s="1" t="s">
        <v>344</v>
      </c>
    </row>
    <row r="1220" spans="1:11" x14ac:dyDescent="0.25">
      <c r="A1220" s="2">
        <v>45985.63349537037</v>
      </c>
      <c r="B1220" s="1" t="s">
        <v>349</v>
      </c>
      <c r="C1220" s="1" t="s">
        <v>363</v>
      </c>
      <c r="D1220" s="1" t="s">
        <v>10</v>
      </c>
      <c r="E1220" s="1" t="s">
        <v>11</v>
      </c>
      <c r="F1220" s="1" t="s">
        <v>12</v>
      </c>
      <c r="G1220">
        <v>10.5</v>
      </c>
      <c r="H1220">
        <v>1</v>
      </c>
      <c r="I1220">
        <v>0</v>
      </c>
      <c r="J1220" s="1"/>
      <c r="K1220" s="1" t="s">
        <v>336</v>
      </c>
    </row>
    <row r="1221" spans="1:11" x14ac:dyDescent="0.25">
      <c r="A1221" s="2">
        <v>45985.640196759261</v>
      </c>
      <c r="B1221" s="1" t="s">
        <v>349</v>
      </c>
      <c r="C1221" s="1" t="s">
        <v>363</v>
      </c>
      <c r="D1221" s="1" t="s">
        <v>20</v>
      </c>
      <c r="E1221" s="1" t="s">
        <v>11</v>
      </c>
      <c r="F1221" s="1" t="s">
        <v>15</v>
      </c>
      <c r="G1221">
        <v>3</v>
      </c>
      <c r="H1221">
        <v>0</v>
      </c>
      <c r="I1221">
        <v>0</v>
      </c>
      <c r="J1221" s="1" t="s">
        <v>276</v>
      </c>
      <c r="K1221" s="1" t="s">
        <v>345</v>
      </c>
    </row>
    <row r="1222" spans="1:11" x14ac:dyDescent="0.25">
      <c r="A1222" s="2">
        <v>45985.652199074073</v>
      </c>
      <c r="B1222" s="1" t="s">
        <v>349</v>
      </c>
      <c r="C1222" s="1" t="s">
        <v>363</v>
      </c>
      <c r="D1222" s="1" t="s">
        <v>10</v>
      </c>
      <c r="E1222" s="1" t="s">
        <v>11</v>
      </c>
      <c r="F1222" s="1" t="s">
        <v>14</v>
      </c>
      <c r="G1222">
        <v>0.5</v>
      </c>
      <c r="H1222">
        <v>0</v>
      </c>
      <c r="I1222">
        <v>0</v>
      </c>
      <c r="J1222" s="1"/>
      <c r="K1222" s="1" t="s">
        <v>344</v>
      </c>
    </row>
    <row r="1223" spans="1:11" x14ac:dyDescent="0.25">
      <c r="A1223" s="2">
        <v>45985.662291666667</v>
      </c>
      <c r="B1223" s="1" t="s">
        <v>349</v>
      </c>
      <c r="C1223" s="1" t="s">
        <v>363</v>
      </c>
      <c r="D1223" s="1" t="s">
        <v>10</v>
      </c>
      <c r="E1223" s="1" t="s">
        <v>11</v>
      </c>
      <c r="F1223" s="1" t="s">
        <v>14</v>
      </c>
      <c r="G1223">
        <v>0.5</v>
      </c>
      <c r="H1223">
        <v>0</v>
      </c>
      <c r="I1223">
        <v>0</v>
      </c>
      <c r="J1223" s="1" t="s">
        <v>277</v>
      </c>
      <c r="K1223" s="1" t="s">
        <v>345</v>
      </c>
    </row>
    <row r="1224" spans="1:11" x14ac:dyDescent="0.25">
      <c r="A1224" s="2">
        <v>45986.511307870373</v>
      </c>
      <c r="B1224" s="1" t="s">
        <v>350</v>
      </c>
      <c r="C1224" s="1" t="s">
        <v>358</v>
      </c>
      <c r="D1224" s="1" t="s">
        <v>10</v>
      </c>
      <c r="E1224" s="1" t="s">
        <v>11</v>
      </c>
      <c r="F1224" s="1" t="s">
        <v>12</v>
      </c>
      <c r="G1224">
        <v>10.5</v>
      </c>
      <c r="H1224">
        <v>0</v>
      </c>
      <c r="I1224">
        <v>0</v>
      </c>
      <c r="J1224" s="1"/>
      <c r="K1224" s="1" t="s">
        <v>340</v>
      </c>
    </row>
    <row r="1225" spans="1:11" x14ac:dyDescent="0.25">
      <c r="A1225" s="2">
        <v>45986.542349537034</v>
      </c>
      <c r="B1225" s="1" t="s">
        <v>351</v>
      </c>
      <c r="C1225" s="1" t="s">
        <v>358</v>
      </c>
      <c r="D1225" s="1" t="s">
        <v>10</v>
      </c>
      <c r="E1225" s="1" t="s">
        <v>11</v>
      </c>
      <c r="F1225" s="1" t="s">
        <v>18</v>
      </c>
      <c r="G1225">
        <v>20</v>
      </c>
      <c r="H1225">
        <v>0</v>
      </c>
      <c r="I1225">
        <v>0</v>
      </c>
      <c r="J1225" s="1" t="s">
        <v>278</v>
      </c>
      <c r="K1225" s="1" t="s">
        <v>340</v>
      </c>
    </row>
    <row r="1226" spans="1:11" x14ac:dyDescent="0.25">
      <c r="A1226" s="2">
        <v>45986.586076388892</v>
      </c>
      <c r="B1226" s="1" t="s">
        <v>348</v>
      </c>
      <c r="C1226" s="1" t="s">
        <v>358</v>
      </c>
      <c r="D1226" s="1" t="s">
        <v>10</v>
      </c>
      <c r="E1226" s="1" t="s">
        <v>11</v>
      </c>
      <c r="F1226" s="1" t="s">
        <v>15</v>
      </c>
      <c r="G1226">
        <v>3</v>
      </c>
      <c r="H1226">
        <v>0</v>
      </c>
      <c r="I1226">
        <v>0</v>
      </c>
      <c r="J1226" s="1"/>
      <c r="K1226" s="1" t="s">
        <v>343</v>
      </c>
    </row>
    <row r="1227" spans="1:11" x14ac:dyDescent="0.25">
      <c r="A1227" s="2">
        <v>45986.605486111112</v>
      </c>
      <c r="B1227" s="1" t="s">
        <v>348</v>
      </c>
      <c r="C1227" s="1" t="s">
        <v>358</v>
      </c>
      <c r="D1227" s="1" t="s">
        <v>10</v>
      </c>
      <c r="E1227" s="1" t="s">
        <v>11</v>
      </c>
      <c r="F1227" s="1" t="s">
        <v>15</v>
      </c>
      <c r="G1227">
        <v>3</v>
      </c>
      <c r="H1227">
        <v>0</v>
      </c>
      <c r="I1227">
        <v>0</v>
      </c>
      <c r="J1227" s="1" t="s">
        <v>279</v>
      </c>
      <c r="K1227" s="1" t="s">
        <v>345</v>
      </c>
    </row>
    <row r="1228" spans="1:11" x14ac:dyDescent="0.25">
      <c r="A1228" s="2">
        <v>45986.610995370371</v>
      </c>
      <c r="B1228" s="1" t="s">
        <v>348</v>
      </c>
      <c r="C1228" s="1" t="s">
        <v>358</v>
      </c>
      <c r="D1228" s="1" t="s">
        <v>10</v>
      </c>
      <c r="E1228" s="1" t="s">
        <v>11</v>
      </c>
      <c r="F1228" s="1" t="s">
        <v>15</v>
      </c>
      <c r="G1228">
        <v>3</v>
      </c>
      <c r="H1228">
        <v>1</v>
      </c>
      <c r="I1228">
        <v>0</v>
      </c>
      <c r="J1228" s="1" t="s">
        <v>280</v>
      </c>
      <c r="K1228" s="1" t="s">
        <v>336</v>
      </c>
    </row>
    <row r="1229" spans="1:11" x14ac:dyDescent="0.25">
      <c r="A1229" s="2">
        <v>45986.616018518522</v>
      </c>
      <c r="B1229" s="1" t="s">
        <v>348</v>
      </c>
      <c r="C1229" s="1" t="s">
        <v>358</v>
      </c>
      <c r="D1229" s="1" t="s">
        <v>10</v>
      </c>
      <c r="E1229" s="1" t="s">
        <v>11</v>
      </c>
      <c r="F1229" s="1" t="s">
        <v>15</v>
      </c>
      <c r="G1229">
        <v>3</v>
      </c>
      <c r="H1229">
        <v>0</v>
      </c>
      <c r="I1229">
        <v>0</v>
      </c>
      <c r="J1229" s="1" t="s">
        <v>281</v>
      </c>
      <c r="K1229" s="1" t="s">
        <v>336</v>
      </c>
    </row>
    <row r="1230" spans="1:11" x14ac:dyDescent="0.25">
      <c r="A1230" s="2">
        <v>45986.624456018515</v>
      </c>
      <c r="B1230" s="1" t="s">
        <v>348</v>
      </c>
      <c r="C1230" s="1" t="s">
        <v>358</v>
      </c>
      <c r="D1230" s="1" t="s">
        <v>10</v>
      </c>
      <c r="E1230" s="1" t="s">
        <v>11</v>
      </c>
      <c r="F1230" s="1" t="s">
        <v>14</v>
      </c>
      <c r="G1230">
        <v>0.5</v>
      </c>
      <c r="H1230">
        <v>0</v>
      </c>
      <c r="I1230">
        <v>0</v>
      </c>
      <c r="J1230" s="1" t="s">
        <v>282</v>
      </c>
      <c r="K1230" s="1" t="s">
        <v>336</v>
      </c>
    </row>
    <row r="1231" spans="1:11" x14ac:dyDescent="0.25">
      <c r="A1231" s="2">
        <v>45986.624571759261</v>
      </c>
      <c r="B1231" s="1" t="s">
        <v>348</v>
      </c>
      <c r="C1231" s="1" t="s">
        <v>358</v>
      </c>
      <c r="D1231" s="1" t="s">
        <v>10</v>
      </c>
      <c r="E1231" s="1" t="s">
        <v>11</v>
      </c>
      <c r="F1231" s="1" t="s">
        <v>12</v>
      </c>
      <c r="G1231">
        <v>10.5</v>
      </c>
      <c r="H1231">
        <v>0</v>
      </c>
      <c r="I1231">
        <v>0</v>
      </c>
      <c r="J1231" s="1"/>
      <c r="K1231" s="1" t="s">
        <v>336</v>
      </c>
    </row>
    <row r="1232" spans="1:11" x14ac:dyDescent="0.25">
      <c r="A1232" s="2">
        <v>45986.75503472222</v>
      </c>
      <c r="B1232" s="1" t="s">
        <v>355</v>
      </c>
      <c r="C1232" s="1" t="s">
        <v>358</v>
      </c>
      <c r="D1232" s="1" t="s">
        <v>10</v>
      </c>
      <c r="E1232" s="1" t="s">
        <v>11</v>
      </c>
      <c r="F1232" s="1" t="s">
        <v>15</v>
      </c>
      <c r="G1232">
        <v>3</v>
      </c>
      <c r="H1232">
        <v>0</v>
      </c>
      <c r="I1232">
        <v>0</v>
      </c>
      <c r="J1232" s="1"/>
      <c r="K1232" s="1" t="s">
        <v>340</v>
      </c>
    </row>
    <row r="1233" spans="1:11" x14ac:dyDescent="0.25">
      <c r="A1233" s="2">
        <v>45986.755115740743</v>
      </c>
      <c r="B1233" s="1" t="s">
        <v>355</v>
      </c>
      <c r="C1233" s="1" t="s">
        <v>358</v>
      </c>
      <c r="D1233" s="1" t="s">
        <v>10</v>
      </c>
      <c r="E1233" s="1" t="s">
        <v>11</v>
      </c>
      <c r="F1233" s="1" t="s">
        <v>14</v>
      </c>
      <c r="G1233">
        <v>0.5</v>
      </c>
      <c r="H1233">
        <v>0</v>
      </c>
      <c r="I1233">
        <v>0</v>
      </c>
      <c r="J1233" s="1"/>
      <c r="K1233" s="1" t="s">
        <v>344</v>
      </c>
    </row>
    <row r="1234" spans="1:11" x14ac:dyDescent="0.25">
      <c r="A1234" s="2">
        <v>45986.755231481482</v>
      </c>
      <c r="B1234" s="1" t="s">
        <v>355</v>
      </c>
      <c r="C1234" s="1" t="s">
        <v>358</v>
      </c>
      <c r="D1234" s="1" t="s">
        <v>10</v>
      </c>
      <c r="E1234" s="1" t="s">
        <v>11</v>
      </c>
      <c r="F1234" s="1" t="s">
        <v>12</v>
      </c>
      <c r="G1234">
        <v>10.5</v>
      </c>
      <c r="H1234">
        <v>1</v>
      </c>
      <c r="I1234">
        <v>0</v>
      </c>
      <c r="J1234" s="1"/>
      <c r="K1234" s="1" t="s">
        <v>336</v>
      </c>
    </row>
    <row r="1235" spans="1:11" x14ac:dyDescent="0.25">
      <c r="A1235" s="2">
        <v>45986.755370370367</v>
      </c>
      <c r="B1235" s="1" t="s">
        <v>355</v>
      </c>
      <c r="C1235" s="1" t="s">
        <v>358</v>
      </c>
      <c r="D1235" s="1" t="s">
        <v>10</v>
      </c>
      <c r="E1235" s="1" t="s">
        <v>11</v>
      </c>
      <c r="F1235" s="1" t="s">
        <v>15</v>
      </c>
      <c r="G1235">
        <v>3</v>
      </c>
      <c r="H1235">
        <v>0</v>
      </c>
      <c r="I1235">
        <v>0</v>
      </c>
      <c r="J1235" s="1"/>
      <c r="K1235" s="1" t="s">
        <v>342</v>
      </c>
    </row>
    <row r="1236" spans="1:11" x14ac:dyDescent="0.25">
      <c r="A1236" s="2">
        <v>45987.484189814815</v>
      </c>
      <c r="B1236" s="1" t="s">
        <v>354</v>
      </c>
      <c r="C1236" s="1" t="s">
        <v>359</v>
      </c>
      <c r="D1236" s="1" t="s">
        <v>10</v>
      </c>
      <c r="E1236" s="1" t="s">
        <v>11</v>
      </c>
      <c r="F1236" s="1" t="s">
        <v>12</v>
      </c>
      <c r="G1236">
        <v>10.5</v>
      </c>
      <c r="H1236">
        <v>0</v>
      </c>
      <c r="I1236">
        <v>0</v>
      </c>
      <c r="J1236" s="1"/>
      <c r="K1236" s="1" t="s">
        <v>340</v>
      </c>
    </row>
    <row r="1237" spans="1:11" x14ac:dyDescent="0.25">
      <c r="A1237" s="2">
        <v>45987.51122685185</v>
      </c>
      <c r="B1237" s="1" t="s">
        <v>350</v>
      </c>
      <c r="C1237" s="1" t="s">
        <v>359</v>
      </c>
      <c r="D1237" s="1" t="s">
        <v>10</v>
      </c>
      <c r="E1237" s="1" t="s">
        <v>11</v>
      </c>
      <c r="F1237" s="1" t="s">
        <v>15</v>
      </c>
      <c r="G1237">
        <v>3</v>
      </c>
      <c r="H1237">
        <v>0</v>
      </c>
      <c r="I1237">
        <v>0</v>
      </c>
      <c r="J1237" s="1"/>
      <c r="K1237" s="1" t="s">
        <v>343</v>
      </c>
    </row>
    <row r="1238" spans="1:11" x14ac:dyDescent="0.25">
      <c r="A1238" s="2">
        <v>45987.530555555553</v>
      </c>
      <c r="B1238" s="1" t="s">
        <v>350</v>
      </c>
      <c r="C1238" s="1" t="s">
        <v>359</v>
      </c>
      <c r="D1238" s="1" t="s">
        <v>10</v>
      </c>
      <c r="E1238" s="1" t="s">
        <v>11</v>
      </c>
      <c r="F1238" s="1" t="s">
        <v>15</v>
      </c>
      <c r="G1238">
        <v>3</v>
      </c>
      <c r="H1238">
        <v>0</v>
      </c>
      <c r="I1238">
        <v>0</v>
      </c>
      <c r="J1238" s="1"/>
      <c r="K1238" s="1" t="s">
        <v>343</v>
      </c>
    </row>
    <row r="1239" spans="1:11" x14ac:dyDescent="0.25">
      <c r="A1239" s="2">
        <v>45987.539212962962</v>
      </c>
      <c r="B1239" s="1" t="s">
        <v>350</v>
      </c>
      <c r="C1239" s="1" t="s">
        <v>359</v>
      </c>
      <c r="D1239" s="1" t="s">
        <v>10</v>
      </c>
      <c r="E1239" s="1" t="s">
        <v>11</v>
      </c>
      <c r="F1239" s="1" t="s">
        <v>15</v>
      </c>
      <c r="G1239">
        <v>3</v>
      </c>
      <c r="H1239">
        <v>0</v>
      </c>
      <c r="I1239">
        <v>0</v>
      </c>
      <c r="J1239" s="1"/>
      <c r="K1239" s="1" t="s">
        <v>343</v>
      </c>
    </row>
    <row r="1240" spans="1:11" x14ac:dyDescent="0.25">
      <c r="A1240" s="2">
        <v>45987.60597222222</v>
      </c>
      <c r="B1240" s="1" t="s">
        <v>348</v>
      </c>
      <c r="C1240" s="1" t="s">
        <v>359</v>
      </c>
      <c r="D1240" s="1" t="s">
        <v>10</v>
      </c>
      <c r="E1240" s="1" t="s">
        <v>11</v>
      </c>
      <c r="F1240" s="1" t="s">
        <v>18</v>
      </c>
      <c r="G1240">
        <v>20</v>
      </c>
      <c r="H1240">
        <v>0</v>
      </c>
      <c r="I1240">
        <v>0</v>
      </c>
      <c r="J1240" s="1" t="s">
        <v>283</v>
      </c>
      <c r="K1240" s="1" t="s">
        <v>340</v>
      </c>
    </row>
    <row r="1241" spans="1:11" x14ac:dyDescent="0.25">
      <c r="A1241" s="2">
        <v>45987.751539351855</v>
      </c>
      <c r="B1241" s="1" t="s">
        <v>355</v>
      </c>
      <c r="C1241" s="1" t="s">
        <v>359</v>
      </c>
      <c r="D1241" s="1" t="s">
        <v>10</v>
      </c>
      <c r="E1241" s="1" t="s">
        <v>11</v>
      </c>
      <c r="F1241" s="1" t="s">
        <v>15</v>
      </c>
      <c r="G1241">
        <v>3</v>
      </c>
      <c r="H1241">
        <v>0</v>
      </c>
      <c r="I1241">
        <v>0</v>
      </c>
      <c r="J1241" s="1"/>
      <c r="K1241" s="1" t="s">
        <v>340</v>
      </c>
    </row>
    <row r="1242" spans="1:11" x14ac:dyDescent="0.25">
      <c r="A1242" s="2">
        <v>45987.751597222225</v>
      </c>
      <c r="B1242" s="1" t="s">
        <v>355</v>
      </c>
      <c r="C1242" s="1" t="s">
        <v>359</v>
      </c>
      <c r="D1242" s="1" t="s">
        <v>10</v>
      </c>
      <c r="E1242" s="1" t="s">
        <v>11</v>
      </c>
      <c r="F1242" s="1" t="s">
        <v>14</v>
      </c>
      <c r="G1242">
        <v>0.5</v>
      </c>
      <c r="H1242">
        <v>0</v>
      </c>
      <c r="I1242">
        <v>0</v>
      </c>
      <c r="J1242" s="1"/>
      <c r="K1242" s="1" t="s">
        <v>343</v>
      </c>
    </row>
    <row r="1243" spans="1:11" x14ac:dyDescent="0.25">
      <c r="A1243" s="2">
        <v>45987.751666666663</v>
      </c>
      <c r="B1243" s="1" t="s">
        <v>355</v>
      </c>
      <c r="C1243" s="1" t="s">
        <v>359</v>
      </c>
      <c r="D1243" s="1" t="s">
        <v>10</v>
      </c>
      <c r="E1243" s="1" t="s">
        <v>11</v>
      </c>
      <c r="F1243" s="1" t="s">
        <v>15</v>
      </c>
      <c r="G1243">
        <v>3</v>
      </c>
      <c r="H1243">
        <v>0</v>
      </c>
      <c r="I1243">
        <v>0</v>
      </c>
      <c r="J1243" s="1"/>
      <c r="K1243" s="1" t="s">
        <v>343</v>
      </c>
    </row>
    <row r="1244" spans="1:11" x14ac:dyDescent="0.25">
      <c r="A1244" s="2">
        <v>45987.751736111109</v>
      </c>
      <c r="B1244" s="1" t="s">
        <v>355</v>
      </c>
      <c r="C1244" s="1" t="s">
        <v>359</v>
      </c>
      <c r="D1244" s="1" t="s">
        <v>10</v>
      </c>
      <c r="E1244" s="1" t="s">
        <v>11</v>
      </c>
      <c r="F1244" s="1" t="s">
        <v>14</v>
      </c>
      <c r="G1244">
        <v>0.5</v>
      </c>
      <c r="H1244">
        <v>0</v>
      </c>
      <c r="I1244">
        <v>0</v>
      </c>
      <c r="J1244" s="1"/>
      <c r="K1244" s="1" t="s">
        <v>344</v>
      </c>
    </row>
    <row r="1245" spans="1:11" x14ac:dyDescent="0.25">
      <c r="A1245" s="2">
        <v>45988.379988425928</v>
      </c>
      <c r="B1245" s="1" t="s">
        <v>352</v>
      </c>
      <c r="C1245" s="1" t="s">
        <v>360</v>
      </c>
      <c r="D1245" s="1" t="s">
        <v>20</v>
      </c>
      <c r="E1245" s="1" t="s">
        <v>11</v>
      </c>
      <c r="F1245" s="1" t="s">
        <v>15</v>
      </c>
      <c r="G1245">
        <v>3</v>
      </c>
      <c r="H1245">
        <v>0</v>
      </c>
      <c r="I1245">
        <v>0</v>
      </c>
      <c r="J1245" s="1"/>
      <c r="K1245" s="1" t="s">
        <v>343</v>
      </c>
    </row>
    <row r="1246" spans="1:11" x14ac:dyDescent="0.25">
      <c r="A1246" s="2">
        <v>45988.457986111112</v>
      </c>
      <c r="B1246" s="1" t="s">
        <v>347</v>
      </c>
      <c r="C1246" s="1" t="s">
        <v>360</v>
      </c>
      <c r="D1246" s="1" t="s">
        <v>10</v>
      </c>
      <c r="E1246" s="1" t="s">
        <v>11</v>
      </c>
      <c r="F1246" s="1" t="s">
        <v>15</v>
      </c>
      <c r="G1246">
        <v>3</v>
      </c>
      <c r="H1246">
        <v>0</v>
      </c>
      <c r="I1246">
        <v>0</v>
      </c>
      <c r="J1246" s="1"/>
      <c r="K1246" s="1" t="s">
        <v>343</v>
      </c>
    </row>
    <row r="1247" spans="1:11" x14ac:dyDescent="0.25">
      <c r="A1247" s="2">
        <v>45988.593726851854</v>
      </c>
      <c r="B1247" s="1" t="s">
        <v>348</v>
      </c>
      <c r="C1247" s="1" t="s">
        <v>360</v>
      </c>
      <c r="D1247" s="1" t="s">
        <v>10</v>
      </c>
      <c r="E1247" s="1" t="s">
        <v>11</v>
      </c>
      <c r="F1247" s="1" t="s">
        <v>14</v>
      </c>
      <c r="G1247">
        <v>0.5</v>
      </c>
      <c r="H1247">
        <v>0</v>
      </c>
      <c r="I1247">
        <v>0</v>
      </c>
      <c r="J1247" s="1" t="s">
        <v>105</v>
      </c>
      <c r="K1247" s="1" t="s">
        <v>345</v>
      </c>
    </row>
    <row r="1248" spans="1:11" x14ac:dyDescent="0.25">
      <c r="A1248" s="2">
        <v>45989.462037037039</v>
      </c>
      <c r="B1248" s="1" t="s">
        <v>354</v>
      </c>
      <c r="C1248" s="1" t="s">
        <v>361</v>
      </c>
      <c r="D1248" s="1" t="s">
        <v>10</v>
      </c>
      <c r="E1248" s="1" t="s">
        <v>11</v>
      </c>
      <c r="F1248" s="1" t="s">
        <v>14</v>
      </c>
      <c r="G1248">
        <v>0.5</v>
      </c>
      <c r="H1248">
        <v>0</v>
      </c>
      <c r="I1248">
        <v>0</v>
      </c>
      <c r="J1248" s="1"/>
      <c r="K1248" s="1" t="s">
        <v>343</v>
      </c>
    </row>
    <row r="1249" spans="1:11" x14ac:dyDescent="0.25">
      <c r="A1249" s="2">
        <v>45989.464641203704</v>
      </c>
      <c r="B1249" s="1" t="s">
        <v>354</v>
      </c>
      <c r="C1249" s="1" t="s">
        <v>361</v>
      </c>
      <c r="D1249" s="1" t="s">
        <v>10</v>
      </c>
      <c r="E1249" s="1" t="s">
        <v>11</v>
      </c>
      <c r="F1249" s="1" t="s">
        <v>14</v>
      </c>
      <c r="G1249">
        <v>0.5</v>
      </c>
      <c r="H1249">
        <v>0</v>
      </c>
      <c r="I1249">
        <v>0</v>
      </c>
      <c r="J1249" s="1"/>
      <c r="K1249" s="1" t="s">
        <v>343</v>
      </c>
    </row>
    <row r="1250" spans="1:11" x14ac:dyDescent="0.25">
      <c r="A1250" s="2">
        <v>45989.467013888891</v>
      </c>
      <c r="B1250" s="1" t="s">
        <v>354</v>
      </c>
      <c r="C1250" s="1" t="s">
        <v>361</v>
      </c>
      <c r="D1250" s="1" t="s">
        <v>10</v>
      </c>
      <c r="E1250" s="1" t="s">
        <v>11</v>
      </c>
      <c r="F1250" s="1" t="s">
        <v>15</v>
      </c>
      <c r="G1250">
        <v>3</v>
      </c>
      <c r="H1250">
        <v>0</v>
      </c>
      <c r="I1250">
        <v>0</v>
      </c>
      <c r="J1250" s="1"/>
      <c r="K1250" s="1" t="s">
        <v>341</v>
      </c>
    </row>
    <row r="1251" spans="1:11" x14ac:dyDescent="0.25">
      <c r="A1251" s="2">
        <v>45989.492604166669</v>
      </c>
      <c r="B1251" s="1" t="s">
        <v>354</v>
      </c>
      <c r="C1251" s="1" t="s">
        <v>361</v>
      </c>
      <c r="D1251" s="1" t="s">
        <v>10</v>
      </c>
      <c r="E1251" s="1" t="s">
        <v>11</v>
      </c>
      <c r="F1251" s="1" t="s">
        <v>14</v>
      </c>
      <c r="G1251">
        <v>0.5</v>
      </c>
      <c r="H1251">
        <v>0</v>
      </c>
      <c r="I1251">
        <v>0</v>
      </c>
      <c r="J1251" s="1"/>
      <c r="K1251" s="1" t="s">
        <v>343</v>
      </c>
    </row>
    <row r="1252" spans="1:11" x14ac:dyDescent="0.25">
      <c r="A1252" s="2">
        <v>45989.509340277778</v>
      </c>
      <c r="B1252" s="1" t="s">
        <v>350</v>
      </c>
      <c r="C1252" s="1" t="s">
        <v>361</v>
      </c>
      <c r="D1252" s="1" t="s">
        <v>10</v>
      </c>
      <c r="E1252" s="1" t="s">
        <v>11</v>
      </c>
      <c r="F1252" s="1" t="s">
        <v>14</v>
      </c>
      <c r="G1252">
        <v>0.5</v>
      </c>
      <c r="H1252">
        <v>0</v>
      </c>
      <c r="I1252">
        <v>0</v>
      </c>
      <c r="J1252" s="1"/>
      <c r="K1252" s="1" t="s">
        <v>343</v>
      </c>
    </row>
    <row r="1253" spans="1:11" x14ac:dyDescent="0.25">
      <c r="A1253" s="2">
        <v>45989.515393518515</v>
      </c>
      <c r="B1253" s="1" t="s">
        <v>350</v>
      </c>
      <c r="C1253" s="1" t="s">
        <v>361</v>
      </c>
      <c r="D1253" s="1" t="s">
        <v>10</v>
      </c>
      <c r="E1253" s="1" t="s">
        <v>11</v>
      </c>
      <c r="F1253" s="1" t="s">
        <v>14</v>
      </c>
      <c r="G1253">
        <v>0.5</v>
      </c>
      <c r="H1253">
        <v>0</v>
      </c>
      <c r="I1253">
        <v>0</v>
      </c>
      <c r="J1253" s="1" t="s">
        <v>284</v>
      </c>
      <c r="K1253" s="1" t="s">
        <v>345</v>
      </c>
    </row>
    <row r="1254" spans="1:11" x14ac:dyDescent="0.25">
      <c r="A1254" s="2">
        <v>45989.519386574073</v>
      </c>
      <c r="B1254" s="1" t="s">
        <v>350</v>
      </c>
      <c r="C1254" s="1" t="s">
        <v>361</v>
      </c>
      <c r="D1254" s="1" t="s">
        <v>10</v>
      </c>
      <c r="E1254" s="1" t="s">
        <v>11</v>
      </c>
      <c r="F1254" s="1" t="s">
        <v>14</v>
      </c>
      <c r="G1254">
        <v>0.5</v>
      </c>
      <c r="H1254">
        <v>0</v>
      </c>
      <c r="I1254">
        <v>0</v>
      </c>
      <c r="J1254" s="1"/>
      <c r="K1254" s="1" t="s">
        <v>343</v>
      </c>
    </row>
    <row r="1255" spans="1:11" x14ac:dyDescent="0.25">
      <c r="A1255" s="2">
        <v>45989.579895833333</v>
      </c>
      <c r="B1255" s="1" t="s">
        <v>351</v>
      </c>
      <c r="C1255" s="1" t="s">
        <v>361</v>
      </c>
      <c r="D1255" s="1" t="s">
        <v>10</v>
      </c>
      <c r="E1255" s="1" t="s">
        <v>11</v>
      </c>
      <c r="F1255" s="1" t="s">
        <v>14</v>
      </c>
      <c r="G1255">
        <v>0.5</v>
      </c>
      <c r="H1255">
        <v>0</v>
      </c>
      <c r="I1255">
        <v>0</v>
      </c>
      <c r="J1255" s="1"/>
      <c r="K1255" s="1" t="s">
        <v>344</v>
      </c>
    </row>
    <row r="1256" spans="1:11" x14ac:dyDescent="0.25">
      <c r="A1256" s="2">
        <v>45989.665393518517</v>
      </c>
      <c r="B1256" s="1" t="s">
        <v>349</v>
      </c>
      <c r="C1256" s="1" t="s">
        <v>361</v>
      </c>
      <c r="D1256" s="1" t="s">
        <v>10</v>
      </c>
      <c r="E1256" s="1" t="s">
        <v>11</v>
      </c>
      <c r="F1256" s="1" t="s">
        <v>15</v>
      </c>
      <c r="G1256">
        <v>3</v>
      </c>
      <c r="H1256">
        <v>0</v>
      </c>
      <c r="I1256">
        <v>0</v>
      </c>
      <c r="J1256" s="1"/>
      <c r="K1256" s="1" t="s">
        <v>341</v>
      </c>
    </row>
    <row r="1257" spans="1:11" x14ac:dyDescent="0.25">
      <c r="A1257" s="2">
        <v>45989.665729166663</v>
      </c>
      <c r="B1257" s="1" t="s">
        <v>349</v>
      </c>
      <c r="C1257" s="1" t="s">
        <v>361</v>
      </c>
      <c r="D1257" s="1" t="s">
        <v>10</v>
      </c>
      <c r="E1257" s="1" t="s">
        <v>11</v>
      </c>
      <c r="F1257" s="1" t="s">
        <v>15</v>
      </c>
      <c r="G1257">
        <v>3</v>
      </c>
      <c r="H1257">
        <v>0</v>
      </c>
      <c r="I1257">
        <v>0</v>
      </c>
      <c r="J1257" s="1" t="s">
        <v>285</v>
      </c>
      <c r="K1257" s="1" t="s">
        <v>345</v>
      </c>
    </row>
    <row r="1258" spans="1:11" x14ac:dyDescent="0.25">
      <c r="A1258" s="2">
        <v>45990.47797453704</v>
      </c>
      <c r="B1258" s="1" t="s">
        <v>354</v>
      </c>
      <c r="C1258" s="1" t="s">
        <v>362</v>
      </c>
      <c r="D1258" s="1" t="s">
        <v>10</v>
      </c>
      <c r="E1258" s="1" t="s">
        <v>11</v>
      </c>
      <c r="F1258" s="1" t="s">
        <v>18</v>
      </c>
      <c r="G1258">
        <v>20</v>
      </c>
      <c r="H1258">
        <v>0</v>
      </c>
      <c r="I1258">
        <v>0</v>
      </c>
      <c r="J1258" s="1" t="s">
        <v>286</v>
      </c>
      <c r="K1258" s="1" t="s">
        <v>342</v>
      </c>
    </row>
    <row r="1259" spans="1:11" x14ac:dyDescent="0.25">
      <c r="A1259" s="2">
        <v>45990.478113425925</v>
      </c>
      <c r="B1259" s="1" t="s">
        <v>354</v>
      </c>
      <c r="C1259" s="1" t="s">
        <v>362</v>
      </c>
      <c r="D1259" s="1" t="s">
        <v>10</v>
      </c>
      <c r="E1259" s="1" t="s">
        <v>11</v>
      </c>
      <c r="F1259" s="1" t="s">
        <v>15</v>
      </c>
      <c r="G1259">
        <v>3</v>
      </c>
      <c r="H1259">
        <v>0</v>
      </c>
      <c r="I1259">
        <v>0</v>
      </c>
      <c r="J1259" s="1"/>
      <c r="K1259" s="1" t="s">
        <v>341</v>
      </c>
    </row>
    <row r="1260" spans="1:11" x14ac:dyDescent="0.25">
      <c r="A1260" s="2">
        <v>45992.381643518522</v>
      </c>
      <c r="B1260" s="1" t="s">
        <v>352</v>
      </c>
      <c r="C1260" s="1" t="s">
        <v>363</v>
      </c>
      <c r="D1260" s="1" t="s">
        <v>20</v>
      </c>
      <c r="E1260" s="1" t="s">
        <v>11</v>
      </c>
      <c r="F1260" s="1" t="s">
        <v>15</v>
      </c>
      <c r="G1260">
        <v>3</v>
      </c>
      <c r="H1260">
        <v>1</v>
      </c>
      <c r="I1260">
        <v>1</v>
      </c>
      <c r="J1260" s="1" t="s">
        <v>287</v>
      </c>
      <c r="K1260" s="1" t="s">
        <v>336</v>
      </c>
    </row>
    <row r="1261" spans="1:11" x14ac:dyDescent="0.25">
      <c r="A1261" s="2">
        <v>45992.392118055555</v>
      </c>
      <c r="B1261" s="1" t="s">
        <v>352</v>
      </c>
      <c r="C1261" s="1" t="s">
        <v>363</v>
      </c>
      <c r="D1261" s="1" t="s">
        <v>20</v>
      </c>
      <c r="E1261" s="1" t="s">
        <v>11</v>
      </c>
      <c r="F1261" s="1" t="s">
        <v>15</v>
      </c>
      <c r="G1261">
        <v>3</v>
      </c>
      <c r="H1261">
        <v>0</v>
      </c>
      <c r="I1261">
        <v>0</v>
      </c>
      <c r="J1261" s="1" t="s">
        <v>288</v>
      </c>
      <c r="K1261" s="1" t="s">
        <v>345</v>
      </c>
    </row>
    <row r="1262" spans="1:11" x14ac:dyDescent="0.25">
      <c r="A1262" s="2">
        <v>45992.425381944442</v>
      </c>
      <c r="B1262" s="1" t="s">
        <v>347</v>
      </c>
      <c r="C1262" s="1" t="s">
        <v>363</v>
      </c>
      <c r="D1262" s="1" t="s">
        <v>20</v>
      </c>
      <c r="E1262" s="1" t="s">
        <v>11</v>
      </c>
      <c r="F1262" s="1" t="s">
        <v>15</v>
      </c>
      <c r="G1262">
        <v>3</v>
      </c>
      <c r="H1262">
        <v>0</v>
      </c>
      <c r="I1262">
        <v>0</v>
      </c>
      <c r="J1262" s="1"/>
      <c r="K1262" s="1" t="s">
        <v>344</v>
      </c>
    </row>
    <row r="1263" spans="1:11" x14ac:dyDescent="0.25">
      <c r="A1263" s="2">
        <v>45992.457129629627</v>
      </c>
      <c r="B1263" s="1" t="s">
        <v>347</v>
      </c>
      <c r="C1263" s="1" t="s">
        <v>363</v>
      </c>
      <c r="D1263" s="1" t="s">
        <v>20</v>
      </c>
      <c r="E1263" s="1" t="s">
        <v>11</v>
      </c>
      <c r="F1263" s="1" t="s">
        <v>12</v>
      </c>
      <c r="G1263">
        <v>10.5</v>
      </c>
      <c r="H1263">
        <v>0</v>
      </c>
      <c r="I1263">
        <v>0</v>
      </c>
      <c r="J1263" s="1"/>
      <c r="K1263" s="1" t="s">
        <v>345</v>
      </c>
    </row>
    <row r="1264" spans="1:11" x14ac:dyDescent="0.25">
      <c r="A1264" s="2">
        <v>45992.459004629629</v>
      </c>
      <c r="B1264" s="1" t="s">
        <v>354</v>
      </c>
      <c r="C1264" s="1" t="s">
        <v>363</v>
      </c>
      <c r="D1264" s="1" t="s">
        <v>10</v>
      </c>
      <c r="E1264" s="1" t="s">
        <v>11</v>
      </c>
      <c r="F1264" s="1" t="s">
        <v>15</v>
      </c>
      <c r="G1264">
        <v>3</v>
      </c>
      <c r="H1264">
        <v>0</v>
      </c>
      <c r="I1264">
        <v>0</v>
      </c>
      <c r="J1264" s="1"/>
      <c r="K1264" s="1" t="s">
        <v>341</v>
      </c>
    </row>
    <row r="1265" spans="1:11" x14ac:dyDescent="0.25">
      <c r="A1265" s="2">
        <v>45992.46503472222</v>
      </c>
      <c r="B1265" s="1" t="s">
        <v>354</v>
      </c>
      <c r="C1265" s="1" t="s">
        <v>363</v>
      </c>
      <c r="D1265" s="1" t="s">
        <v>10</v>
      </c>
      <c r="E1265" s="1" t="s">
        <v>11</v>
      </c>
      <c r="F1265" s="1" t="s">
        <v>15</v>
      </c>
      <c r="G1265">
        <v>3</v>
      </c>
      <c r="H1265">
        <v>0</v>
      </c>
      <c r="I1265">
        <v>0</v>
      </c>
      <c r="J1265" s="1"/>
      <c r="K1265" s="1" t="s">
        <v>342</v>
      </c>
    </row>
    <row r="1266" spans="1:11" x14ac:dyDescent="0.25">
      <c r="A1266" s="2">
        <v>45992.465196759258</v>
      </c>
      <c r="B1266" s="1" t="s">
        <v>354</v>
      </c>
      <c r="C1266" s="1" t="s">
        <v>363</v>
      </c>
      <c r="D1266" s="1" t="s">
        <v>10</v>
      </c>
      <c r="E1266" s="1" t="s">
        <v>11</v>
      </c>
      <c r="F1266" s="1" t="s">
        <v>14</v>
      </c>
      <c r="G1266">
        <v>0.5</v>
      </c>
      <c r="H1266">
        <v>0</v>
      </c>
      <c r="I1266">
        <v>0</v>
      </c>
      <c r="J1266" s="1"/>
      <c r="K1266" s="1" t="s">
        <v>344</v>
      </c>
    </row>
    <row r="1267" spans="1:11" x14ac:dyDescent="0.25">
      <c r="A1267" s="2">
        <v>45992.471076388887</v>
      </c>
      <c r="B1267" s="1" t="s">
        <v>354</v>
      </c>
      <c r="C1267" s="1" t="s">
        <v>363</v>
      </c>
      <c r="D1267" s="1" t="s">
        <v>10</v>
      </c>
      <c r="E1267" s="1" t="s">
        <v>11</v>
      </c>
      <c r="F1267" s="1" t="s">
        <v>15</v>
      </c>
      <c r="G1267">
        <v>3</v>
      </c>
      <c r="H1267">
        <v>0</v>
      </c>
      <c r="I1267">
        <v>0</v>
      </c>
      <c r="J1267" s="1"/>
      <c r="K1267" s="1" t="s">
        <v>342</v>
      </c>
    </row>
    <row r="1268" spans="1:11" x14ac:dyDescent="0.25">
      <c r="A1268" s="2">
        <v>45992.471076388887</v>
      </c>
      <c r="B1268" s="1" t="s">
        <v>354</v>
      </c>
      <c r="C1268" s="1" t="s">
        <v>363</v>
      </c>
      <c r="D1268" s="1" t="s">
        <v>10</v>
      </c>
      <c r="E1268" s="1" t="s">
        <v>11</v>
      </c>
      <c r="F1268" s="1" t="s">
        <v>15</v>
      </c>
      <c r="G1268">
        <v>3</v>
      </c>
      <c r="H1268">
        <v>0</v>
      </c>
      <c r="I1268">
        <v>0</v>
      </c>
      <c r="J1268" s="1"/>
      <c r="K1268" s="1" t="s">
        <v>343</v>
      </c>
    </row>
    <row r="1269" spans="1:11" x14ac:dyDescent="0.25">
      <c r="A1269" s="2">
        <v>45992.479363425926</v>
      </c>
      <c r="B1269" s="1" t="s">
        <v>354</v>
      </c>
      <c r="C1269" s="1" t="s">
        <v>363</v>
      </c>
      <c r="D1269" s="1" t="s">
        <v>10</v>
      </c>
      <c r="E1269" s="1" t="s">
        <v>11</v>
      </c>
      <c r="F1269" s="1" t="s">
        <v>15</v>
      </c>
      <c r="G1269">
        <v>3</v>
      </c>
      <c r="H1269">
        <v>0</v>
      </c>
      <c r="I1269">
        <v>0</v>
      </c>
      <c r="J1269" s="1"/>
      <c r="K1269" s="1" t="s">
        <v>342</v>
      </c>
    </row>
    <row r="1270" spans="1:11" x14ac:dyDescent="0.25">
      <c r="A1270" s="2">
        <v>45992.523356481484</v>
      </c>
      <c r="B1270" s="1" t="s">
        <v>350</v>
      </c>
      <c r="C1270" s="1" t="s">
        <v>363</v>
      </c>
      <c r="D1270" s="1" t="s">
        <v>10</v>
      </c>
      <c r="E1270" s="1" t="s">
        <v>11</v>
      </c>
      <c r="F1270" s="1" t="s">
        <v>12</v>
      </c>
      <c r="G1270">
        <v>10.5</v>
      </c>
      <c r="H1270">
        <v>0</v>
      </c>
      <c r="I1270">
        <v>0</v>
      </c>
      <c r="J1270" s="1"/>
      <c r="K1270" s="1" t="s">
        <v>341</v>
      </c>
    </row>
    <row r="1271" spans="1:11" x14ac:dyDescent="0.25">
      <c r="A1271" s="2">
        <v>45992.525150462963</v>
      </c>
      <c r="B1271" s="1" t="s">
        <v>350</v>
      </c>
      <c r="C1271" s="1" t="s">
        <v>363</v>
      </c>
      <c r="D1271" s="1" t="s">
        <v>10</v>
      </c>
      <c r="E1271" s="1" t="s">
        <v>11</v>
      </c>
      <c r="F1271" s="1" t="s">
        <v>15</v>
      </c>
      <c r="G1271">
        <v>3</v>
      </c>
      <c r="H1271">
        <v>0</v>
      </c>
      <c r="I1271">
        <v>0</v>
      </c>
      <c r="J1271" s="1"/>
      <c r="K1271" s="1" t="s">
        <v>344</v>
      </c>
    </row>
    <row r="1272" spans="1:11" x14ac:dyDescent="0.25">
      <c r="A1272" s="2">
        <v>45992.558541666665</v>
      </c>
      <c r="B1272" s="1" t="s">
        <v>351</v>
      </c>
      <c r="C1272" s="1" t="s">
        <v>363</v>
      </c>
      <c r="D1272" s="1" t="s">
        <v>10</v>
      </c>
      <c r="E1272" s="1" t="s">
        <v>11</v>
      </c>
      <c r="F1272" s="1" t="s">
        <v>14</v>
      </c>
      <c r="G1272">
        <v>0.5</v>
      </c>
      <c r="H1272">
        <v>0</v>
      </c>
      <c r="I1272">
        <v>0</v>
      </c>
      <c r="J1272" s="1" t="s">
        <v>289</v>
      </c>
      <c r="K1272" s="1" t="s">
        <v>345</v>
      </c>
    </row>
    <row r="1273" spans="1:11" x14ac:dyDescent="0.25">
      <c r="A1273" s="2">
        <v>45992.57739583333</v>
      </c>
      <c r="B1273" s="1" t="s">
        <v>351</v>
      </c>
      <c r="C1273" s="1" t="s">
        <v>363</v>
      </c>
      <c r="D1273" s="1" t="s">
        <v>10</v>
      </c>
      <c r="E1273" s="1" t="s">
        <v>11</v>
      </c>
      <c r="F1273" s="1" t="s">
        <v>15</v>
      </c>
      <c r="G1273">
        <v>3</v>
      </c>
      <c r="H1273">
        <v>0</v>
      </c>
      <c r="I1273">
        <v>0</v>
      </c>
      <c r="J1273" s="1" t="s">
        <v>290</v>
      </c>
      <c r="K1273" s="1" t="s">
        <v>345</v>
      </c>
    </row>
    <row r="1274" spans="1:11" x14ac:dyDescent="0.25">
      <c r="A1274" s="2">
        <v>45992.594074074077</v>
      </c>
      <c r="B1274" s="1" t="s">
        <v>348</v>
      </c>
      <c r="C1274" s="1" t="s">
        <v>363</v>
      </c>
      <c r="D1274" s="1" t="s">
        <v>10</v>
      </c>
      <c r="E1274" s="1" t="s">
        <v>11</v>
      </c>
      <c r="F1274" s="1" t="s">
        <v>14</v>
      </c>
      <c r="G1274">
        <v>0.5</v>
      </c>
      <c r="H1274">
        <v>0</v>
      </c>
      <c r="I1274">
        <v>0</v>
      </c>
      <c r="J1274" s="1" t="s">
        <v>258</v>
      </c>
      <c r="K1274" s="1" t="s">
        <v>345</v>
      </c>
    </row>
    <row r="1275" spans="1:11" x14ac:dyDescent="0.25">
      <c r="A1275" s="2">
        <v>45992.655300925922</v>
      </c>
      <c r="B1275" s="1" t="s">
        <v>349</v>
      </c>
      <c r="C1275" s="1" t="s">
        <v>363</v>
      </c>
      <c r="D1275" s="1" t="s">
        <v>10</v>
      </c>
      <c r="E1275" s="1" t="s">
        <v>11</v>
      </c>
      <c r="F1275" s="1" t="s">
        <v>15</v>
      </c>
      <c r="G1275">
        <v>3</v>
      </c>
      <c r="H1275">
        <v>1</v>
      </c>
      <c r="I1275">
        <v>0</v>
      </c>
      <c r="J1275" s="1"/>
      <c r="K1275" s="1" t="s">
        <v>336</v>
      </c>
    </row>
    <row r="1276" spans="1:11" x14ac:dyDescent="0.25">
      <c r="A1276" s="2">
        <v>45992.672453703701</v>
      </c>
      <c r="B1276" s="1" t="s">
        <v>353</v>
      </c>
      <c r="C1276" s="1" t="s">
        <v>363</v>
      </c>
      <c r="D1276" s="1" t="s">
        <v>10</v>
      </c>
      <c r="E1276" s="1" t="s">
        <v>11</v>
      </c>
      <c r="F1276" s="1" t="s">
        <v>12</v>
      </c>
      <c r="G1276">
        <v>10.5</v>
      </c>
      <c r="H1276">
        <v>1</v>
      </c>
      <c r="I1276">
        <v>0</v>
      </c>
      <c r="J1276" s="1"/>
      <c r="K1276" s="1" t="s">
        <v>336</v>
      </c>
    </row>
    <row r="1277" spans="1:11" x14ac:dyDescent="0.25">
      <c r="A1277" s="2">
        <v>45992.672453703701</v>
      </c>
      <c r="B1277" s="1" t="s">
        <v>353</v>
      </c>
      <c r="C1277" s="1" t="s">
        <v>363</v>
      </c>
      <c r="D1277" s="1" t="s">
        <v>10</v>
      </c>
      <c r="E1277" s="1" t="s">
        <v>11</v>
      </c>
      <c r="F1277" s="1" t="s">
        <v>12</v>
      </c>
      <c r="G1277">
        <v>10.5</v>
      </c>
      <c r="H1277">
        <v>1</v>
      </c>
      <c r="I1277">
        <v>0</v>
      </c>
      <c r="J1277" s="1"/>
      <c r="K1277" s="1" t="s">
        <v>340</v>
      </c>
    </row>
    <row r="1278" spans="1:11" x14ac:dyDescent="0.25">
      <c r="A1278" s="2">
        <v>45992.688263888886</v>
      </c>
      <c r="B1278" s="1" t="s">
        <v>353</v>
      </c>
      <c r="C1278" s="1" t="s">
        <v>363</v>
      </c>
      <c r="D1278" s="1" t="s">
        <v>10</v>
      </c>
      <c r="E1278" s="1" t="s">
        <v>11</v>
      </c>
      <c r="F1278" s="1" t="s">
        <v>15</v>
      </c>
      <c r="G1278">
        <v>3</v>
      </c>
      <c r="H1278">
        <v>0</v>
      </c>
      <c r="I1278">
        <v>0</v>
      </c>
      <c r="J1278" s="1" t="s">
        <v>291</v>
      </c>
      <c r="K1278" s="1" t="s">
        <v>343</v>
      </c>
    </row>
    <row r="1279" spans="1:11" x14ac:dyDescent="0.25">
      <c r="A1279" s="2">
        <v>45992.70821759259</v>
      </c>
      <c r="B1279" s="1" t="s">
        <v>353</v>
      </c>
      <c r="C1279" s="1" t="s">
        <v>363</v>
      </c>
      <c r="D1279" s="1" t="s">
        <v>20</v>
      </c>
      <c r="E1279" s="1" t="s">
        <v>11</v>
      </c>
      <c r="F1279" s="1" t="s">
        <v>15</v>
      </c>
      <c r="G1279">
        <v>3</v>
      </c>
      <c r="H1279">
        <v>0</v>
      </c>
      <c r="I1279">
        <v>0</v>
      </c>
      <c r="J1279" s="1" t="s">
        <v>293</v>
      </c>
      <c r="K1279" s="1" t="s">
        <v>345</v>
      </c>
    </row>
    <row r="1280" spans="1:11" x14ac:dyDescent="0.25">
      <c r="A1280" s="2">
        <v>45993.54923611111</v>
      </c>
      <c r="B1280" s="1" t="s">
        <v>351</v>
      </c>
      <c r="C1280" s="1" t="s">
        <v>358</v>
      </c>
      <c r="D1280" s="1" t="s">
        <v>10</v>
      </c>
      <c r="E1280" s="1" t="s">
        <v>11</v>
      </c>
      <c r="F1280" s="1" t="s">
        <v>14</v>
      </c>
      <c r="G1280">
        <v>0.5</v>
      </c>
      <c r="H1280">
        <v>0</v>
      </c>
      <c r="I1280">
        <v>0</v>
      </c>
      <c r="J1280" s="1" t="s">
        <v>291</v>
      </c>
      <c r="K1280" s="1" t="s">
        <v>345</v>
      </c>
    </row>
    <row r="1281" spans="1:11" x14ac:dyDescent="0.25">
      <c r="A1281" s="2">
        <v>45993.593958333331</v>
      </c>
      <c r="B1281" s="1" t="s">
        <v>348</v>
      </c>
      <c r="C1281" s="1" t="s">
        <v>358</v>
      </c>
      <c r="D1281" s="1" t="s">
        <v>10</v>
      </c>
      <c r="E1281" s="1" t="s">
        <v>11</v>
      </c>
      <c r="F1281" s="1" t="s">
        <v>15</v>
      </c>
      <c r="G1281">
        <v>3</v>
      </c>
      <c r="H1281">
        <v>0</v>
      </c>
      <c r="I1281">
        <v>0</v>
      </c>
      <c r="J1281" s="1"/>
      <c r="K1281" s="1" t="s">
        <v>340</v>
      </c>
    </row>
    <row r="1282" spans="1:11" x14ac:dyDescent="0.25">
      <c r="A1282" s="2">
        <v>45993.618657407409</v>
      </c>
      <c r="B1282" s="1" t="s">
        <v>348</v>
      </c>
      <c r="C1282" s="1" t="s">
        <v>358</v>
      </c>
      <c r="D1282" s="1" t="s">
        <v>20</v>
      </c>
      <c r="E1282" s="1" t="s">
        <v>11</v>
      </c>
      <c r="F1282" s="1" t="s">
        <v>15</v>
      </c>
      <c r="G1282">
        <v>3</v>
      </c>
      <c r="H1282">
        <v>0</v>
      </c>
      <c r="I1282">
        <v>0</v>
      </c>
      <c r="J1282" s="1" t="s">
        <v>294</v>
      </c>
      <c r="K1282" s="1" t="s">
        <v>345</v>
      </c>
    </row>
    <row r="1283" spans="1:11" x14ac:dyDescent="0.25">
      <c r="A1283" s="2">
        <v>45993.628368055557</v>
      </c>
      <c r="B1283" s="1" t="s">
        <v>349</v>
      </c>
      <c r="C1283" s="1" t="s">
        <v>358</v>
      </c>
      <c r="D1283" s="1" t="s">
        <v>20</v>
      </c>
      <c r="E1283" s="1" t="s">
        <v>11</v>
      </c>
      <c r="F1283" s="1" t="s">
        <v>12</v>
      </c>
      <c r="G1283">
        <v>10.5</v>
      </c>
      <c r="H1283">
        <v>0</v>
      </c>
      <c r="I1283">
        <v>0</v>
      </c>
      <c r="J1283" s="1"/>
      <c r="K1283" s="1" t="s">
        <v>340</v>
      </c>
    </row>
    <row r="1284" spans="1:11" x14ac:dyDescent="0.25">
      <c r="A1284" s="2">
        <v>45993.721643518518</v>
      </c>
      <c r="B1284" s="1" t="s">
        <v>355</v>
      </c>
      <c r="C1284" s="1" t="s">
        <v>358</v>
      </c>
      <c r="D1284" s="1" t="s">
        <v>10</v>
      </c>
      <c r="E1284" s="1" t="s">
        <v>11</v>
      </c>
      <c r="F1284" s="1" t="s">
        <v>14</v>
      </c>
      <c r="G1284">
        <v>0.5</v>
      </c>
      <c r="H1284">
        <v>0</v>
      </c>
      <c r="I1284">
        <v>0</v>
      </c>
      <c r="J1284" s="1" t="s">
        <v>295</v>
      </c>
      <c r="K1284" s="1" t="s">
        <v>345</v>
      </c>
    </row>
    <row r="1285" spans="1:11" x14ac:dyDescent="0.25">
      <c r="A1285" s="2">
        <v>45993.722210648149</v>
      </c>
      <c r="B1285" s="1" t="s">
        <v>355</v>
      </c>
      <c r="C1285" s="1" t="s">
        <v>358</v>
      </c>
      <c r="D1285" s="1" t="s">
        <v>10</v>
      </c>
      <c r="E1285" s="1" t="s">
        <v>11</v>
      </c>
      <c r="F1285" s="1" t="s">
        <v>15</v>
      </c>
      <c r="G1285">
        <v>3</v>
      </c>
      <c r="H1285">
        <v>1</v>
      </c>
      <c r="I1285">
        <v>0</v>
      </c>
      <c r="J1285" s="1"/>
      <c r="K1285" s="1" t="s">
        <v>336</v>
      </c>
    </row>
    <row r="1286" spans="1:11" x14ac:dyDescent="0.25">
      <c r="A1286" s="2">
        <v>45993.722349537034</v>
      </c>
      <c r="B1286" s="1" t="s">
        <v>355</v>
      </c>
      <c r="C1286" s="1" t="s">
        <v>358</v>
      </c>
      <c r="D1286" s="1" t="s">
        <v>10</v>
      </c>
      <c r="E1286" s="1" t="s">
        <v>17</v>
      </c>
      <c r="F1286" s="1" t="s">
        <v>15</v>
      </c>
      <c r="G1286">
        <v>3</v>
      </c>
      <c r="H1286">
        <v>1</v>
      </c>
      <c r="I1286">
        <v>0</v>
      </c>
      <c r="J1286" s="1"/>
      <c r="K1286" s="1" t="s">
        <v>336</v>
      </c>
    </row>
    <row r="1287" spans="1:11" x14ac:dyDescent="0.25">
      <c r="A1287" s="2">
        <v>45993.723368055558</v>
      </c>
      <c r="B1287" s="1" t="s">
        <v>355</v>
      </c>
      <c r="C1287" s="1" t="s">
        <v>358</v>
      </c>
      <c r="D1287" s="1" t="s">
        <v>10</v>
      </c>
      <c r="E1287" s="1" t="s">
        <v>11</v>
      </c>
      <c r="F1287" s="1" t="s">
        <v>15</v>
      </c>
      <c r="G1287">
        <v>3</v>
      </c>
      <c r="H1287">
        <v>0</v>
      </c>
      <c r="I1287">
        <v>0</v>
      </c>
      <c r="J1287" s="1"/>
      <c r="K1287" s="1" t="s">
        <v>343</v>
      </c>
    </row>
    <row r="1288" spans="1:11" x14ac:dyDescent="0.25">
      <c r="A1288" s="2">
        <v>45993.726770833331</v>
      </c>
      <c r="B1288" s="1" t="s">
        <v>355</v>
      </c>
      <c r="C1288" s="1" t="s">
        <v>358</v>
      </c>
      <c r="D1288" s="1" t="s">
        <v>10</v>
      </c>
      <c r="E1288" s="1" t="s">
        <v>17</v>
      </c>
      <c r="F1288" s="1" t="s">
        <v>15</v>
      </c>
      <c r="G1288">
        <v>3</v>
      </c>
      <c r="H1288">
        <v>0</v>
      </c>
      <c r="I1288">
        <v>0</v>
      </c>
      <c r="J1288" s="1"/>
      <c r="K1288" s="1" t="s">
        <v>106</v>
      </c>
    </row>
    <row r="1289" spans="1:11" x14ac:dyDescent="0.25">
      <c r="A1289" s="2">
        <v>45993.726770833331</v>
      </c>
      <c r="B1289" s="1" t="s">
        <v>355</v>
      </c>
      <c r="C1289" s="1" t="s">
        <v>358</v>
      </c>
      <c r="D1289" s="1" t="s">
        <v>10</v>
      </c>
      <c r="E1289" s="1" t="s">
        <v>17</v>
      </c>
      <c r="F1289" s="1" t="s">
        <v>15</v>
      </c>
      <c r="G1289">
        <v>3</v>
      </c>
      <c r="H1289">
        <v>0</v>
      </c>
      <c r="I1289">
        <v>0</v>
      </c>
      <c r="J1289" s="1"/>
      <c r="K1289" s="1" t="s">
        <v>343</v>
      </c>
    </row>
    <row r="1290" spans="1:11" x14ac:dyDescent="0.25">
      <c r="A1290" s="2">
        <v>45994.399583333332</v>
      </c>
      <c r="B1290" s="1" t="s">
        <v>352</v>
      </c>
      <c r="C1290" s="1" t="s">
        <v>359</v>
      </c>
      <c r="D1290" s="1" t="s">
        <v>20</v>
      </c>
      <c r="E1290" s="1" t="s">
        <v>11</v>
      </c>
      <c r="F1290" s="1" t="s">
        <v>14</v>
      </c>
      <c r="G1290">
        <v>0.5</v>
      </c>
      <c r="H1290">
        <v>0</v>
      </c>
      <c r="I1290">
        <v>0</v>
      </c>
      <c r="J1290" s="1"/>
      <c r="K1290" s="1" t="s">
        <v>343</v>
      </c>
    </row>
    <row r="1291" spans="1:11" x14ac:dyDescent="0.25">
      <c r="A1291" s="2">
        <v>45994.58525462963</v>
      </c>
      <c r="B1291" s="1" t="s">
        <v>348</v>
      </c>
      <c r="C1291" s="1" t="s">
        <v>359</v>
      </c>
      <c r="D1291" s="1" t="s">
        <v>10</v>
      </c>
      <c r="E1291" s="1" t="s">
        <v>11</v>
      </c>
      <c r="F1291" s="1" t="s">
        <v>12</v>
      </c>
      <c r="G1291">
        <v>10.5</v>
      </c>
      <c r="H1291">
        <v>0</v>
      </c>
      <c r="I1291">
        <v>0</v>
      </c>
      <c r="J1291" s="1"/>
      <c r="K1291" s="1" t="s">
        <v>343</v>
      </c>
    </row>
    <row r="1292" spans="1:11" x14ac:dyDescent="0.25">
      <c r="A1292" s="2">
        <v>45994.623923611114</v>
      </c>
      <c r="B1292" s="1" t="s">
        <v>348</v>
      </c>
      <c r="C1292" s="1" t="s">
        <v>359</v>
      </c>
      <c r="D1292" s="1" t="s">
        <v>10</v>
      </c>
      <c r="E1292" s="1" t="s">
        <v>11</v>
      </c>
      <c r="F1292" s="1" t="s">
        <v>12</v>
      </c>
      <c r="G1292">
        <v>10.5</v>
      </c>
      <c r="H1292">
        <v>1</v>
      </c>
      <c r="I1292">
        <v>0</v>
      </c>
      <c r="J1292" s="1"/>
      <c r="K1292" s="1" t="s">
        <v>336</v>
      </c>
    </row>
    <row r="1293" spans="1:11" x14ac:dyDescent="0.25">
      <c r="A1293" s="2">
        <v>45994.623923611114</v>
      </c>
      <c r="B1293" s="1" t="s">
        <v>348</v>
      </c>
      <c r="C1293" s="1" t="s">
        <v>359</v>
      </c>
      <c r="D1293" s="1" t="s">
        <v>10</v>
      </c>
      <c r="E1293" s="1" t="s">
        <v>11</v>
      </c>
      <c r="F1293" s="1" t="s">
        <v>12</v>
      </c>
      <c r="G1293">
        <v>10.5</v>
      </c>
      <c r="H1293">
        <v>1</v>
      </c>
      <c r="I1293">
        <v>0</v>
      </c>
      <c r="J1293" s="1"/>
      <c r="K1293" s="1" t="s">
        <v>106</v>
      </c>
    </row>
    <row r="1294" spans="1:11" x14ac:dyDescent="0.25">
      <c r="A1294" s="2">
        <v>45994.624282407407</v>
      </c>
      <c r="B1294" s="1" t="s">
        <v>348</v>
      </c>
      <c r="C1294" s="1" t="s">
        <v>359</v>
      </c>
      <c r="D1294" s="1" t="s">
        <v>10</v>
      </c>
      <c r="E1294" s="1" t="s">
        <v>11</v>
      </c>
      <c r="F1294" s="1" t="s">
        <v>12</v>
      </c>
      <c r="G1294">
        <v>10.5</v>
      </c>
      <c r="H1294">
        <v>0</v>
      </c>
      <c r="I1294">
        <v>0</v>
      </c>
      <c r="J1294" s="1"/>
      <c r="K1294" s="1" t="s">
        <v>337</v>
      </c>
    </row>
    <row r="1295" spans="1:11" x14ac:dyDescent="0.25">
      <c r="A1295" s="2">
        <v>45994.624282407407</v>
      </c>
      <c r="B1295" s="1" t="s">
        <v>348</v>
      </c>
      <c r="C1295" s="1" t="s">
        <v>359</v>
      </c>
      <c r="D1295" s="1" t="s">
        <v>10</v>
      </c>
      <c r="E1295" s="1" t="s">
        <v>11</v>
      </c>
      <c r="F1295" s="1" t="s">
        <v>12</v>
      </c>
      <c r="G1295">
        <v>10.5</v>
      </c>
      <c r="H1295">
        <v>0</v>
      </c>
      <c r="I1295">
        <v>0</v>
      </c>
      <c r="J1295" s="1"/>
      <c r="K1295" s="1" t="s">
        <v>340</v>
      </c>
    </row>
    <row r="1296" spans="1:11" x14ac:dyDescent="0.25">
      <c r="A1296" s="2">
        <v>45994.624282407407</v>
      </c>
      <c r="B1296" s="1" t="s">
        <v>348</v>
      </c>
      <c r="C1296" s="1" t="s">
        <v>359</v>
      </c>
      <c r="D1296" s="1" t="s">
        <v>10</v>
      </c>
      <c r="E1296" s="1" t="s">
        <v>11</v>
      </c>
      <c r="F1296" s="1" t="s">
        <v>12</v>
      </c>
      <c r="G1296">
        <v>10.5</v>
      </c>
      <c r="H1296">
        <v>0</v>
      </c>
      <c r="I1296">
        <v>0</v>
      </c>
      <c r="J1296" s="1"/>
      <c r="K1296" s="1" t="s">
        <v>106</v>
      </c>
    </row>
    <row r="1297" spans="1:11" x14ac:dyDescent="0.25">
      <c r="A1297" s="2">
        <v>45994.718726851854</v>
      </c>
      <c r="B1297" s="1" t="s">
        <v>355</v>
      </c>
      <c r="C1297" s="1" t="s">
        <v>359</v>
      </c>
      <c r="D1297" s="1" t="s">
        <v>10</v>
      </c>
      <c r="E1297" s="1" t="s">
        <v>11</v>
      </c>
      <c r="F1297" s="1" t="s">
        <v>18</v>
      </c>
      <c r="G1297">
        <v>20</v>
      </c>
      <c r="H1297">
        <v>1</v>
      </c>
      <c r="I1297">
        <v>0</v>
      </c>
      <c r="J1297" s="1"/>
      <c r="K1297" s="1" t="s">
        <v>340</v>
      </c>
    </row>
    <row r="1298" spans="1:11" x14ac:dyDescent="0.25">
      <c r="A1298" s="2">
        <v>45994.718726851854</v>
      </c>
      <c r="B1298" s="1" t="s">
        <v>355</v>
      </c>
      <c r="C1298" s="1" t="s">
        <v>359</v>
      </c>
      <c r="D1298" s="1" t="s">
        <v>10</v>
      </c>
      <c r="E1298" s="1" t="s">
        <v>11</v>
      </c>
      <c r="F1298" s="1" t="s">
        <v>18</v>
      </c>
      <c r="G1298">
        <v>20</v>
      </c>
      <c r="H1298">
        <v>1</v>
      </c>
      <c r="I1298">
        <v>0</v>
      </c>
      <c r="J1298" s="1"/>
      <c r="K1298" s="1" t="s">
        <v>343</v>
      </c>
    </row>
    <row r="1299" spans="1:11" x14ac:dyDescent="0.25">
      <c r="A1299" s="2">
        <v>45994.719050925924</v>
      </c>
      <c r="B1299" s="1" t="s">
        <v>355</v>
      </c>
      <c r="C1299" s="1" t="s">
        <v>359</v>
      </c>
      <c r="D1299" s="1" t="s">
        <v>10</v>
      </c>
      <c r="E1299" s="1" t="s">
        <v>11</v>
      </c>
      <c r="F1299" s="1" t="s">
        <v>12</v>
      </c>
      <c r="G1299">
        <v>10.5</v>
      </c>
      <c r="H1299">
        <v>0</v>
      </c>
      <c r="I1299">
        <v>0</v>
      </c>
      <c r="J1299" s="1" t="s">
        <v>296</v>
      </c>
      <c r="K1299" s="1" t="s">
        <v>106</v>
      </c>
    </row>
    <row r="1300" spans="1:11" x14ac:dyDescent="0.25">
      <c r="A1300" s="2">
        <v>45994.719282407408</v>
      </c>
      <c r="B1300" s="1" t="s">
        <v>355</v>
      </c>
      <c r="C1300" s="1" t="s">
        <v>359</v>
      </c>
      <c r="D1300" s="1" t="s">
        <v>10</v>
      </c>
      <c r="E1300" s="1" t="s">
        <v>11</v>
      </c>
      <c r="F1300" s="1" t="s">
        <v>15</v>
      </c>
      <c r="G1300">
        <v>3</v>
      </c>
      <c r="H1300">
        <v>0</v>
      </c>
      <c r="I1300">
        <v>1</v>
      </c>
      <c r="J1300" s="1"/>
      <c r="K1300" s="1" t="s">
        <v>337</v>
      </c>
    </row>
    <row r="1301" spans="1:11" x14ac:dyDescent="0.25">
      <c r="A1301" s="2">
        <v>45994.719375000001</v>
      </c>
      <c r="B1301" s="1" t="s">
        <v>355</v>
      </c>
      <c r="C1301" s="1" t="s">
        <v>359</v>
      </c>
      <c r="D1301" s="1" t="s">
        <v>10</v>
      </c>
      <c r="E1301" s="1" t="s">
        <v>17</v>
      </c>
      <c r="F1301" s="1" t="s">
        <v>14</v>
      </c>
      <c r="G1301">
        <v>0.5</v>
      </c>
      <c r="H1301">
        <v>0</v>
      </c>
      <c r="I1301">
        <v>0</v>
      </c>
      <c r="J1301" s="1"/>
      <c r="K1301" s="1" t="s">
        <v>343</v>
      </c>
    </row>
    <row r="1302" spans="1:11" x14ac:dyDescent="0.25">
      <c r="A1302" s="2">
        <v>45994.719467592593</v>
      </c>
      <c r="B1302" s="1" t="s">
        <v>355</v>
      </c>
      <c r="C1302" s="1" t="s">
        <v>359</v>
      </c>
      <c r="D1302" s="1" t="s">
        <v>10</v>
      </c>
      <c r="E1302" s="1" t="s">
        <v>11</v>
      </c>
      <c r="F1302" s="1" t="s">
        <v>14</v>
      </c>
      <c r="G1302">
        <v>0.5</v>
      </c>
      <c r="H1302">
        <v>0</v>
      </c>
      <c r="I1302">
        <v>0</v>
      </c>
      <c r="J1302" s="1"/>
      <c r="K1302" s="1" t="s">
        <v>344</v>
      </c>
    </row>
    <row r="1303" spans="1:11" x14ac:dyDescent="0.25">
      <c r="A1303" s="2">
        <v>45995.438310185185</v>
      </c>
      <c r="B1303" s="1" t="s">
        <v>347</v>
      </c>
      <c r="C1303" s="1" t="s">
        <v>360</v>
      </c>
      <c r="D1303" s="1" t="s">
        <v>10</v>
      </c>
      <c r="E1303" s="1" t="s">
        <v>11</v>
      </c>
      <c r="F1303" s="1" t="s">
        <v>15</v>
      </c>
      <c r="G1303">
        <v>3</v>
      </c>
      <c r="H1303">
        <v>1</v>
      </c>
      <c r="I1303">
        <v>0</v>
      </c>
      <c r="J1303" s="1"/>
      <c r="K1303" s="1" t="s">
        <v>336</v>
      </c>
    </row>
    <row r="1304" spans="1:11" x14ac:dyDescent="0.25">
      <c r="A1304" s="2">
        <v>45995.438402777778</v>
      </c>
      <c r="B1304" s="1" t="s">
        <v>347</v>
      </c>
      <c r="C1304" s="1" t="s">
        <v>360</v>
      </c>
      <c r="D1304" s="1" t="s">
        <v>10</v>
      </c>
      <c r="E1304" s="1" t="s">
        <v>11</v>
      </c>
      <c r="F1304" s="1" t="s">
        <v>14</v>
      </c>
      <c r="G1304">
        <v>0.5</v>
      </c>
      <c r="H1304">
        <v>0</v>
      </c>
      <c r="I1304">
        <v>0</v>
      </c>
      <c r="J1304" s="1"/>
      <c r="K1304" s="1" t="s">
        <v>343</v>
      </c>
    </row>
    <row r="1305" spans="1:11" x14ac:dyDescent="0.25">
      <c r="A1305" s="2">
        <v>45995.500300925924</v>
      </c>
      <c r="B1305" s="1" t="s">
        <v>350</v>
      </c>
      <c r="C1305" s="1" t="s">
        <v>360</v>
      </c>
      <c r="D1305" s="1" t="s">
        <v>10</v>
      </c>
      <c r="E1305" s="1" t="s">
        <v>11</v>
      </c>
      <c r="F1305" s="1" t="s">
        <v>12</v>
      </c>
      <c r="G1305">
        <v>10.5</v>
      </c>
      <c r="H1305">
        <v>1</v>
      </c>
      <c r="I1305">
        <v>1</v>
      </c>
      <c r="J1305" s="1"/>
      <c r="K1305" s="1" t="s">
        <v>337</v>
      </c>
    </row>
    <row r="1306" spans="1:11" x14ac:dyDescent="0.25">
      <c r="A1306" s="2">
        <v>45995.530335648145</v>
      </c>
      <c r="B1306" s="1" t="s">
        <v>350</v>
      </c>
      <c r="C1306" s="1" t="s">
        <v>360</v>
      </c>
      <c r="D1306" s="1" t="s">
        <v>10</v>
      </c>
      <c r="E1306" s="1" t="s">
        <v>11</v>
      </c>
      <c r="F1306" s="1" t="s">
        <v>18</v>
      </c>
      <c r="G1306">
        <v>20</v>
      </c>
      <c r="H1306">
        <v>0</v>
      </c>
      <c r="I1306">
        <v>0</v>
      </c>
      <c r="J1306" s="1" t="s">
        <v>297</v>
      </c>
      <c r="K1306" s="1" t="s">
        <v>340</v>
      </c>
    </row>
    <row r="1307" spans="1:11" x14ac:dyDescent="0.25">
      <c r="A1307" s="2">
        <v>45995.530335648145</v>
      </c>
      <c r="B1307" s="1" t="s">
        <v>350</v>
      </c>
      <c r="C1307" s="1" t="s">
        <v>360</v>
      </c>
      <c r="D1307" s="1" t="s">
        <v>10</v>
      </c>
      <c r="E1307" s="1" t="s">
        <v>11</v>
      </c>
      <c r="F1307" s="1" t="s">
        <v>18</v>
      </c>
      <c r="G1307">
        <v>20</v>
      </c>
      <c r="H1307">
        <v>0</v>
      </c>
      <c r="I1307">
        <v>0</v>
      </c>
      <c r="J1307" s="1" t="s">
        <v>297</v>
      </c>
      <c r="K1307" s="1" t="s">
        <v>343</v>
      </c>
    </row>
    <row r="1308" spans="1:11" x14ac:dyDescent="0.25">
      <c r="A1308" s="2">
        <v>45995.53565972222</v>
      </c>
      <c r="B1308" s="1" t="s">
        <v>350</v>
      </c>
      <c r="C1308" s="1" t="s">
        <v>360</v>
      </c>
      <c r="D1308" s="1" t="s">
        <v>10</v>
      </c>
      <c r="E1308" s="1" t="s">
        <v>11</v>
      </c>
      <c r="F1308" s="1" t="s">
        <v>15</v>
      </c>
      <c r="G1308">
        <v>3</v>
      </c>
      <c r="H1308">
        <v>1</v>
      </c>
      <c r="I1308">
        <v>0</v>
      </c>
      <c r="J1308" s="1"/>
      <c r="K1308" s="1" t="s">
        <v>336</v>
      </c>
    </row>
    <row r="1309" spans="1:11" x14ac:dyDescent="0.25">
      <c r="A1309" s="2">
        <v>45995.55</v>
      </c>
      <c r="B1309" s="1" t="s">
        <v>351</v>
      </c>
      <c r="C1309" s="1" t="s">
        <v>360</v>
      </c>
      <c r="D1309" s="1" t="s">
        <v>10</v>
      </c>
      <c r="E1309" s="1" t="s">
        <v>11</v>
      </c>
      <c r="F1309" s="1" t="s">
        <v>14</v>
      </c>
      <c r="G1309">
        <v>0.5</v>
      </c>
      <c r="H1309">
        <v>0</v>
      </c>
      <c r="I1309">
        <v>0</v>
      </c>
      <c r="J1309" s="1"/>
      <c r="K1309" s="1" t="s">
        <v>342</v>
      </c>
    </row>
    <row r="1310" spans="1:11" x14ac:dyDescent="0.25">
      <c r="A1310" s="2">
        <v>45995.550150462965</v>
      </c>
      <c r="B1310" s="1" t="s">
        <v>351</v>
      </c>
      <c r="C1310" s="1" t="s">
        <v>360</v>
      </c>
      <c r="D1310" s="1" t="s">
        <v>10</v>
      </c>
      <c r="E1310" s="1" t="s">
        <v>17</v>
      </c>
      <c r="F1310" s="1" t="s">
        <v>14</v>
      </c>
      <c r="G1310">
        <v>0.5</v>
      </c>
      <c r="H1310">
        <v>0</v>
      </c>
      <c r="I1310">
        <v>0</v>
      </c>
      <c r="J1310" s="1"/>
      <c r="K1310" s="1" t="s">
        <v>342</v>
      </c>
    </row>
    <row r="1311" spans="1:11" x14ac:dyDescent="0.25">
      <c r="A1311" s="2">
        <v>45995.571388888886</v>
      </c>
      <c r="B1311" s="1" t="s">
        <v>351</v>
      </c>
      <c r="C1311" s="1" t="s">
        <v>360</v>
      </c>
      <c r="D1311" s="1" t="s">
        <v>10</v>
      </c>
      <c r="E1311" s="1" t="s">
        <v>11</v>
      </c>
      <c r="F1311" s="1" t="s">
        <v>14</v>
      </c>
      <c r="G1311">
        <v>0.5</v>
      </c>
      <c r="H1311">
        <v>0</v>
      </c>
      <c r="I1311">
        <v>0</v>
      </c>
      <c r="J1311" s="1"/>
      <c r="K1311" s="1" t="s">
        <v>344</v>
      </c>
    </row>
    <row r="1312" spans="1:11" x14ac:dyDescent="0.25">
      <c r="A1312" s="2">
        <v>45995.615671296298</v>
      </c>
      <c r="B1312" s="1" t="s">
        <v>348</v>
      </c>
      <c r="C1312" s="1" t="s">
        <v>360</v>
      </c>
      <c r="D1312" s="1" t="s">
        <v>10</v>
      </c>
      <c r="E1312" s="1" t="s">
        <v>17</v>
      </c>
      <c r="F1312" s="1" t="s">
        <v>15</v>
      </c>
      <c r="G1312">
        <v>3</v>
      </c>
      <c r="H1312">
        <v>1</v>
      </c>
      <c r="I1312">
        <v>0</v>
      </c>
      <c r="J1312" s="1"/>
      <c r="K1312" s="1" t="s">
        <v>336</v>
      </c>
    </row>
    <row r="1313" spans="1:11" x14ac:dyDescent="0.25">
      <c r="A1313" s="2">
        <v>45995.637083333335</v>
      </c>
      <c r="B1313" s="1" t="s">
        <v>349</v>
      </c>
      <c r="C1313" s="1" t="s">
        <v>360</v>
      </c>
      <c r="D1313" s="1" t="s">
        <v>10</v>
      </c>
      <c r="E1313" s="1" t="s">
        <v>11</v>
      </c>
      <c r="F1313" s="1" t="s">
        <v>12</v>
      </c>
      <c r="G1313">
        <v>10.5</v>
      </c>
      <c r="H1313">
        <v>1</v>
      </c>
      <c r="I1313">
        <v>0</v>
      </c>
      <c r="J1313" s="1" t="s">
        <v>298</v>
      </c>
      <c r="K1313" s="1" t="s">
        <v>336</v>
      </c>
    </row>
    <row r="1314" spans="1:11" x14ac:dyDescent="0.25">
      <c r="A1314" s="2">
        <v>45995.637395833335</v>
      </c>
      <c r="B1314" s="1" t="s">
        <v>349</v>
      </c>
      <c r="C1314" s="1" t="s">
        <v>360</v>
      </c>
      <c r="D1314" s="1" t="s">
        <v>20</v>
      </c>
      <c r="E1314" s="1" t="s">
        <v>11</v>
      </c>
      <c r="F1314" s="1" t="s">
        <v>15</v>
      </c>
      <c r="G1314">
        <v>3</v>
      </c>
      <c r="H1314">
        <v>0</v>
      </c>
      <c r="I1314">
        <v>0</v>
      </c>
      <c r="J1314" s="1" t="s">
        <v>299</v>
      </c>
      <c r="K1314" s="1" t="s">
        <v>340</v>
      </c>
    </row>
    <row r="1315" spans="1:11" x14ac:dyDescent="0.25">
      <c r="A1315" s="2">
        <v>45995.637511574074</v>
      </c>
      <c r="B1315" s="1" t="s">
        <v>349</v>
      </c>
      <c r="C1315" s="1" t="s">
        <v>360</v>
      </c>
      <c r="D1315" s="1" t="s">
        <v>10</v>
      </c>
      <c r="E1315" s="1" t="s">
        <v>11</v>
      </c>
      <c r="F1315" s="1" t="s">
        <v>15</v>
      </c>
      <c r="G1315">
        <v>3</v>
      </c>
      <c r="H1315">
        <v>0</v>
      </c>
      <c r="I1315">
        <v>0</v>
      </c>
      <c r="J1315" s="1" t="s">
        <v>214</v>
      </c>
      <c r="K1315" s="1" t="s">
        <v>345</v>
      </c>
    </row>
    <row r="1316" spans="1:11" x14ac:dyDescent="0.25">
      <c r="A1316" s="2">
        <v>45995.642395833333</v>
      </c>
      <c r="B1316" s="1" t="s">
        <v>349</v>
      </c>
      <c r="C1316" s="1" t="s">
        <v>360</v>
      </c>
      <c r="D1316" s="1" t="s">
        <v>10</v>
      </c>
      <c r="E1316" s="1" t="s">
        <v>11</v>
      </c>
      <c r="F1316" s="1" t="s">
        <v>15</v>
      </c>
      <c r="G1316">
        <v>3</v>
      </c>
      <c r="H1316">
        <v>0</v>
      </c>
      <c r="I1316">
        <v>0</v>
      </c>
      <c r="J1316" s="1" t="s">
        <v>300</v>
      </c>
      <c r="K1316" s="1" t="s">
        <v>345</v>
      </c>
    </row>
    <row r="1317" spans="1:11" x14ac:dyDescent="0.25">
      <c r="A1317" s="2">
        <v>45995.644282407404</v>
      </c>
      <c r="B1317" s="1" t="s">
        <v>349</v>
      </c>
      <c r="C1317" s="1" t="s">
        <v>360</v>
      </c>
      <c r="D1317" s="1" t="s">
        <v>10</v>
      </c>
      <c r="E1317" s="1" t="s">
        <v>11</v>
      </c>
      <c r="F1317" s="1" t="s">
        <v>15</v>
      </c>
      <c r="G1317">
        <v>3</v>
      </c>
      <c r="H1317">
        <v>0</v>
      </c>
      <c r="I1317">
        <v>0</v>
      </c>
      <c r="J1317" s="1"/>
      <c r="K1317" s="1" t="s">
        <v>340</v>
      </c>
    </row>
    <row r="1318" spans="1:11" x14ac:dyDescent="0.25">
      <c r="A1318" s="2">
        <v>45995.709664351853</v>
      </c>
      <c r="B1318" s="1" t="s">
        <v>355</v>
      </c>
      <c r="C1318" s="1" t="s">
        <v>360</v>
      </c>
      <c r="D1318" s="1" t="s">
        <v>10</v>
      </c>
      <c r="E1318" s="1" t="s">
        <v>11</v>
      </c>
      <c r="F1318" s="1" t="s">
        <v>18</v>
      </c>
      <c r="G1318">
        <v>20</v>
      </c>
      <c r="H1318">
        <v>0</v>
      </c>
      <c r="I1318">
        <v>0</v>
      </c>
      <c r="J1318" s="1"/>
      <c r="K1318" s="1" t="s">
        <v>340</v>
      </c>
    </row>
    <row r="1319" spans="1:11" x14ac:dyDescent="0.25">
      <c r="A1319" s="2">
        <v>45995.731412037036</v>
      </c>
      <c r="B1319" s="1" t="s">
        <v>355</v>
      </c>
      <c r="C1319" s="1" t="s">
        <v>360</v>
      </c>
      <c r="D1319" s="1" t="s">
        <v>10</v>
      </c>
      <c r="E1319" s="1" t="s">
        <v>11</v>
      </c>
      <c r="F1319" s="1" t="s">
        <v>14</v>
      </c>
      <c r="G1319">
        <v>0.5</v>
      </c>
      <c r="H1319">
        <v>0</v>
      </c>
      <c r="I1319">
        <v>0</v>
      </c>
      <c r="J1319" s="1"/>
      <c r="K1319" s="1" t="s">
        <v>343</v>
      </c>
    </row>
    <row r="1320" spans="1:11" x14ac:dyDescent="0.25">
      <c r="A1320" s="2">
        <v>45996.438750000001</v>
      </c>
      <c r="B1320" s="1" t="s">
        <v>347</v>
      </c>
      <c r="C1320" s="1" t="s">
        <v>361</v>
      </c>
      <c r="D1320" s="1" t="s">
        <v>10</v>
      </c>
      <c r="E1320" s="1" t="s">
        <v>11</v>
      </c>
      <c r="F1320" s="1" t="s">
        <v>15</v>
      </c>
      <c r="G1320">
        <v>3</v>
      </c>
      <c r="H1320">
        <v>0</v>
      </c>
      <c r="I1320">
        <v>0</v>
      </c>
      <c r="J1320" s="1"/>
      <c r="K1320" s="1" t="s">
        <v>342</v>
      </c>
    </row>
    <row r="1321" spans="1:11" x14ac:dyDescent="0.25">
      <c r="A1321" s="2">
        <v>45996.455358796295</v>
      </c>
      <c r="B1321" s="1" t="s">
        <v>347</v>
      </c>
      <c r="C1321" s="1" t="s">
        <v>361</v>
      </c>
      <c r="D1321" s="1" t="s">
        <v>10</v>
      </c>
      <c r="E1321" s="1" t="s">
        <v>11</v>
      </c>
      <c r="F1321" s="1" t="s">
        <v>12</v>
      </c>
      <c r="G1321">
        <v>10.5</v>
      </c>
      <c r="H1321">
        <v>0</v>
      </c>
      <c r="I1321">
        <v>0</v>
      </c>
      <c r="J1321" s="1"/>
      <c r="K1321" s="1" t="s">
        <v>341</v>
      </c>
    </row>
    <row r="1322" spans="1:11" x14ac:dyDescent="0.25">
      <c r="A1322" s="2">
        <v>45996.487222222226</v>
      </c>
      <c r="B1322" s="1" t="s">
        <v>354</v>
      </c>
      <c r="C1322" s="1" t="s">
        <v>361</v>
      </c>
      <c r="D1322" s="1" t="s">
        <v>10</v>
      </c>
      <c r="E1322" s="1" t="s">
        <v>11</v>
      </c>
      <c r="F1322" s="1" t="s">
        <v>15</v>
      </c>
      <c r="G1322">
        <v>3</v>
      </c>
      <c r="H1322">
        <v>0</v>
      </c>
      <c r="I1322">
        <v>0</v>
      </c>
      <c r="J1322" s="1"/>
      <c r="K1322" s="1" t="s">
        <v>342</v>
      </c>
    </row>
    <row r="1323" spans="1:11" x14ac:dyDescent="0.25">
      <c r="A1323" s="2">
        <v>45996.50476851852</v>
      </c>
      <c r="B1323" s="1" t="s">
        <v>350</v>
      </c>
      <c r="C1323" s="1" t="s">
        <v>361</v>
      </c>
      <c r="D1323" s="1" t="s">
        <v>10</v>
      </c>
      <c r="E1323" s="1" t="s">
        <v>11</v>
      </c>
      <c r="F1323" s="1" t="s">
        <v>15</v>
      </c>
      <c r="G1323">
        <v>3</v>
      </c>
      <c r="H1323">
        <v>0</v>
      </c>
      <c r="I1323">
        <v>0</v>
      </c>
      <c r="J1323" s="1" t="s">
        <v>301</v>
      </c>
      <c r="K1323" s="1" t="s">
        <v>344</v>
      </c>
    </row>
    <row r="1324" spans="1:11" x14ac:dyDescent="0.25">
      <c r="A1324" s="2">
        <v>45996.518229166664</v>
      </c>
      <c r="B1324" s="1" t="s">
        <v>350</v>
      </c>
      <c r="C1324" s="1" t="s">
        <v>361</v>
      </c>
      <c r="D1324" s="1" t="s">
        <v>10</v>
      </c>
      <c r="E1324" s="1" t="s">
        <v>11</v>
      </c>
      <c r="F1324" s="1" t="s">
        <v>15</v>
      </c>
      <c r="G1324">
        <v>3</v>
      </c>
      <c r="H1324">
        <v>0</v>
      </c>
      <c r="I1324">
        <v>0</v>
      </c>
      <c r="J1324" s="1"/>
      <c r="K1324" s="1" t="s">
        <v>341</v>
      </c>
    </row>
    <row r="1325" spans="1:11" x14ac:dyDescent="0.25">
      <c r="A1325" s="2">
        <v>45996.551620370374</v>
      </c>
      <c r="B1325" s="1" t="s">
        <v>351</v>
      </c>
      <c r="C1325" s="1" t="s">
        <v>361</v>
      </c>
      <c r="D1325" s="1" t="s">
        <v>10</v>
      </c>
      <c r="E1325" s="1" t="s">
        <v>11</v>
      </c>
      <c r="F1325" s="1" t="s">
        <v>15</v>
      </c>
      <c r="G1325">
        <v>3</v>
      </c>
      <c r="H1325">
        <v>0</v>
      </c>
      <c r="I1325">
        <v>0</v>
      </c>
      <c r="J1325" s="1" t="s">
        <v>302</v>
      </c>
      <c r="K1325" s="1" t="s">
        <v>342</v>
      </c>
    </row>
    <row r="1326" spans="1:11" x14ac:dyDescent="0.25">
      <c r="A1326" s="2">
        <v>45996.568865740737</v>
      </c>
      <c r="B1326" s="1" t="s">
        <v>351</v>
      </c>
      <c r="C1326" s="1" t="s">
        <v>361</v>
      </c>
      <c r="D1326" s="1" t="s">
        <v>10</v>
      </c>
      <c r="E1326" s="1" t="s">
        <v>11</v>
      </c>
      <c r="F1326" s="1" t="s">
        <v>15</v>
      </c>
      <c r="G1326">
        <v>3</v>
      </c>
      <c r="H1326">
        <v>0</v>
      </c>
      <c r="I1326">
        <v>0</v>
      </c>
      <c r="J1326" s="1" t="s">
        <v>303</v>
      </c>
      <c r="K1326" s="1" t="s">
        <v>343</v>
      </c>
    </row>
    <row r="1327" spans="1:11" x14ac:dyDescent="0.25">
      <c r="A1327" s="2">
        <v>45996.603391203702</v>
      </c>
      <c r="B1327" s="1" t="s">
        <v>348</v>
      </c>
      <c r="C1327" s="1" t="s">
        <v>361</v>
      </c>
      <c r="D1327" s="1" t="s">
        <v>10</v>
      </c>
      <c r="E1327" s="1" t="s">
        <v>11</v>
      </c>
      <c r="F1327" s="1" t="s">
        <v>18</v>
      </c>
      <c r="G1327">
        <v>20</v>
      </c>
      <c r="H1327">
        <v>1</v>
      </c>
      <c r="I1327">
        <v>0</v>
      </c>
      <c r="J1327" s="1"/>
      <c r="K1327" s="1" t="s">
        <v>340</v>
      </c>
    </row>
    <row r="1328" spans="1:11" x14ac:dyDescent="0.25">
      <c r="A1328" s="2">
        <v>45996.603391203702</v>
      </c>
      <c r="B1328" s="1" t="s">
        <v>348</v>
      </c>
      <c r="C1328" s="1" t="s">
        <v>361</v>
      </c>
      <c r="D1328" s="1" t="s">
        <v>10</v>
      </c>
      <c r="E1328" s="1" t="s">
        <v>11</v>
      </c>
      <c r="F1328" s="1" t="s">
        <v>18</v>
      </c>
      <c r="G1328">
        <v>20</v>
      </c>
      <c r="H1328">
        <v>1</v>
      </c>
      <c r="I1328">
        <v>0</v>
      </c>
      <c r="J1328" s="1"/>
      <c r="K1328" s="1" t="s">
        <v>343</v>
      </c>
    </row>
    <row r="1329" spans="1:11" x14ac:dyDescent="0.25">
      <c r="A1329" s="2">
        <v>45996.683240740742</v>
      </c>
      <c r="B1329" s="1" t="s">
        <v>353</v>
      </c>
      <c r="C1329" s="1" t="s">
        <v>361</v>
      </c>
      <c r="D1329" s="1" t="s">
        <v>10</v>
      </c>
      <c r="E1329" s="1" t="s">
        <v>11</v>
      </c>
      <c r="F1329" s="1" t="s">
        <v>18</v>
      </c>
      <c r="G1329">
        <v>20</v>
      </c>
      <c r="H1329">
        <v>1</v>
      </c>
      <c r="I1329">
        <v>0</v>
      </c>
      <c r="J1329" s="1"/>
      <c r="K1329" s="1" t="s">
        <v>340</v>
      </c>
    </row>
    <row r="1330" spans="1:11" x14ac:dyDescent="0.25">
      <c r="A1330" s="2">
        <v>45996.683240740742</v>
      </c>
      <c r="B1330" s="1" t="s">
        <v>353</v>
      </c>
      <c r="C1330" s="1" t="s">
        <v>361</v>
      </c>
      <c r="D1330" s="1" t="s">
        <v>10</v>
      </c>
      <c r="E1330" s="1" t="s">
        <v>11</v>
      </c>
      <c r="F1330" s="1" t="s">
        <v>18</v>
      </c>
      <c r="G1330">
        <v>20</v>
      </c>
      <c r="H1330">
        <v>1</v>
      </c>
      <c r="I1330">
        <v>0</v>
      </c>
      <c r="J1330" s="1"/>
      <c r="K1330" s="1" t="s">
        <v>106</v>
      </c>
    </row>
    <row r="1331" spans="1:11" x14ac:dyDescent="0.25">
      <c r="A1331" s="2">
        <v>45996.683240740742</v>
      </c>
      <c r="B1331" s="1" t="s">
        <v>353</v>
      </c>
      <c r="C1331" s="1" t="s">
        <v>361</v>
      </c>
      <c r="D1331" s="1" t="s">
        <v>10</v>
      </c>
      <c r="E1331" s="1" t="s">
        <v>11</v>
      </c>
      <c r="F1331" s="1" t="s">
        <v>18</v>
      </c>
      <c r="G1331">
        <v>20</v>
      </c>
      <c r="H1331">
        <v>1</v>
      </c>
      <c r="I1331">
        <v>0</v>
      </c>
      <c r="J1331" s="1"/>
      <c r="K1331" s="1" t="s">
        <v>343</v>
      </c>
    </row>
    <row r="1332" spans="1:11" x14ac:dyDescent="0.25">
      <c r="A1332" s="2">
        <v>45996.683333333334</v>
      </c>
      <c r="B1332" s="1" t="s">
        <v>353</v>
      </c>
      <c r="C1332" s="1" t="s">
        <v>361</v>
      </c>
      <c r="D1332" s="1" t="s">
        <v>10</v>
      </c>
      <c r="E1332" s="1" t="s">
        <v>11</v>
      </c>
      <c r="F1332" s="1" t="s">
        <v>15</v>
      </c>
      <c r="G1332">
        <v>3</v>
      </c>
      <c r="H1332">
        <v>0</v>
      </c>
      <c r="I1332">
        <v>0</v>
      </c>
      <c r="J1332" s="1"/>
      <c r="K1332" s="1" t="s">
        <v>345</v>
      </c>
    </row>
    <row r="1333" spans="1:11" x14ac:dyDescent="0.25">
      <c r="A1333" s="2">
        <v>45996.683599537035</v>
      </c>
      <c r="B1333" s="1" t="s">
        <v>353</v>
      </c>
      <c r="C1333" s="1" t="s">
        <v>361</v>
      </c>
      <c r="D1333" s="1" t="s">
        <v>10</v>
      </c>
      <c r="E1333" s="1" t="s">
        <v>11</v>
      </c>
      <c r="F1333" s="1" t="s">
        <v>18</v>
      </c>
      <c r="G1333">
        <v>20</v>
      </c>
      <c r="H1333">
        <v>1</v>
      </c>
      <c r="I1333">
        <v>0</v>
      </c>
      <c r="J1333" s="1"/>
      <c r="K1333" s="1" t="s">
        <v>336</v>
      </c>
    </row>
    <row r="1334" spans="1:11" x14ac:dyDescent="0.25">
      <c r="A1334" s="2">
        <v>45996.683599537035</v>
      </c>
      <c r="B1334" s="1" t="s">
        <v>353</v>
      </c>
      <c r="C1334" s="1" t="s">
        <v>361</v>
      </c>
      <c r="D1334" s="1" t="s">
        <v>10</v>
      </c>
      <c r="E1334" s="1" t="s">
        <v>11</v>
      </c>
      <c r="F1334" s="1" t="s">
        <v>18</v>
      </c>
      <c r="G1334">
        <v>20</v>
      </c>
      <c r="H1334">
        <v>1</v>
      </c>
      <c r="I1334">
        <v>0</v>
      </c>
      <c r="J1334" s="1"/>
      <c r="K1334" s="1" t="s">
        <v>340</v>
      </c>
    </row>
    <row r="1335" spans="1:11" x14ac:dyDescent="0.25">
      <c r="A1335" s="2">
        <v>45996.683599537035</v>
      </c>
      <c r="B1335" s="1" t="s">
        <v>353</v>
      </c>
      <c r="C1335" s="1" t="s">
        <v>361</v>
      </c>
      <c r="D1335" s="1" t="s">
        <v>10</v>
      </c>
      <c r="E1335" s="1" t="s">
        <v>11</v>
      </c>
      <c r="F1335" s="1" t="s">
        <v>18</v>
      </c>
      <c r="G1335">
        <v>20</v>
      </c>
      <c r="H1335">
        <v>1</v>
      </c>
      <c r="I1335">
        <v>0</v>
      </c>
      <c r="J1335" s="1"/>
      <c r="K1335" s="1" t="s">
        <v>343</v>
      </c>
    </row>
    <row r="1336" spans="1:11" x14ac:dyDescent="0.25">
      <c r="A1336" s="2">
        <v>45996.68377314815</v>
      </c>
      <c r="B1336" s="1" t="s">
        <v>353</v>
      </c>
      <c r="C1336" s="1" t="s">
        <v>361</v>
      </c>
      <c r="D1336" s="1" t="s">
        <v>10</v>
      </c>
      <c r="E1336" s="1" t="s">
        <v>17</v>
      </c>
      <c r="F1336" s="1" t="s">
        <v>15</v>
      </c>
      <c r="G1336">
        <v>3</v>
      </c>
      <c r="H1336">
        <v>0</v>
      </c>
      <c r="I1336">
        <v>0</v>
      </c>
      <c r="J1336" s="1"/>
      <c r="K1336" s="1" t="s">
        <v>345</v>
      </c>
    </row>
    <row r="1337" spans="1:11" x14ac:dyDescent="0.25">
      <c r="A1337" s="2">
        <v>45996.728055555555</v>
      </c>
      <c r="B1337" s="1" t="s">
        <v>355</v>
      </c>
      <c r="C1337" s="1" t="s">
        <v>361</v>
      </c>
      <c r="D1337" s="1" t="s">
        <v>10</v>
      </c>
      <c r="E1337" s="1" t="s">
        <v>11</v>
      </c>
      <c r="F1337" s="1" t="s">
        <v>12</v>
      </c>
      <c r="G1337">
        <v>10.5</v>
      </c>
      <c r="H1337">
        <v>1</v>
      </c>
      <c r="I1337">
        <v>0</v>
      </c>
      <c r="J1337" s="1"/>
      <c r="K1337" s="1" t="s">
        <v>336</v>
      </c>
    </row>
    <row r="1338" spans="1:11" x14ac:dyDescent="0.25">
      <c r="A1338" s="2">
        <v>45996.728136574071</v>
      </c>
      <c r="B1338" s="1" t="s">
        <v>355</v>
      </c>
      <c r="C1338" s="1" t="s">
        <v>361</v>
      </c>
      <c r="D1338" s="1" t="s">
        <v>10</v>
      </c>
      <c r="E1338" s="1" t="s">
        <v>11</v>
      </c>
      <c r="F1338" s="1" t="s">
        <v>15</v>
      </c>
      <c r="G1338">
        <v>3</v>
      </c>
      <c r="H1338">
        <v>0</v>
      </c>
      <c r="I1338">
        <v>0</v>
      </c>
      <c r="J1338" s="1"/>
      <c r="K1338" s="1" t="s">
        <v>343</v>
      </c>
    </row>
    <row r="1339" spans="1:11" x14ac:dyDescent="0.25">
      <c r="A1339" s="2">
        <v>45996.728217592594</v>
      </c>
      <c r="B1339" s="1" t="s">
        <v>355</v>
      </c>
      <c r="C1339" s="1" t="s">
        <v>361</v>
      </c>
      <c r="D1339" s="1" t="s">
        <v>10</v>
      </c>
      <c r="E1339" s="1" t="s">
        <v>11</v>
      </c>
      <c r="F1339" s="1" t="s">
        <v>14</v>
      </c>
      <c r="G1339">
        <v>0.5</v>
      </c>
      <c r="H1339">
        <v>0</v>
      </c>
      <c r="I1339">
        <v>0</v>
      </c>
      <c r="J1339" s="1"/>
      <c r="K1339" s="1" t="s">
        <v>344</v>
      </c>
    </row>
    <row r="1340" spans="1:11" x14ac:dyDescent="0.25">
      <c r="A1340" s="2">
        <v>45999.395775462966</v>
      </c>
      <c r="B1340" s="1" t="s">
        <v>352</v>
      </c>
      <c r="C1340" s="1" t="s">
        <v>363</v>
      </c>
      <c r="D1340" s="1" t="s">
        <v>10</v>
      </c>
      <c r="E1340" s="1" t="s">
        <v>11</v>
      </c>
      <c r="F1340" s="1" t="s">
        <v>14</v>
      </c>
      <c r="G1340">
        <v>0.5</v>
      </c>
      <c r="H1340">
        <v>0</v>
      </c>
      <c r="I1340">
        <v>0</v>
      </c>
      <c r="J1340" s="1"/>
      <c r="K1340" s="1" t="s">
        <v>342</v>
      </c>
    </row>
    <row r="1341" spans="1:11" x14ac:dyDescent="0.25">
      <c r="A1341" s="2">
        <v>45999.427210648151</v>
      </c>
      <c r="B1341" s="1" t="s">
        <v>347</v>
      </c>
      <c r="C1341" s="1" t="s">
        <v>363</v>
      </c>
      <c r="D1341" s="1" t="s">
        <v>20</v>
      </c>
      <c r="E1341" s="1" t="s">
        <v>11</v>
      </c>
      <c r="F1341" s="1" t="s">
        <v>15</v>
      </c>
      <c r="G1341">
        <v>3</v>
      </c>
      <c r="H1341">
        <v>0</v>
      </c>
      <c r="I1341">
        <v>0</v>
      </c>
      <c r="J1341" s="1" t="s">
        <v>304</v>
      </c>
      <c r="K1341" s="1" t="s">
        <v>343</v>
      </c>
    </row>
    <row r="1342" spans="1:11" x14ac:dyDescent="0.25">
      <c r="A1342" s="2">
        <v>45999.428599537037</v>
      </c>
      <c r="B1342" s="1" t="s">
        <v>347</v>
      </c>
      <c r="C1342" s="1" t="s">
        <v>363</v>
      </c>
      <c r="D1342" s="1" t="s">
        <v>10</v>
      </c>
      <c r="E1342" s="1" t="s">
        <v>11</v>
      </c>
      <c r="F1342" s="1" t="s">
        <v>12</v>
      </c>
      <c r="G1342">
        <v>10.5</v>
      </c>
      <c r="H1342">
        <v>1</v>
      </c>
      <c r="I1342">
        <v>1</v>
      </c>
      <c r="J1342" s="1" t="s">
        <v>305</v>
      </c>
      <c r="K1342" s="1" t="s">
        <v>336</v>
      </c>
    </row>
    <row r="1343" spans="1:11" x14ac:dyDescent="0.25">
      <c r="A1343" s="2">
        <v>45999.466956018521</v>
      </c>
      <c r="B1343" s="1" t="s">
        <v>354</v>
      </c>
      <c r="C1343" s="1" t="s">
        <v>363</v>
      </c>
      <c r="D1343" s="1" t="s">
        <v>10</v>
      </c>
      <c r="E1343" s="1" t="s">
        <v>11</v>
      </c>
      <c r="F1343" s="1" t="s">
        <v>12</v>
      </c>
      <c r="G1343">
        <v>10.5</v>
      </c>
      <c r="H1343">
        <v>1</v>
      </c>
      <c r="I1343">
        <v>0</v>
      </c>
      <c r="J1343" s="1"/>
      <c r="K1343" s="1" t="s">
        <v>336</v>
      </c>
    </row>
    <row r="1344" spans="1:11" x14ac:dyDescent="0.25">
      <c r="A1344" s="2">
        <v>45999.472534722219</v>
      </c>
      <c r="B1344" s="1" t="s">
        <v>354</v>
      </c>
      <c r="C1344" s="1" t="s">
        <v>363</v>
      </c>
      <c r="D1344" s="1" t="s">
        <v>20</v>
      </c>
      <c r="E1344" s="1" t="s">
        <v>11</v>
      </c>
      <c r="F1344" s="1" t="s">
        <v>15</v>
      </c>
      <c r="G1344">
        <v>3</v>
      </c>
      <c r="H1344">
        <v>1</v>
      </c>
      <c r="I1344">
        <v>0</v>
      </c>
      <c r="J1344" s="1"/>
      <c r="K1344" s="1" t="s">
        <v>336</v>
      </c>
    </row>
    <row r="1345" spans="1:11" x14ac:dyDescent="0.25">
      <c r="A1345" s="2">
        <v>45999.519363425927</v>
      </c>
      <c r="B1345" s="1" t="s">
        <v>350</v>
      </c>
      <c r="C1345" s="1" t="s">
        <v>363</v>
      </c>
      <c r="D1345" s="1" t="s">
        <v>10</v>
      </c>
      <c r="E1345" s="1" t="s">
        <v>11</v>
      </c>
      <c r="F1345" s="1" t="s">
        <v>14</v>
      </c>
      <c r="G1345">
        <v>0.5</v>
      </c>
      <c r="H1345">
        <v>0</v>
      </c>
      <c r="I1345">
        <v>0</v>
      </c>
      <c r="J1345" s="1"/>
      <c r="K1345" s="1" t="s">
        <v>344</v>
      </c>
    </row>
    <row r="1346" spans="1:11" x14ac:dyDescent="0.25">
      <c r="A1346" s="2">
        <v>45999.531759259262</v>
      </c>
      <c r="B1346" s="1" t="s">
        <v>350</v>
      </c>
      <c r="C1346" s="1" t="s">
        <v>363</v>
      </c>
      <c r="D1346" s="1" t="s">
        <v>10</v>
      </c>
      <c r="E1346" s="1" t="s">
        <v>11</v>
      </c>
      <c r="F1346" s="1" t="s">
        <v>14</v>
      </c>
      <c r="G1346">
        <v>0.5</v>
      </c>
      <c r="H1346">
        <v>0</v>
      </c>
      <c r="I1346">
        <v>0</v>
      </c>
      <c r="J1346" s="1"/>
      <c r="K1346" s="1" t="s">
        <v>345</v>
      </c>
    </row>
    <row r="1347" spans="1:11" x14ac:dyDescent="0.25">
      <c r="A1347" s="2">
        <v>45999.541296296295</v>
      </c>
      <c r="B1347" s="1" t="s">
        <v>350</v>
      </c>
      <c r="C1347" s="1" t="s">
        <v>363</v>
      </c>
      <c r="D1347" s="1" t="s">
        <v>10</v>
      </c>
      <c r="E1347" s="1" t="s">
        <v>11</v>
      </c>
      <c r="F1347" s="1" t="s">
        <v>15</v>
      </c>
      <c r="G1347">
        <v>3</v>
      </c>
      <c r="H1347">
        <v>0</v>
      </c>
      <c r="I1347">
        <v>0</v>
      </c>
      <c r="J1347" s="1"/>
      <c r="K1347" s="1" t="s">
        <v>345</v>
      </c>
    </row>
    <row r="1348" spans="1:11" x14ac:dyDescent="0.25">
      <c r="A1348" s="2">
        <v>45999.589155092595</v>
      </c>
      <c r="B1348" s="1" t="s">
        <v>348</v>
      </c>
      <c r="C1348" s="1" t="s">
        <v>363</v>
      </c>
      <c r="D1348" s="1" t="s">
        <v>10</v>
      </c>
      <c r="E1348" s="1" t="s">
        <v>11</v>
      </c>
      <c r="F1348" s="1" t="s">
        <v>14</v>
      </c>
      <c r="G1348">
        <v>0.5</v>
      </c>
      <c r="H1348">
        <v>0</v>
      </c>
      <c r="I1348">
        <v>0</v>
      </c>
      <c r="J1348" s="1" t="s">
        <v>306</v>
      </c>
      <c r="K1348" s="1" t="s">
        <v>345</v>
      </c>
    </row>
    <row r="1349" spans="1:11" x14ac:dyDescent="0.25">
      <c r="A1349" s="2">
        <v>45999.613078703704</v>
      </c>
      <c r="B1349" s="1" t="s">
        <v>348</v>
      </c>
      <c r="C1349" s="1" t="s">
        <v>363</v>
      </c>
      <c r="D1349" s="1" t="s">
        <v>10</v>
      </c>
      <c r="E1349" s="1" t="s">
        <v>11</v>
      </c>
      <c r="F1349" s="1" t="s">
        <v>14</v>
      </c>
      <c r="G1349">
        <v>0.5</v>
      </c>
      <c r="H1349">
        <v>0</v>
      </c>
      <c r="I1349">
        <v>0</v>
      </c>
      <c r="J1349" s="1"/>
      <c r="K1349" s="1" t="s">
        <v>344</v>
      </c>
    </row>
    <row r="1350" spans="1:11" x14ac:dyDescent="0.25">
      <c r="A1350" s="2">
        <v>45999.613275462965</v>
      </c>
      <c r="B1350" s="1" t="s">
        <v>348</v>
      </c>
      <c r="C1350" s="1" t="s">
        <v>363</v>
      </c>
      <c r="D1350" s="1" t="s">
        <v>10</v>
      </c>
      <c r="E1350" s="1" t="s">
        <v>11</v>
      </c>
      <c r="F1350" s="1" t="s">
        <v>15</v>
      </c>
      <c r="G1350">
        <v>3</v>
      </c>
      <c r="H1350">
        <v>1</v>
      </c>
      <c r="I1350">
        <v>1</v>
      </c>
      <c r="J1350" s="1" t="s">
        <v>307</v>
      </c>
      <c r="K1350" s="1" t="s">
        <v>336</v>
      </c>
    </row>
    <row r="1351" spans="1:11" x14ac:dyDescent="0.25">
      <c r="A1351" s="2">
        <v>45999.618425925924</v>
      </c>
      <c r="B1351" s="1" t="s">
        <v>348</v>
      </c>
      <c r="C1351" s="1" t="s">
        <v>363</v>
      </c>
      <c r="D1351" s="1" t="s">
        <v>10</v>
      </c>
      <c r="E1351" s="1" t="s">
        <v>11</v>
      </c>
      <c r="F1351" s="1" t="s">
        <v>14</v>
      </c>
      <c r="G1351">
        <v>0.5</v>
      </c>
      <c r="H1351">
        <v>0</v>
      </c>
      <c r="I1351">
        <v>0</v>
      </c>
      <c r="J1351" s="1" t="s">
        <v>308</v>
      </c>
      <c r="K1351" s="1" t="s">
        <v>345</v>
      </c>
    </row>
    <row r="1352" spans="1:11" x14ac:dyDescent="0.25">
      <c r="A1352" s="2">
        <v>45999.62</v>
      </c>
      <c r="B1352" s="1" t="s">
        <v>348</v>
      </c>
      <c r="C1352" s="1" t="s">
        <v>363</v>
      </c>
      <c r="D1352" s="1" t="s">
        <v>10</v>
      </c>
      <c r="E1352" s="1" t="s">
        <v>11</v>
      </c>
      <c r="F1352" s="1" t="s">
        <v>15</v>
      </c>
      <c r="G1352">
        <v>3</v>
      </c>
      <c r="H1352">
        <v>0</v>
      </c>
      <c r="I1352">
        <v>0</v>
      </c>
      <c r="J1352" s="1" t="s">
        <v>309</v>
      </c>
      <c r="K1352" s="1" t="s">
        <v>343</v>
      </c>
    </row>
    <row r="1353" spans="1:11" x14ac:dyDescent="0.25">
      <c r="A1353" s="2">
        <v>45999.628865740742</v>
      </c>
      <c r="B1353" s="1" t="s">
        <v>349</v>
      </c>
      <c r="C1353" s="1" t="s">
        <v>363</v>
      </c>
      <c r="D1353" s="1" t="s">
        <v>20</v>
      </c>
      <c r="E1353" s="1" t="s">
        <v>11</v>
      </c>
      <c r="F1353" s="1" t="s">
        <v>15</v>
      </c>
      <c r="G1353">
        <v>3</v>
      </c>
      <c r="H1353">
        <v>0</v>
      </c>
      <c r="I1353">
        <v>0</v>
      </c>
      <c r="J1353" s="1" t="s">
        <v>310</v>
      </c>
      <c r="K1353" s="1" t="s">
        <v>345</v>
      </c>
    </row>
    <row r="1354" spans="1:11" x14ac:dyDescent="0.25">
      <c r="A1354" s="2">
        <v>45999.634629629632</v>
      </c>
      <c r="B1354" s="1" t="s">
        <v>349</v>
      </c>
      <c r="C1354" s="1" t="s">
        <v>363</v>
      </c>
      <c r="D1354" s="1" t="s">
        <v>10</v>
      </c>
      <c r="E1354" s="1" t="s">
        <v>11</v>
      </c>
      <c r="F1354" s="1" t="s">
        <v>15</v>
      </c>
      <c r="G1354">
        <v>3</v>
      </c>
      <c r="H1354">
        <v>1</v>
      </c>
      <c r="I1354">
        <v>0</v>
      </c>
      <c r="J1354" s="1"/>
      <c r="K1354" s="1" t="s">
        <v>336</v>
      </c>
    </row>
    <row r="1355" spans="1:11" x14ac:dyDescent="0.25">
      <c r="A1355" s="2">
        <v>45999.698680555557</v>
      </c>
      <c r="B1355" s="1" t="s">
        <v>353</v>
      </c>
      <c r="C1355" s="1" t="s">
        <v>363</v>
      </c>
      <c r="D1355" s="1" t="s">
        <v>10</v>
      </c>
      <c r="E1355" s="1" t="s">
        <v>11</v>
      </c>
      <c r="F1355" s="1" t="s">
        <v>12</v>
      </c>
      <c r="G1355">
        <v>10.5</v>
      </c>
      <c r="H1355">
        <v>0</v>
      </c>
      <c r="I1355">
        <v>0</v>
      </c>
      <c r="J1355" s="1" t="s">
        <v>311</v>
      </c>
      <c r="K1355" s="1" t="s">
        <v>336</v>
      </c>
    </row>
    <row r="1356" spans="1:11" x14ac:dyDescent="0.25">
      <c r="A1356" s="2">
        <v>45999.703726851854</v>
      </c>
      <c r="B1356" s="1" t="s">
        <v>353</v>
      </c>
      <c r="C1356" s="1" t="s">
        <v>363</v>
      </c>
      <c r="D1356" s="1" t="s">
        <v>10</v>
      </c>
      <c r="E1356" s="1" t="s">
        <v>17</v>
      </c>
      <c r="F1356" s="1" t="s">
        <v>15</v>
      </c>
      <c r="G1356">
        <v>3</v>
      </c>
      <c r="H1356">
        <v>0</v>
      </c>
      <c r="I1356">
        <v>0</v>
      </c>
      <c r="J1356" s="1" t="s">
        <v>312</v>
      </c>
      <c r="K1356" s="1" t="s">
        <v>343</v>
      </c>
    </row>
    <row r="1357" spans="1:11" x14ac:dyDescent="0.25">
      <c r="A1357" s="2">
        <v>45999.72148148148</v>
      </c>
      <c r="B1357" s="1" t="s">
        <v>355</v>
      </c>
      <c r="C1357" s="1" t="s">
        <v>363</v>
      </c>
      <c r="D1357" s="1" t="s">
        <v>10</v>
      </c>
      <c r="E1357" s="1" t="s">
        <v>11</v>
      </c>
      <c r="F1357" s="1" t="s">
        <v>18</v>
      </c>
      <c r="G1357">
        <v>20</v>
      </c>
      <c r="H1357">
        <v>0</v>
      </c>
      <c r="I1357">
        <v>0</v>
      </c>
      <c r="J1357" s="1"/>
      <c r="K1357" s="1" t="s">
        <v>340</v>
      </c>
    </row>
    <row r="1358" spans="1:11" x14ac:dyDescent="0.25">
      <c r="A1358" s="2">
        <v>45999.721921296295</v>
      </c>
      <c r="B1358" s="1" t="s">
        <v>355</v>
      </c>
      <c r="C1358" s="1" t="s">
        <v>363</v>
      </c>
      <c r="D1358" s="1" t="s">
        <v>10</v>
      </c>
      <c r="E1358" s="1" t="s">
        <v>11</v>
      </c>
      <c r="F1358" s="1" t="s">
        <v>15</v>
      </c>
      <c r="G1358">
        <v>3</v>
      </c>
      <c r="H1358">
        <v>0</v>
      </c>
      <c r="I1358">
        <v>0</v>
      </c>
      <c r="J1358" s="1" t="s">
        <v>313</v>
      </c>
      <c r="K1358" s="1" t="s">
        <v>345</v>
      </c>
    </row>
    <row r="1359" spans="1:11" x14ac:dyDescent="0.25">
      <c r="A1359" s="2">
        <v>46000.503217592595</v>
      </c>
      <c r="B1359" s="1" t="s">
        <v>350</v>
      </c>
      <c r="C1359" s="1" t="s">
        <v>358</v>
      </c>
      <c r="D1359" s="1" t="s">
        <v>10</v>
      </c>
      <c r="E1359" s="1" t="s">
        <v>11</v>
      </c>
      <c r="F1359" s="1" t="s">
        <v>12</v>
      </c>
      <c r="G1359">
        <v>10.5</v>
      </c>
      <c r="H1359">
        <v>0</v>
      </c>
      <c r="I1359">
        <v>0</v>
      </c>
      <c r="J1359" s="1"/>
      <c r="K1359" s="1" t="s">
        <v>340</v>
      </c>
    </row>
    <row r="1360" spans="1:11" x14ac:dyDescent="0.25">
      <c r="A1360" s="2">
        <v>46000.506724537037</v>
      </c>
      <c r="B1360" s="1" t="s">
        <v>350</v>
      </c>
      <c r="C1360" s="1" t="s">
        <v>358</v>
      </c>
      <c r="D1360" s="1" t="s">
        <v>10</v>
      </c>
      <c r="E1360" s="1" t="s">
        <v>11</v>
      </c>
      <c r="F1360" s="1" t="s">
        <v>15</v>
      </c>
      <c r="G1360">
        <v>3</v>
      </c>
      <c r="H1360">
        <v>0</v>
      </c>
      <c r="I1360">
        <v>0</v>
      </c>
      <c r="J1360" s="1" t="s">
        <v>314</v>
      </c>
      <c r="K1360" s="1" t="s">
        <v>343</v>
      </c>
    </row>
    <row r="1361" spans="1:11" x14ac:dyDescent="0.25">
      <c r="A1361" s="2">
        <v>46000.528437499997</v>
      </c>
      <c r="B1361" s="1" t="s">
        <v>350</v>
      </c>
      <c r="C1361" s="1" t="s">
        <v>358</v>
      </c>
      <c r="D1361" s="1" t="s">
        <v>10</v>
      </c>
      <c r="E1361" s="1" t="s">
        <v>11</v>
      </c>
      <c r="F1361" s="1" t="s">
        <v>12</v>
      </c>
      <c r="G1361">
        <v>10.5</v>
      </c>
      <c r="H1361">
        <v>0</v>
      </c>
      <c r="I1361">
        <v>0</v>
      </c>
      <c r="J1361" s="1"/>
      <c r="K1361" s="1" t="s">
        <v>340</v>
      </c>
    </row>
    <row r="1362" spans="1:11" x14ac:dyDescent="0.25">
      <c r="A1362" s="2">
        <v>46000.739201388889</v>
      </c>
      <c r="B1362" s="1" t="s">
        <v>355</v>
      </c>
      <c r="C1362" s="1" t="s">
        <v>358</v>
      </c>
      <c r="D1362" s="1" t="s">
        <v>10</v>
      </c>
      <c r="E1362" s="1" t="s">
        <v>11</v>
      </c>
      <c r="F1362" s="1" t="s">
        <v>14</v>
      </c>
      <c r="G1362">
        <v>0.5</v>
      </c>
      <c r="H1362">
        <v>1</v>
      </c>
      <c r="I1362">
        <v>0</v>
      </c>
      <c r="J1362" s="1"/>
      <c r="K1362" s="1" t="s">
        <v>336</v>
      </c>
    </row>
    <row r="1363" spans="1:11" x14ac:dyDescent="0.25">
      <c r="A1363" s="2">
        <v>46000.739351851851</v>
      </c>
      <c r="B1363" s="1" t="s">
        <v>355</v>
      </c>
      <c r="C1363" s="1" t="s">
        <v>358</v>
      </c>
      <c r="D1363" s="1" t="s">
        <v>10</v>
      </c>
      <c r="E1363" s="1" t="s">
        <v>11</v>
      </c>
      <c r="F1363" s="1" t="s">
        <v>14</v>
      </c>
      <c r="G1363">
        <v>0.5</v>
      </c>
      <c r="H1363">
        <v>0</v>
      </c>
      <c r="I1363">
        <v>0</v>
      </c>
      <c r="J1363" s="1"/>
      <c r="K1363" s="1" t="s">
        <v>343</v>
      </c>
    </row>
    <row r="1364" spans="1:11" x14ac:dyDescent="0.25">
      <c r="A1364" s="2">
        <v>46000.73978009259</v>
      </c>
      <c r="B1364" s="1" t="s">
        <v>355</v>
      </c>
      <c r="C1364" s="1" t="s">
        <v>358</v>
      </c>
      <c r="D1364" s="1" t="s">
        <v>10</v>
      </c>
      <c r="E1364" s="1" t="s">
        <v>11</v>
      </c>
      <c r="F1364" s="1" t="s">
        <v>14</v>
      </c>
      <c r="G1364">
        <v>0.5</v>
      </c>
      <c r="H1364">
        <v>0</v>
      </c>
      <c r="I1364">
        <v>0</v>
      </c>
      <c r="J1364" s="1"/>
      <c r="K1364" s="1" t="s">
        <v>344</v>
      </c>
    </row>
    <row r="1365" spans="1:11" x14ac:dyDescent="0.25">
      <c r="A1365" s="2">
        <v>46001.497453703705</v>
      </c>
      <c r="B1365" s="1" t="s">
        <v>354</v>
      </c>
      <c r="C1365" s="1" t="s">
        <v>359</v>
      </c>
      <c r="D1365" s="1" t="s">
        <v>10</v>
      </c>
      <c r="E1365" s="1" t="s">
        <v>11</v>
      </c>
      <c r="F1365" s="1" t="s">
        <v>12</v>
      </c>
      <c r="G1365">
        <v>10.5</v>
      </c>
      <c r="H1365">
        <v>1</v>
      </c>
      <c r="I1365">
        <v>0</v>
      </c>
      <c r="J1365" s="1"/>
      <c r="K1365" s="1" t="s">
        <v>106</v>
      </c>
    </row>
    <row r="1366" spans="1:11" x14ac:dyDescent="0.25">
      <c r="A1366" s="2">
        <v>46001.497569444444</v>
      </c>
      <c r="B1366" s="1" t="s">
        <v>354</v>
      </c>
      <c r="C1366" s="1" t="s">
        <v>359</v>
      </c>
      <c r="D1366" s="1" t="s">
        <v>10</v>
      </c>
      <c r="E1366" s="1" t="s">
        <v>11</v>
      </c>
      <c r="F1366" s="1" t="s">
        <v>12</v>
      </c>
      <c r="G1366">
        <v>10.5</v>
      </c>
      <c r="H1366">
        <v>1</v>
      </c>
      <c r="I1366">
        <v>0</v>
      </c>
      <c r="J1366" s="1"/>
      <c r="K1366" s="1" t="s">
        <v>340</v>
      </c>
    </row>
    <row r="1367" spans="1:11" x14ac:dyDescent="0.25">
      <c r="A1367" s="2">
        <v>46001.497569444444</v>
      </c>
      <c r="B1367" s="1" t="s">
        <v>354</v>
      </c>
      <c r="C1367" s="1" t="s">
        <v>359</v>
      </c>
      <c r="D1367" s="1" t="s">
        <v>10</v>
      </c>
      <c r="E1367" s="1" t="s">
        <v>11</v>
      </c>
      <c r="F1367" s="1" t="s">
        <v>12</v>
      </c>
      <c r="G1367">
        <v>10.5</v>
      </c>
      <c r="H1367">
        <v>1</v>
      </c>
      <c r="I1367">
        <v>0</v>
      </c>
      <c r="J1367" s="1"/>
      <c r="K1367" s="1" t="s">
        <v>343</v>
      </c>
    </row>
    <row r="1368" spans="1:11" x14ac:dyDescent="0.25">
      <c r="A1368" s="2">
        <v>46001.510497685187</v>
      </c>
      <c r="B1368" s="1" t="s">
        <v>350</v>
      </c>
      <c r="C1368" s="1" t="s">
        <v>359</v>
      </c>
      <c r="D1368" s="1" t="s">
        <v>10</v>
      </c>
      <c r="E1368" s="1" t="s">
        <v>17</v>
      </c>
      <c r="F1368" s="1" t="s">
        <v>12</v>
      </c>
      <c r="G1368">
        <v>10.5</v>
      </c>
      <c r="H1368">
        <v>1</v>
      </c>
      <c r="I1368">
        <v>0</v>
      </c>
      <c r="J1368" s="1"/>
      <c r="K1368" s="1" t="s">
        <v>340</v>
      </c>
    </row>
    <row r="1369" spans="1:11" x14ac:dyDescent="0.25">
      <c r="A1369" s="2">
        <v>46001.5233912037</v>
      </c>
      <c r="B1369" s="1" t="s">
        <v>350</v>
      </c>
      <c r="C1369" s="1" t="s">
        <v>359</v>
      </c>
      <c r="D1369" s="1" t="s">
        <v>20</v>
      </c>
      <c r="E1369" s="1" t="s">
        <v>11</v>
      </c>
      <c r="F1369" s="1" t="s">
        <v>14</v>
      </c>
      <c r="G1369">
        <v>0.5</v>
      </c>
      <c r="H1369">
        <v>0</v>
      </c>
      <c r="I1369">
        <v>0</v>
      </c>
      <c r="J1369" s="1" t="s">
        <v>291</v>
      </c>
      <c r="K1369" s="1" t="s">
        <v>345</v>
      </c>
    </row>
    <row r="1370" spans="1:11" x14ac:dyDescent="0.25">
      <c r="A1370" s="2">
        <v>46001.596655092595</v>
      </c>
      <c r="B1370" s="1" t="s">
        <v>348</v>
      </c>
      <c r="C1370" s="1" t="s">
        <v>359</v>
      </c>
      <c r="D1370" s="1" t="s">
        <v>10</v>
      </c>
      <c r="E1370" s="1" t="s">
        <v>11</v>
      </c>
      <c r="F1370" s="1" t="s">
        <v>18</v>
      </c>
      <c r="G1370">
        <v>20</v>
      </c>
      <c r="H1370">
        <v>1</v>
      </c>
      <c r="I1370">
        <v>0</v>
      </c>
      <c r="J1370" s="1"/>
      <c r="K1370" s="1" t="s">
        <v>337</v>
      </c>
    </row>
    <row r="1371" spans="1:11" x14ac:dyDescent="0.25">
      <c r="A1371" s="2">
        <v>46001.596655092595</v>
      </c>
      <c r="B1371" s="1" t="s">
        <v>348</v>
      </c>
      <c r="C1371" s="1" t="s">
        <v>359</v>
      </c>
      <c r="D1371" s="1" t="s">
        <v>10</v>
      </c>
      <c r="E1371" s="1" t="s">
        <v>11</v>
      </c>
      <c r="F1371" s="1" t="s">
        <v>18</v>
      </c>
      <c r="G1371">
        <v>20</v>
      </c>
      <c r="H1371">
        <v>1</v>
      </c>
      <c r="I1371">
        <v>0</v>
      </c>
      <c r="J1371" s="1"/>
      <c r="K1371" s="1" t="s">
        <v>340</v>
      </c>
    </row>
    <row r="1372" spans="1:11" x14ac:dyDescent="0.25">
      <c r="A1372" s="2">
        <v>46001.596655092595</v>
      </c>
      <c r="B1372" s="1" t="s">
        <v>348</v>
      </c>
      <c r="C1372" s="1" t="s">
        <v>359</v>
      </c>
      <c r="D1372" s="1" t="s">
        <v>10</v>
      </c>
      <c r="E1372" s="1" t="s">
        <v>11</v>
      </c>
      <c r="F1372" s="1" t="s">
        <v>18</v>
      </c>
      <c r="G1372">
        <v>20</v>
      </c>
      <c r="H1372">
        <v>1</v>
      </c>
      <c r="I1372">
        <v>0</v>
      </c>
      <c r="J1372" s="1"/>
      <c r="K1372" s="1" t="s">
        <v>106</v>
      </c>
    </row>
    <row r="1373" spans="1:11" x14ac:dyDescent="0.25">
      <c r="A1373" s="2">
        <v>46001.596655092595</v>
      </c>
      <c r="B1373" s="1" t="s">
        <v>348</v>
      </c>
      <c r="C1373" s="1" t="s">
        <v>359</v>
      </c>
      <c r="D1373" s="1" t="s">
        <v>10</v>
      </c>
      <c r="E1373" s="1" t="s">
        <v>11</v>
      </c>
      <c r="F1373" s="1" t="s">
        <v>18</v>
      </c>
      <c r="G1373">
        <v>20</v>
      </c>
      <c r="H1373">
        <v>1</v>
      </c>
      <c r="I1373">
        <v>0</v>
      </c>
      <c r="J1373" s="1"/>
      <c r="K1373" s="1" t="s">
        <v>343</v>
      </c>
    </row>
    <row r="1374" spans="1:11" x14ac:dyDescent="0.25">
      <c r="A1374" s="2">
        <v>46001.614282407405</v>
      </c>
      <c r="B1374" s="1" t="s">
        <v>348</v>
      </c>
      <c r="C1374" s="1" t="s">
        <v>359</v>
      </c>
      <c r="D1374" s="1" t="s">
        <v>10</v>
      </c>
      <c r="E1374" s="1" t="s">
        <v>11</v>
      </c>
      <c r="F1374" s="1" t="s">
        <v>14</v>
      </c>
      <c r="G1374">
        <v>0.5</v>
      </c>
      <c r="H1374">
        <v>0</v>
      </c>
      <c r="I1374">
        <v>0</v>
      </c>
      <c r="J1374" s="1"/>
      <c r="K1374" s="1" t="s">
        <v>344</v>
      </c>
    </row>
    <row r="1375" spans="1:11" x14ac:dyDescent="0.25">
      <c r="A1375" s="2">
        <v>46001.623472222222</v>
      </c>
      <c r="B1375" s="1" t="s">
        <v>348</v>
      </c>
      <c r="C1375" s="1" t="s">
        <v>359</v>
      </c>
      <c r="D1375" s="1" t="s">
        <v>10</v>
      </c>
      <c r="E1375" s="1" t="s">
        <v>11</v>
      </c>
      <c r="F1375" s="1" t="s">
        <v>14</v>
      </c>
      <c r="G1375">
        <v>0.5</v>
      </c>
      <c r="H1375">
        <v>0</v>
      </c>
      <c r="I1375">
        <v>0</v>
      </c>
      <c r="J1375" s="1"/>
      <c r="K1375" s="1" t="s">
        <v>343</v>
      </c>
    </row>
    <row r="1376" spans="1:11" x14ac:dyDescent="0.25">
      <c r="A1376" s="2">
        <v>46001.746168981481</v>
      </c>
      <c r="B1376" s="1" t="s">
        <v>355</v>
      </c>
      <c r="C1376" s="1" t="s">
        <v>359</v>
      </c>
      <c r="D1376" s="1" t="s">
        <v>10</v>
      </c>
      <c r="E1376" s="1" t="s">
        <v>11</v>
      </c>
      <c r="F1376" s="1" t="s">
        <v>15</v>
      </c>
      <c r="G1376">
        <v>3</v>
      </c>
      <c r="H1376">
        <v>0</v>
      </c>
      <c r="I1376">
        <v>0</v>
      </c>
      <c r="J1376" s="1"/>
      <c r="K1376" s="1" t="s">
        <v>336</v>
      </c>
    </row>
    <row r="1377" spans="1:11" x14ac:dyDescent="0.25">
      <c r="A1377" s="2">
        <v>46001.746307870373</v>
      </c>
      <c r="B1377" s="1" t="s">
        <v>355</v>
      </c>
      <c r="C1377" s="1" t="s">
        <v>359</v>
      </c>
      <c r="D1377" s="1" t="s">
        <v>10</v>
      </c>
      <c r="E1377" s="1" t="s">
        <v>17</v>
      </c>
      <c r="F1377" s="1" t="s">
        <v>15</v>
      </c>
      <c r="G1377">
        <v>3</v>
      </c>
      <c r="H1377">
        <v>0</v>
      </c>
      <c r="I1377">
        <v>0</v>
      </c>
      <c r="J1377" s="1"/>
      <c r="K1377" s="1" t="s">
        <v>342</v>
      </c>
    </row>
    <row r="1378" spans="1:11" x14ac:dyDescent="0.25">
      <c r="A1378" s="2">
        <v>46001.746365740742</v>
      </c>
      <c r="B1378" s="1" t="s">
        <v>355</v>
      </c>
      <c r="C1378" s="1" t="s">
        <v>359</v>
      </c>
      <c r="D1378" s="1" t="s">
        <v>10</v>
      </c>
      <c r="E1378" s="1" t="s">
        <v>11</v>
      </c>
      <c r="F1378" s="1" t="s">
        <v>15</v>
      </c>
      <c r="G1378">
        <v>3</v>
      </c>
      <c r="H1378">
        <v>0</v>
      </c>
      <c r="I1378">
        <v>0</v>
      </c>
      <c r="J1378" s="1"/>
      <c r="K1378" s="1" t="s">
        <v>342</v>
      </c>
    </row>
    <row r="1379" spans="1:11" x14ac:dyDescent="0.25">
      <c r="A1379" s="2">
        <v>46001.746481481481</v>
      </c>
      <c r="B1379" s="1" t="s">
        <v>355</v>
      </c>
      <c r="C1379" s="1" t="s">
        <v>359</v>
      </c>
      <c r="D1379" s="1" t="s">
        <v>10</v>
      </c>
      <c r="E1379" s="1" t="s">
        <v>11</v>
      </c>
      <c r="F1379" s="1" t="s">
        <v>14</v>
      </c>
      <c r="G1379">
        <v>0.5</v>
      </c>
      <c r="H1379">
        <v>0</v>
      </c>
      <c r="I1379">
        <v>0</v>
      </c>
      <c r="J1379" s="1" t="s">
        <v>49</v>
      </c>
      <c r="K1379" s="1" t="s">
        <v>342</v>
      </c>
    </row>
    <row r="1380" spans="1:11" x14ac:dyDescent="0.25">
      <c r="A1380" s="2">
        <v>46002.422233796293</v>
      </c>
      <c r="B1380" s="1" t="s">
        <v>347</v>
      </c>
      <c r="C1380" s="1" t="s">
        <v>360</v>
      </c>
      <c r="D1380" s="1" t="s">
        <v>10</v>
      </c>
      <c r="E1380" s="1" t="s">
        <v>11</v>
      </c>
      <c r="F1380" s="1" t="s">
        <v>12</v>
      </c>
      <c r="G1380">
        <v>10.5</v>
      </c>
      <c r="H1380">
        <v>0</v>
      </c>
      <c r="I1380">
        <v>0</v>
      </c>
      <c r="J1380" s="1"/>
      <c r="K1380" s="1" t="s">
        <v>340</v>
      </c>
    </row>
    <row r="1381" spans="1:11" x14ac:dyDescent="0.25">
      <c r="A1381" s="2">
        <v>46002.500949074078</v>
      </c>
      <c r="B1381" s="1" t="s">
        <v>350</v>
      </c>
      <c r="C1381" s="1" t="s">
        <v>360</v>
      </c>
      <c r="D1381" s="1" t="s">
        <v>10</v>
      </c>
      <c r="E1381" s="1" t="s">
        <v>11</v>
      </c>
      <c r="F1381" s="1" t="s">
        <v>18</v>
      </c>
      <c r="G1381">
        <v>20</v>
      </c>
      <c r="H1381">
        <v>0</v>
      </c>
      <c r="I1381">
        <v>1</v>
      </c>
      <c r="J1381" s="1" t="s">
        <v>315</v>
      </c>
      <c r="K1381" s="1" t="s">
        <v>336</v>
      </c>
    </row>
    <row r="1382" spans="1:11" x14ac:dyDescent="0.25">
      <c r="A1382" s="2">
        <v>46002.521956018521</v>
      </c>
      <c r="B1382" s="1" t="s">
        <v>350</v>
      </c>
      <c r="C1382" s="1" t="s">
        <v>360</v>
      </c>
      <c r="D1382" s="1" t="s">
        <v>10</v>
      </c>
      <c r="E1382" s="1" t="s">
        <v>11</v>
      </c>
      <c r="F1382" s="1" t="s">
        <v>12</v>
      </c>
      <c r="G1382">
        <v>10.5</v>
      </c>
      <c r="H1382">
        <v>0</v>
      </c>
      <c r="I1382">
        <v>0</v>
      </c>
      <c r="J1382" s="1"/>
      <c r="K1382" s="1" t="s">
        <v>343</v>
      </c>
    </row>
    <row r="1383" spans="1:11" x14ac:dyDescent="0.25">
      <c r="A1383" s="2">
        <v>46002.531550925924</v>
      </c>
      <c r="B1383" s="1" t="s">
        <v>350</v>
      </c>
      <c r="C1383" s="1" t="s">
        <v>360</v>
      </c>
      <c r="D1383" s="1" t="s">
        <v>10</v>
      </c>
      <c r="E1383" s="1" t="s">
        <v>11</v>
      </c>
      <c r="F1383" s="1" t="s">
        <v>15</v>
      </c>
      <c r="G1383">
        <v>3</v>
      </c>
      <c r="H1383">
        <v>0</v>
      </c>
      <c r="I1383">
        <v>0</v>
      </c>
      <c r="J1383" s="1"/>
      <c r="K1383" s="1" t="s">
        <v>343</v>
      </c>
    </row>
    <row r="1384" spans="1:11" x14ac:dyDescent="0.25">
      <c r="A1384" s="2">
        <v>46002.538310185184</v>
      </c>
      <c r="B1384" s="1" t="s">
        <v>350</v>
      </c>
      <c r="C1384" s="1" t="s">
        <v>360</v>
      </c>
      <c r="D1384" s="1" t="s">
        <v>10</v>
      </c>
      <c r="E1384" s="1" t="s">
        <v>11</v>
      </c>
      <c r="F1384" s="1" t="s">
        <v>15</v>
      </c>
      <c r="G1384">
        <v>3</v>
      </c>
      <c r="H1384">
        <v>0</v>
      </c>
      <c r="I1384">
        <v>0</v>
      </c>
      <c r="J1384" s="1"/>
      <c r="K1384" s="1" t="s">
        <v>336</v>
      </c>
    </row>
    <row r="1385" spans="1:11" x14ac:dyDescent="0.25">
      <c r="A1385" s="2">
        <v>46002.632268518515</v>
      </c>
      <c r="B1385" s="1" t="s">
        <v>349</v>
      </c>
      <c r="C1385" s="1" t="s">
        <v>360</v>
      </c>
      <c r="D1385" s="1" t="s">
        <v>10</v>
      </c>
      <c r="E1385" s="1" t="s">
        <v>11</v>
      </c>
      <c r="F1385" s="1" t="s">
        <v>14</v>
      </c>
      <c r="G1385">
        <v>0.5</v>
      </c>
      <c r="H1385">
        <v>0</v>
      </c>
      <c r="I1385">
        <v>0</v>
      </c>
      <c r="J1385" s="1"/>
      <c r="K1385" s="1" t="s">
        <v>344</v>
      </c>
    </row>
    <row r="1386" spans="1:11" x14ac:dyDescent="0.25">
      <c r="A1386" s="2">
        <v>46002.632303240738</v>
      </c>
      <c r="B1386" s="1" t="s">
        <v>349</v>
      </c>
      <c r="C1386" s="1" t="s">
        <v>360</v>
      </c>
      <c r="D1386" s="1" t="s">
        <v>10</v>
      </c>
      <c r="E1386" s="1" t="s">
        <v>11</v>
      </c>
      <c r="F1386" s="1" t="s">
        <v>14</v>
      </c>
      <c r="G1386">
        <v>0.5</v>
      </c>
      <c r="H1386">
        <v>0</v>
      </c>
      <c r="I1386">
        <v>0</v>
      </c>
      <c r="J1386" s="1"/>
      <c r="K1386" s="1" t="s">
        <v>344</v>
      </c>
    </row>
    <row r="1387" spans="1:11" x14ac:dyDescent="0.25">
      <c r="A1387" s="2">
        <v>46002.632534722223</v>
      </c>
      <c r="B1387" s="1" t="s">
        <v>349</v>
      </c>
      <c r="C1387" s="1" t="s">
        <v>360</v>
      </c>
      <c r="D1387" s="1" t="s">
        <v>10</v>
      </c>
      <c r="E1387" s="1" t="s">
        <v>11</v>
      </c>
      <c r="F1387" s="1" t="s">
        <v>12</v>
      </c>
      <c r="G1387">
        <v>10.5</v>
      </c>
      <c r="H1387">
        <v>0</v>
      </c>
      <c r="I1387">
        <v>0</v>
      </c>
      <c r="J1387" s="1" t="s">
        <v>316</v>
      </c>
      <c r="K1387" s="1" t="s">
        <v>336</v>
      </c>
    </row>
    <row r="1388" spans="1:11" x14ac:dyDescent="0.25">
      <c r="A1388" s="2">
        <v>46002.644305555557</v>
      </c>
      <c r="B1388" s="1" t="s">
        <v>349</v>
      </c>
      <c r="C1388" s="1" t="s">
        <v>360</v>
      </c>
      <c r="D1388" s="1" t="s">
        <v>10</v>
      </c>
      <c r="E1388" s="1" t="s">
        <v>11</v>
      </c>
      <c r="F1388" s="1" t="s">
        <v>12</v>
      </c>
      <c r="G1388">
        <v>10.5</v>
      </c>
      <c r="H1388">
        <v>1</v>
      </c>
      <c r="I1388">
        <v>0</v>
      </c>
      <c r="J1388" s="1"/>
      <c r="K1388" s="1" t="s">
        <v>336</v>
      </c>
    </row>
    <row r="1389" spans="1:11" x14ac:dyDescent="0.25">
      <c r="A1389" s="2">
        <v>46002.644305555557</v>
      </c>
      <c r="B1389" s="1" t="s">
        <v>349</v>
      </c>
      <c r="C1389" s="1" t="s">
        <v>360</v>
      </c>
      <c r="D1389" s="1" t="s">
        <v>10</v>
      </c>
      <c r="E1389" s="1" t="s">
        <v>11</v>
      </c>
      <c r="F1389" s="1" t="s">
        <v>12</v>
      </c>
      <c r="G1389">
        <v>10.5</v>
      </c>
      <c r="H1389">
        <v>1</v>
      </c>
      <c r="I1389">
        <v>0</v>
      </c>
      <c r="J1389" s="1"/>
      <c r="K1389" s="1" t="s">
        <v>340</v>
      </c>
    </row>
    <row r="1390" spans="1:11" x14ac:dyDescent="0.25">
      <c r="A1390" s="2">
        <v>46002.644363425927</v>
      </c>
      <c r="B1390" s="1" t="s">
        <v>349</v>
      </c>
      <c r="C1390" s="1" t="s">
        <v>360</v>
      </c>
      <c r="D1390" s="1" t="s">
        <v>10</v>
      </c>
      <c r="E1390" s="1" t="s">
        <v>11</v>
      </c>
      <c r="F1390" s="1" t="s">
        <v>14</v>
      </c>
      <c r="G1390">
        <v>0.5</v>
      </c>
      <c r="H1390">
        <v>0</v>
      </c>
      <c r="I1390">
        <v>0</v>
      </c>
      <c r="J1390" s="1"/>
      <c r="K1390" s="1" t="s">
        <v>343</v>
      </c>
    </row>
    <row r="1391" spans="1:11" x14ac:dyDescent="0.25">
      <c r="A1391" s="2">
        <v>46002.665231481478</v>
      </c>
      <c r="B1391" s="1" t="s">
        <v>349</v>
      </c>
      <c r="C1391" s="1" t="s">
        <v>360</v>
      </c>
      <c r="D1391" s="1" t="s">
        <v>10</v>
      </c>
      <c r="E1391" s="1" t="s">
        <v>11</v>
      </c>
      <c r="F1391" s="1" t="s">
        <v>14</v>
      </c>
      <c r="G1391">
        <v>0.5</v>
      </c>
      <c r="H1391">
        <v>0</v>
      </c>
      <c r="I1391">
        <v>0</v>
      </c>
      <c r="J1391" s="1"/>
      <c r="K1391" s="1" t="s">
        <v>344</v>
      </c>
    </row>
    <row r="1392" spans="1:11" x14ac:dyDescent="0.25">
      <c r="A1392" s="2">
        <v>46003.458645833336</v>
      </c>
      <c r="B1392" s="1" t="s">
        <v>354</v>
      </c>
      <c r="C1392" s="1" t="s">
        <v>361</v>
      </c>
      <c r="D1392" s="1" t="s">
        <v>10</v>
      </c>
      <c r="E1392" s="1" t="s">
        <v>11</v>
      </c>
      <c r="F1392" s="1" t="s">
        <v>15</v>
      </c>
      <c r="G1392">
        <v>3</v>
      </c>
      <c r="H1392">
        <v>0</v>
      </c>
      <c r="I1392">
        <v>0</v>
      </c>
      <c r="J1392" s="1"/>
      <c r="K1392" s="1" t="s">
        <v>343</v>
      </c>
    </row>
    <row r="1393" spans="1:11" x14ac:dyDescent="0.25">
      <c r="A1393" s="2">
        <v>46003.483715277776</v>
      </c>
      <c r="B1393" s="1" t="s">
        <v>354</v>
      </c>
      <c r="C1393" s="1" t="s">
        <v>361</v>
      </c>
      <c r="D1393" s="1" t="s">
        <v>10</v>
      </c>
      <c r="E1393" s="1" t="s">
        <v>11</v>
      </c>
      <c r="F1393" s="1" t="s">
        <v>18</v>
      </c>
      <c r="G1393">
        <v>20</v>
      </c>
      <c r="H1393">
        <v>0</v>
      </c>
      <c r="I1393">
        <v>0</v>
      </c>
      <c r="J1393" s="1"/>
      <c r="K1393" s="1" t="s">
        <v>340</v>
      </c>
    </row>
    <row r="1394" spans="1:11" x14ac:dyDescent="0.25">
      <c r="A1394" s="2">
        <v>46003.522129629629</v>
      </c>
      <c r="B1394" s="1" t="s">
        <v>350</v>
      </c>
      <c r="C1394" s="1" t="s">
        <v>361</v>
      </c>
      <c r="D1394" s="1" t="s">
        <v>10</v>
      </c>
      <c r="E1394" s="1" t="s">
        <v>11</v>
      </c>
      <c r="F1394" s="1" t="s">
        <v>18</v>
      </c>
      <c r="G1394">
        <v>20</v>
      </c>
      <c r="H1394">
        <v>0</v>
      </c>
      <c r="I1394">
        <v>0</v>
      </c>
      <c r="J1394" s="1"/>
      <c r="K1394" s="1" t="s">
        <v>340</v>
      </c>
    </row>
    <row r="1395" spans="1:11" x14ac:dyDescent="0.25">
      <c r="A1395" s="2">
        <v>46003.522233796299</v>
      </c>
      <c r="B1395" s="1" t="s">
        <v>350</v>
      </c>
      <c r="C1395" s="1" t="s">
        <v>361</v>
      </c>
      <c r="D1395" s="1" t="s">
        <v>10</v>
      </c>
      <c r="E1395" s="1" t="s">
        <v>11</v>
      </c>
      <c r="F1395" s="1" t="s">
        <v>18</v>
      </c>
      <c r="G1395">
        <v>20</v>
      </c>
      <c r="H1395">
        <v>0</v>
      </c>
      <c r="I1395">
        <v>0</v>
      </c>
      <c r="J1395" s="1"/>
      <c r="K1395" s="1" t="s">
        <v>340</v>
      </c>
    </row>
    <row r="1396" spans="1:11" x14ac:dyDescent="0.25">
      <c r="A1396" s="2">
        <v>46003.524305555555</v>
      </c>
      <c r="B1396" s="1" t="s">
        <v>350</v>
      </c>
      <c r="C1396" s="1" t="s">
        <v>361</v>
      </c>
      <c r="D1396" s="1" t="s">
        <v>10</v>
      </c>
      <c r="E1396" s="1" t="s">
        <v>11</v>
      </c>
      <c r="F1396" s="1" t="s">
        <v>15</v>
      </c>
      <c r="G1396">
        <v>3</v>
      </c>
      <c r="H1396">
        <v>0</v>
      </c>
      <c r="I1396">
        <v>0</v>
      </c>
      <c r="J1396" s="1" t="s">
        <v>317</v>
      </c>
      <c r="K1396" s="1" t="s">
        <v>345</v>
      </c>
    </row>
    <row r="1397" spans="1:11" x14ac:dyDescent="0.25">
      <c r="A1397" s="2">
        <v>46003.746018518519</v>
      </c>
      <c r="B1397" s="1" t="s">
        <v>355</v>
      </c>
      <c r="C1397" s="1" t="s">
        <v>361</v>
      </c>
      <c r="D1397" s="1" t="s">
        <v>10</v>
      </c>
      <c r="E1397" s="1" t="s">
        <v>11</v>
      </c>
      <c r="F1397" s="1" t="s">
        <v>15</v>
      </c>
      <c r="G1397">
        <v>3</v>
      </c>
      <c r="H1397">
        <v>0</v>
      </c>
      <c r="I1397">
        <v>0</v>
      </c>
      <c r="J1397" s="1"/>
      <c r="K1397" s="1" t="s">
        <v>342</v>
      </c>
    </row>
    <row r="1398" spans="1:11" x14ac:dyDescent="0.25">
      <c r="A1398" s="2">
        <v>46003.746192129627</v>
      </c>
      <c r="B1398" s="1" t="s">
        <v>355</v>
      </c>
      <c r="C1398" s="1" t="s">
        <v>361</v>
      </c>
      <c r="D1398" s="1" t="s">
        <v>10</v>
      </c>
      <c r="E1398" s="1" t="s">
        <v>11</v>
      </c>
      <c r="F1398" s="1" t="s">
        <v>15</v>
      </c>
      <c r="G1398">
        <v>3</v>
      </c>
      <c r="H1398">
        <v>1</v>
      </c>
      <c r="I1398">
        <v>0</v>
      </c>
      <c r="J1398" s="1"/>
      <c r="K1398" s="1" t="s">
        <v>336</v>
      </c>
    </row>
    <row r="1399" spans="1:11" x14ac:dyDescent="0.25">
      <c r="A1399" s="2">
        <v>46003.746192129627</v>
      </c>
      <c r="B1399" s="1" t="s">
        <v>355</v>
      </c>
      <c r="C1399" s="1" t="s">
        <v>361</v>
      </c>
      <c r="D1399" s="1" t="s">
        <v>10</v>
      </c>
      <c r="E1399" s="1" t="s">
        <v>11</v>
      </c>
      <c r="F1399" s="1" t="s">
        <v>15</v>
      </c>
      <c r="G1399">
        <v>3</v>
      </c>
      <c r="H1399">
        <v>1</v>
      </c>
      <c r="I1399">
        <v>0</v>
      </c>
      <c r="J1399" s="1"/>
      <c r="K1399" s="1" t="s">
        <v>106</v>
      </c>
    </row>
    <row r="1400" spans="1:11" x14ac:dyDescent="0.25">
      <c r="A1400" s="2">
        <v>46003.74628472222</v>
      </c>
      <c r="B1400" s="1" t="s">
        <v>355</v>
      </c>
      <c r="C1400" s="1" t="s">
        <v>361</v>
      </c>
      <c r="D1400" s="1" t="s">
        <v>10</v>
      </c>
      <c r="E1400" s="1" t="s">
        <v>11</v>
      </c>
      <c r="F1400" s="1" t="s">
        <v>15</v>
      </c>
      <c r="G1400">
        <v>3</v>
      </c>
      <c r="H1400">
        <v>1</v>
      </c>
      <c r="I1400">
        <v>0</v>
      </c>
      <c r="J1400" s="1"/>
      <c r="K1400" s="1" t="s">
        <v>336</v>
      </c>
    </row>
    <row r="1401" spans="1:11" x14ac:dyDescent="0.25">
      <c r="A1401" s="2">
        <v>46003.746493055558</v>
      </c>
      <c r="B1401" s="1" t="s">
        <v>355</v>
      </c>
      <c r="C1401" s="1" t="s">
        <v>361</v>
      </c>
      <c r="D1401" s="1" t="s">
        <v>10</v>
      </c>
      <c r="E1401" s="1" t="s">
        <v>11</v>
      </c>
      <c r="F1401" s="1" t="s">
        <v>15</v>
      </c>
      <c r="G1401">
        <v>3</v>
      </c>
      <c r="H1401">
        <v>0</v>
      </c>
      <c r="I1401">
        <v>0</v>
      </c>
      <c r="J1401" s="1"/>
      <c r="K1401" s="1" t="s">
        <v>342</v>
      </c>
    </row>
    <row r="1402" spans="1:11" x14ac:dyDescent="0.25">
      <c r="A1402" s="2">
        <v>46003.746562499997</v>
      </c>
      <c r="B1402" s="1" t="s">
        <v>355</v>
      </c>
      <c r="C1402" s="1" t="s">
        <v>361</v>
      </c>
      <c r="D1402" s="1" t="s">
        <v>10</v>
      </c>
      <c r="E1402" s="1" t="s">
        <v>11</v>
      </c>
      <c r="F1402" s="1" t="s">
        <v>15</v>
      </c>
      <c r="G1402">
        <v>3</v>
      </c>
      <c r="H1402">
        <v>0</v>
      </c>
      <c r="I1402">
        <v>0</v>
      </c>
      <c r="J1402" s="1"/>
      <c r="K1402" s="1" t="s">
        <v>342</v>
      </c>
    </row>
    <row r="1403" spans="1:11" x14ac:dyDescent="0.25">
      <c r="A1403" s="2">
        <v>46003.746678240743</v>
      </c>
      <c r="B1403" s="1" t="s">
        <v>355</v>
      </c>
      <c r="C1403" s="1" t="s">
        <v>361</v>
      </c>
      <c r="D1403" s="1" t="s">
        <v>10</v>
      </c>
      <c r="E1403" s="1" t="s">
        <v>11</v>
      </c>
      <c r="F1403" s="1" t="s">
        <v>15</v>
      </c>
      <c r="G1403">
        <v>3</v>
      </c>
      <c r="H1403">
        <v>0</v>
      </c>
      <c r="I1403">
        <v>0</v>
      </c>
      <c r="J1403" s="1"/>
      <c r="K1403" s="1" t="s">
        <v>345</v>
      </c>
    </row>
    <row r="1404" spans="1:11" x14ac:dyDescent="0.25">
      <c r="A1404" s="2">
        <v>46003.746805555558</v>
      </c>
      <c r="B1404" s="1" t="s">
        <v>355</v>
      </c>
      <c r="C1404" s="1" t="s">
        <v>361</v>
      </c>
      <c r="D1404" s="1" t="s">
        <v>10</v>
      </c>
      <c r="E1404" s="1" t="s">
        <v>11</v>
      </c>
      <c r="F1404" s="1" t="s">
        <v>15</v>
      </c>
      <c r="G1404">
        <v>3</v>
      </c>
      <c r="H1404">
        <v>0</v>
      </c>
      <c r="I1404">
        <v>0</v>
      </c>
      <c r="J1404" s="1"/>
      <c r="K1404" s="1" t="s">
        <v>341</v>
      </c>
    </row>
    <row r="1405" spans="1:11" x14ac:dyDescent="0.25">
      <c r="A1405" s="2">
        <v>46004.394918981481</v>
      </c>
      <c r="B1405" s="1" t="s">
        <v>352</v>
      </c>
      <c r="C1405" s="1" t="s">
        <v>362</v>
      </c>
      <c r="D1405" s="1" t="s">
        <v>10</v>
      </c>
      <c r="E1405" s="1" t="s">
        <v>11</v>
      </c>
      <c r="F1405" s="1" t="s">
        <v>14</v>
      </c>
      <c r="G1405">
        <v>0.5</v>
      </c>
      <c r="H1405">
        <v>0</v>
      </c>
      <c r="I1405">
        <v>0</v>
      </c>
      <c r="J1405" s="1" t="s">
        <v>135</v>
      </c>
      <c r="K1405" s="1" t="s">
        <v>345</v>
      </c>
    </row>
    <row r="1406" spans="1:11" x14ac:dyDescent="0.25">
      <c r="A1406" s="2">
        <v>46004.435543981483</v>
      </c>
      <c r="B1406" s="1" t="s">
        <v>347</v>
      </c>
      <c r="C1406" s="1" t="s">
        <v>362</v>
      </c>
      <c r="D1406" s="1" t="s">
        <v>10</v>
      </c>
      <c r="E1406" s="1" t="s">
        <v>11</v>
      </c>
      <c r="F1406" s="1" t="s">
        <v>12</v>
      </c>
      <c r="G1406">
        <v>10.5</v>
      </c>
      <c r="H1406">
        <v>1</v>
      </c>
      <c r="I1406">
        <v>0</v>
      </c>
      <c r="J1406" s="1"/>
      <c r="K1406" s="1" t="s">
        <v>336</v>
      </c>
    </row>
    <row r="1407" spans="1:11" x14ac:dyDescent="0.25">
      <c r="A1407" s="2">
        <v>46004.435543981483</v>
      </c>
      <c r="B1407" s="1" t="s">
        <v>347</v>
      </c>
      <c r="C1407" s="1" t="s">
        <v>362</v>
      </c>
      <c r="D1407" s="1" t="s">
        <v>10</v>
      </c>
      <c r="E1407" s="1" t="s">
        <v>11</v>
      </c>
      <c r="F1407" s="1" t="s">
        <v>12</v>
      </c>
      <c r="G1407">
        <v>10.5</v>
      </c>
      <c r="H1407">
        <v>1</v>
      </c>
      <c r="I1407">
        <v>0</v>
      </c>
      <c r="J1407" s="1"/>
      <c r="K1407" s="1" t="s">
        <v>106</v>
      </c>
    </row>
    <row r="1408" spans="1:11" x14ac:dyDescent="0.25">
      <c r="A1408" s="2">
        <v>46004.435671296298</v>
      </c>
      <c r="B1408" s="1" t="s">
        <v>347</v>
      </c>
      <c r="C1408" s="1" t="s">
        <v>362</v>
      </c>
      <c r="D1408" s="1" t="s">
        <v>10</v>
      </c>
      <c r="E1408" s="1" t="s">
        <v>11</v>
      </c>
      <c r="F1408" s="1" t="s">
        <v>15</v>
      </c>
      <c r="G1408">
        <v>3</v>
      </c>
      <c r="H1408">
        <v>0</v>
      </c>
      <c r="I1408">
        <v>0</v>
      </c>
      <c r="J1408" s="1"/>
      <c r="K1408" s="1" t="s">
        <v>342</v>
      </c>
    </row>
    <row r="1409" spans="1:11" x14ac:dyDescent="0.25">
      <c r="A1409" s="2">
        <v>46004.477685185186</v>
      </c>
      <c r="B1409" s="1" t="s">
        <v>354</v>
      </c>
      <c r="C1409" s="1" t="s">
        <v>362</v>
      </c>
      <c r="D1409" s="1" t="s">
        <v>10</v>
      </c>
      <c r="E1409" s="1" t="s">
        <v>11</v>
      </c>
      <c r="F1409" s="1" t="s">
        <v>14</v>
      </c>
      <c r="G1409">
        <v>0.5</v>
      </c>
      <c r="H1409">
        <v>0</v>
      </c>
      <c r="I1409">
        <v>0</v>
      </c>
      <c r="J1409" s="1" t="s">
        <v>318</v>
      </c>
      <c r="K1409" s="1" t="s">
        <v>106</v>
      </c>
    </row>
    <row r="1410" spans="1:11" x14ac:dyDescent="0.25">
      <c r="A1410" s="2">
        <v>46004.477986111109</v>
      </c>
      <c r="B1410" s="1" t="s">
        <v>354</v>
      </c>
      <c r="C1410" s="1" t="s">
        <v>362</v>
      </c>
      <c r="D1410" s="1" t="s">
        <v>10</v>
      </c>
      <c r="E1410" s="1" t="s">
        <v>11</v>
      </c>
      <c r="F1410" s="1" t="s">
        <v>14</v>
      </c>
      <c r="G1410">
        <v>0.5</v>
      </c>
      <c r="H1410">
        <v>0</v>
      </c>
      <c r="I1410">
        <v>0</v>
      </c>
      <c r="J1410" s="1" t="s">
        <v>319</v>
      </c>
      <c r="K1410" s="1" t="s">
        <v>106</v>
      </c>
    </row>
    <row r="1411" spans="1:11" x14ac:dyDescent="0.25">
      <c r="A1411" s="2">
        <v>46006.553819444445</v>
      </c>
      <c r="B1411" s="1" t="s">
        <v>351</v>
      </c>
      <c r="C1411" s="1" t="s">
        <v>363</v>
      </c>
      <c r="D1411" s="1" t="s">
        <v>10</v>
      </c>
      <c r="E1411" s="1" t="s">
        <v>11</v>
      </c>
      <c r="F1411" s="1" t="s">
        <v>14</v>
      </c>
      <c r="G1411">
        <v>0.5</v>
      </c>
      <c r="H1411">
        <v>0</v>
      </c>
      <c r="I1411">
        <v>0</v>
      </c>
      <c r="J1411" s="1" t="s">
        <v>320</v>
      </c>
      <c r="K1411" s="1" t="s">
        <v>345</v>
      </c>
    </row>
    <row r="1412" spans="1:11" x14ac:dyDescent="0.25">
      <c r="A1412" s="2">
        <v>46006.553877314815</v>
      </c>
      <c r="B1412" s="1" t="s">
        <v>351</v>
      </c>
      <c r="C1412" s="1" t="s">
        <v>363</v>
      </c>
      <c r="D1412" s="1" t="s">
        <v>10</v>
      </c>
      <c r="E1412" s="1" t="s">
        <v>17</v>
      </c>
      <c r="F1412" s="1" t="s">
        <v>14</v>
      </c>
      <c r="G1412">
        <v>0.5</v>
      </c>
      <c r="H1412">
        <v>0</v>
      </c>
      <c r="I1412">
        <v>0</v>
      </c>
      <c r="J1412" s="1"/>
      <c r="K1412" s="1" t="s">
        <v>344</v>
      </c>
    </row>
    <row r="1413" spans="1:11" x14ac:dyDescent="0.25">
      <c r="A1413" s="2">
        <v>46006.557106481479</v>
      </c>
      <c r="B1413" s="1" t="s">
        <v>351</v>
      </c>
      <c r="C1413" s="1" t="s">
        <v>363</v>
      </c>
      <c r="D1413" s="1" t="s">
        <v>10</v>
      </c>
      <c r="E1413" s="1" t="s">
        <v>11</v>
      </c>
      <c r="F1413" s="1" t="s">
        <v>14</v>
      </c>
      <c r="G1413">
        <v>0.5</v>
      </c>
      <c r="H1413">
        <v>0</v>
      </c>
      <c r="I1413">
        <v>0</v>
      </c>
      <c r="J1413" s="1" t="s">
        <v>183</v>
      </c>
      <c r="K1413" s="1" t="s">
        <v>344</v>
      </c>
    </row>
    <row r="1414" spans="1:11" x14ac:dyDescent="0.25">
      <c r="A1414" s="2">
        <v>46006.557106481479</v>
      </c>
      <c r="B1414" s="1" t="s">
        <v>351</v>
      </c>
      <c r="C1414" s="1" t="s">
        <v>363</v>
      </c>
      <c r="D1414" s="1" t="s">
        <v>10</v>
      </c>
      <c r="E1414" s="1" t="s">
        <v>11</v>
      </c>
      <c r="F1414" s="1" t="s">
        <v>14</v>
      </c>
      <c r="G1414">
        <v>0.5</v>
      </c>
      <c r="H1414">
        <v>0</v>
      </c>
      <c r="I1414">
        <v>0</v>
      </c>
      <c r="J1414" s="1" t="s">
        <v>183</v>
      </c>
      <c r="K1414" s="1" t="s">
        <v>345</v>
      </c>
    </row>
    <row r="1415" spans="1:11" x14ac:dyDescent="0.25">
      <c r="A1415" s="2">
        <v>46006.567037037035</v>
      </c>
      <c r="B1415" s="1" t="s">
        <v>351</v>
      </c>
      <c r="C1415" s="1" t="s">
        <v>363</v>
      </c>
      <c r="D1415" s="1" t="s">
        <v>10</v>
      </c>
      <c r="E1415" s="1" t="s">
        <v>11</v>
      </c>
      <c r="F1415" s="1" t="s">
        <v>14</v>
      </c>
      <c r="G1415">
        <v>0.5</v>
      </c>
      <c r="H1415">
        <v>0</v>
      </c>
      <c r="I1415">
        <v>0</v>
      </c>
      <c r="J1415" s="1"/>
      <c r="K1415" s="1" t="s">
        <v>344</v>
      </c>
    </row>
    <row r="1416" spans="1:11" x14ac:dyDescent="0.25">
      <c r="A1416" s="2">
        <v>46006.594293981485</v>
      </c>
      <c r="B1416" s="1" t="s">
        <v>348</v>
      </c>
      <c r="C1416" s="1" t="s">
        <v>363</v>
      </c>
      <c r="D1416" s="1" t="s">
        <v>10</v>
      </c>
      <c r="E1416" s="1" t="s">
        <v>11</v>
      </c>
      <c r="F1416" s="1" t="s">
        <v>15</v>
      </c>
      <c r="G1416">
        <v>3</v>
      </c>
      <c r="H1416">
        <v>0</v>
      </c>
      <c r="I1416">
        <v>0</v>
      </c>
      <c r="J1416" s="1"/>
      <c r="K1416" s="1" t="s">
        <v>336</v>
      </c>
    </row>
    <row r="1417" spans="1:11" x14ac:dyDescent="0.25">
      <c r="A1417" s="2">
        <v>46006.603321759256</v>
      </c>
      <c r="B1417" s="1" t="s">
        <v>348</v>
      </c>
      <c r="C1417" s="1" t="s">
        <v>363</v>
      </c>
      <c r="D1417" s="1" t="s">
        <v>10</v>
      </c>
      <c r="E1417" s="1" t="s">
        <v>11</v>
      </c>
      <c r="F1417" s="1" t="s">
        <v>15</v>
      </c>
      <c r="G1417">
        <v>3</v>
      </c>
      <c r="H1417">
        <v>1</v>
      </c>
      <c r="I1417">
        <v>0</v>
      </c>
      <c r="J1417" s="1"/>
      <c r="K1417" s="1" t="s">
        <v>336</v>
      </c>
    </row>
    <row r="1418" spans="1:11" x14ac:dyDescent="0.25">
      <c r="A1418" s="2">
        <v>46006.603414351855</v>
      </c>
      <c r="B1418" s="1" t="s">
        <v>348</v>
      </c>
      <c r="C1418" s="1" t="s">
        <v>363</v>
      </c>
      <c r="D1418" s="1" t="s">
        <v>10</v>
      </c>
      <c r="E1418" s="1" t="s">
        <v>11</v>
      </c>
      <c r="F1418" s="1" t="s">
        <v>15</v>
      </c>
      <c r="G1418">
        <v>3</v>
      </c>
      <c r="H1418">
        <v>0</v>
      </c>
      <c r="I1418">
        <v>0</v>
      </c>
      <c r="J1418" s="1"/>
      <c r="K1418" s="1" t="s">
        <v>342</v>
      </c>
    </row>
    <row r="1419" spans="1:11" x14ac:dyDescent="0.25">
      <c r="A1419" s="2">
        <v>46006.651284722226</v>
      </c>
      <c r="B1419" s="1" t="s">
        <v>349</v>
      </c>
      <c r="C1419" s="1" t="s">
        <v>363</v>
      </c>
      <c r="D1419" s="1" t="s">
        <v>10</v>
      </c>
      <c r="E1419" s="1" t="s">
        <v>11</v>
      </c>
      <c r="F1419" s="1" t="s">
        <v>12</v>
      </c>
      <c r="G1419">
        <v>10.5</v>
      </c>
      <c r="H1419">
        <v>1</v>
      </c>
      <c r="I1419">
        <v>0</v>
      </c>
      <c r="J1419" s="1"/>
      <c r="K1419" s="1" t="s">
        <v>336</v>
      </c>
    </row>
    <row r="1420" spans="1:11" x14ac:dyDescent="0.25">
      <c r="A1420" s="2">
        <v>46006.66065972222</v>
      </c>
      <c r="B1420" s="1" t="s">
        <v>349</v>
      </c>
      <c r="C1420" s="1" t="s">
        <v>363</v>
      </c>
      <c r="D1420" s="1" t="s">
        <v>10</v>
      </c>
      <c r="E1420" s="1" t="s">
        <v>11</v>
      </c>
      <c r="F1420" s="1" t="s">
        <v>12</v>
      </c>
      <c r="G1420">
        <v>10.5</v>
      </c>
      <c r="H1420">
        <v>1</v>
      </c>
      <c r="I1420">
        <v>0</v>
      </c>
      <c r="J1420" s="1"/>
      <c r="K1420" s="1" t="s">
        <v>336</v>
      </c>
    </row>
    <row r="1421" spans="1:11" x14ac:dyDescent="0.25">
      <c r="A1421" s="2">
        <v>46006.66065972222</v>
      </c>
      <c r="B1421" s="1" t="s">
        <v>349</v>
      </c>
      <c r="C1421" s="1" t="s">
        <v>363</v>
      </c>
      <c r="D1421" s="1" t="s">
        <v>10</v>
      </c>
      <c r="E1421" s="1" t="s">
        <v>11</v>
      </c>
      <c r="F1421" s="1" t="s">
        <v>12</v>
      </c>
      <c r="G1421">
        <v>10.5</v>
      </c>
      <c r="H1421">
        <v>1</v>
      </c>
      <c r="I1421">
        <v>0</v>
      </c>
      <c r="J1421" s="1"/>
      <c r="K1421" s="1" t="s">
        <v>340</v>
      </c>
    </row>
    <row r="1422" spans="1:11" x14ac:dyDescent="0.25">
      <c r="A1422" s="2">
        <v>46006.660810185182</v>
      </c>
      <c r="B1422" s="1" t="s">
        <v>349</v>
      </c>
      <c r="C1422" s="1" t="s">
        <v>363</v>
      </c>
      <c r="D1422" s="1" t="s">
        <v>10</v>
      </c>
      <c r="E1422" s="1" t="s">
        <v>11</v>
      </c>
      <c r="F1422" s="1" t="s">
        <v>14</v>
      </c>
      <c r="G1422">
        <v>0.5</v>
      </c>
      <c r="H1422">
        <v>0</v>
      </c>
      <c r="I1422">
        <v>0</v>
      </c>
      <c r="J1422" s="1"/>
      <c r="K1422" s="1" t="s">
        <v>344</v>
      </c>
    </row>
    <row r="1423" spans="1:11" x14ac:dyDescent="0.25">
      <c r="A1423" s="2">
        <v>46007.517407407409</v>
      </c>
      <c r="B1423" s="1" t="s">
        <v>350</v>
      </c>
      <c r="C1423" s="1" t="s">
        <v>358</v>
      </c>
      <c r="D1423" s="1" t="s">
        <v>10</v>
      </c>
      <c r="E1423" s="1" t="s">
        <v>11</v>
      </c>
      <c r="F1423" s="1" t="s">
        <v>14</v>
      </c>
      <c r="G1423">
        <v>0.5</v>
      </c>
      <c r="H1423">
        <v>0</v>
      </c>
      <c r="I1423">
        <v>0</v>
      </c>
      <c r="J1423" s="1"/>
      <c r="K1423" s="1" t="s">
        <v>342</v>
      </c>
    </row>
    <row r="1424" spans="1:11" x14ac:dyDescent="0.25">
      <c r="A1424" s="2">
        <v>46007.555081018516</v>
      </c>
      <c r="B1424" s="1" t="s">
        <v>351</v>
      </c>
      <c r="C1424" s="1" t="s">
        <v>358</v>
      </c>
      <c r="D1424" s="1" t="s">
        <v>10</v>
      </c>
      <c r="E1424" s="1" t="s">
        <v>11</v>
      </c>
      <c r="F1424" s="1" t="s">
        <v>14</v>
      </c>
      <c r="G1424">
        <v>0.5</v>
      </c>
      <c r="H1424">
        <v>0</v>
      </c>
      <c r="I1424">
        <v>0</v>
      </c>
      <c r="J1424" s="1"/>
      <c r="K1424" s="1" t="s">
        <v>344</v>
      </c>
    </row>
    <row r="1425" spans="1:11" x14ac:dyDescent="0.25">
      <c r="A1425" s="2">
        <v>46007.555115740739</v>
      </c>
      <c r="B1425" s="1" t="s">
        <v>351</v>
      </c>
      <c r="C1425" s="1" t="s">
        <v>358</v>
      </c>
      <c r="D1425" s="1" t="s">
        <v>10</v>
      </c>
      <c r="E1425" s="1" t="s">
        <v>11</v>
      </c>
      <c r="F1425" s="1" t="s">
        <v>14</v>
      </c>
      <c r="G1425">
        <v>0.5</v>
      </c>
      <c r="H1425">
        <v>0</v>
      </c>
      <c r="I1425">
        <v>0</v>
      </c>
      <c r="J1425" s="1"/>
      <c r="K1425" s="1" t="s">
        <v>344</v>
      </c>
    </row>
    <row r="1426" spans="1:11" x14ac:dyDescent="0.25">
      <c r="A1426" s="2">
        <v>46007.611435185187</v>
      </c>
      <c r="B1426" s="1" t="s">
        <v>348</v>
      </c>
      <c r="C1426" s="1" t="s">
        <v>358</v>
      </c>
      <c r="D1426" s="1" t="s">
        <v>10</v>
      </c>
      <c r="E1426" s="1" t="s">
        <v>11</v>
      </c>
      <c r="F1426" s="1" t="s">
        <v>14</v>
      </c>
      <c r="G1426">
        <v>0.5</v>
      </c>
      <c r="H1426">
        <v>0</v>
      </c>
      <c r="I1426">
        <v>0</v>
      </c>
      <c r="J1426" s="1"/>
      <c r="K1426" s="1" t="s">
        <v>344</v>
      </c>
    </row>
    <row r="1427" spans="1:11" x14ac:dyDescent="0.25">
      <c r="A1427" s="2">
        <v>46007.611666666664</v>
      </c>
      <c r="B1427" s="1" t="s">
        <v>348</v>
      </c>
      <c r="C1427" s="1" t="s">
        <v>358</v>
      </c>
      <c r="D1427" s="1" t="s">
        <v>20</v>
      </c>
      <c r="E1427" s="1" t="s">
        <v>11</v>
      </c>
      <c r="F1427" s="1" t="s">
        <v>12</v>
      </c>
      <c r="G1427">
        <v>10.5</v>
      </c>
      <c r="H1427">
        <v>0</v>
      </c>
      <c r="I1427">
        <v>0</v>
      </c>
      <c r="J1427" s="1" t="s">
        <v>322</v>
      </c>
      <c r="K1427" s="1" t="s">
        <v>343</v>
      </c>
    </row>
    <row r="1428" spans="1:11" x14ac:dyDescent="0.25">
      <c r="A1428" s="2">
        <v>46008.422453703701</v>
      </c>
      <c r="B1428" s="1" t="s">
        <v>347</v>
      </c>
      <c r="C1428" s="1" t="s">
        <v>359</v>
      </c>
      <c r="D1428" s="1" t="s">
        <v>10</v>
      </c>
      <c r="E1428" s="1" t="s">
        <v>11</v>
      </c>
      <c r="F1428" s="1" t="s">
        <v>15</v>
      </c>
      <c r="G1428">
        <v>3</v>
      </c>
      <c r="H1428">
        <v>0</v>
      </c>
      <c r="I1428">
        <v>0</v>
      </c>
      <c r="J1428" s="1"/>
      <c r="K1428" s="1" t="s">
        <v>336</v>
      </c>
    </row>
    <row r="1429" spans="1:11" x14ac:dyDescent="0.25">
      <c r="A1429" s="2">
        <v>46008.422453703701</v>
      </c>
      <c r="B1429" s="1" t="s">
        <v>347</v>
      </c>
      <c r="C1429" s="1" t="s">
        <v>359</v>
      </c>
      <c r="D1429" s="1" t="s">
        <v>10</v>
      </c>
      <c r="E1429" s="1" t="s">
        <v>11</v>
      </c>
      <c r="F1429" s="1" t="s">
        <v>15</v>
      </c>
      <c r="G1429">
        <v>3</v>
      </c>
      <c r="H1429">
        <v>0</v>
      </c>
      <c r="I1429">
        <v>0</v>
      </c>
      <c r="J1429" s="1"/>
      <c r="K1429" s="1" t="s">
        <v>343</v>
      </c>
    </row>
    <row r="1430" spans="1:11" x14ac:dyDescent="0.25">
      <c r="A1430" s="2">
        <v>46008.442094907405</v>
      </c>
      <c r="B1430" s="1" t="s">
        <v>347</v>
      </c>
      <c r="C1430" s="1" t="s">
        <v>359</v>
      </c>
      <c r="D1430" s="1" t="s">
        <v>10</v>
      </c>
      <c r="E1430" s="1" t="s">
        <v>11</v>
      </c>
      <c r="F1430" s="1" t="s">
        <v>12</v>
      </c>
      <c r="G1430">
        <v>10.5</v>
      </c>
      <c r="H1430">
        <v>1</v>
      </c>
      <c r="I1430">
        <v>0</v>
      </c>
      <c r="J1430" s="1"/>
      <c r="K1430" s="1" t="s">
        <v>336</v>
      </c>
    </row>
    <row r="1431" spans="1:11" x14ac:dyDescent="0.25">
      <c r="A1431" s="2">
        <v>46008.442094907405</v>
      </c>
      <c r="B1431" s="1" t="s">
        <v>347</v>
      </c>
      <c r="C1431" s="1" t="s">
        <v>359</v>
      </c>
      <c r="D1431" s="1" t="s">
        <v>10</v>
      </c>
      <c r="E1431" s="1" t="s">
        <v>11</v>
      </c>
      <c r="F1431" s="1" t="s">
        <v>12</v>
      </c>
      <c r="G1431">
        <v>10.5</v>
      </c>
      <c r="H1431">
        <v>1</v>
      </c>
      <c r="I1431">
        <v>0</v>
      </c>
      <c r="J1431" s="1"/>
      <c r="K1431" s="1" t="s">
        <v>106</v>
      </c>
    </row>
    <row r="1432" spans="1:11" x14ac:dyDescent="0.25">
      <c r="A1432" s="2">
        <v>46008.442094907405</v>
      </c>
      <c r="B1432" s="1" t="s">
        <v>347</v>
      </c>
      <c r="C1432" s="1" t="s">
        <v>359</v>
      </c>
      <c r="D1432" s="1" t="s">
        <v>10</v>
      </c>
      <c r="E1432" s="1" t="s">
        <v>11</v>
      </c>
      <c r="F1432" s="1" t="s">
        <v>12</v>
      </c>
      <c r="G1432">
        <v>10.5</v>
      </c>
      <c r="H1432">
        <v>1</v>
      </c>
      <c r="I1432">
        <v>0</v>
      </c>
      <c r="J1432" s="1"/>
      <c r="K1432" s="1" t="s">
        <v>344</v>
      </c>
    </row>
    <row r="1433" spans="1:11" x14ac:dyDescent="0.25">
      <c r="A1433" s="2">
        <v>46008.453923611109</v>
      </c>
      <c r="B1433" s="1" t="s">
        <v>347</v>
      </c>
      <c r="C1433" s="1" t="s">
        <v>359</v>
      </c>
      <c r="D1433" s="1" t="s">
        <v>10</v>
      </c>
      <c r="E1433" s="1" t="s">
        <v>11</v>
      </c>
      <c r="F1433" s="1" t="s">
        <v>15</v>
      </c>
      <c r="G1433">
        <v>3</v>
      </c>
      <c r="H1433">
        <v>1</v>
      </c>
      <c r="I1433">
        <v>0</v>
      </c>
      <c r="J1433" s="1"/>
      <c r="K1433" s="1" t="s">
        <v>337</v>
      </c>
    </row>
    <row r="1434" spans="1:11" x14ac:dyDescent="0.25">
      <c r="A1434" s="2">
        <v>46008.583912037036</v>
      </c>
      <c r="B1434" s="1" t="s">
        <v>348</v>
      </c>
      <c r="C1434" s="1" t="s">
        <v>359</v>
      </c>
      <c r="D1434" s="1" t="s">
        <v>10</v>
      </c>
      <c r="E1434" s="1" t="s">
        <v>11</v>
      </c>
      <c r="F1434" s="1" t="s">
        <v>12</v>
      </c>
      <c r="G1434">
        <v>10.5</v>
      </c>
      <c r="H1434">
        <v>0</v>
      </c>
      <c r="I1434">
        <v>0</v>
      </c>
      <c r="J1434" s="1"/>
      <c r="K1434" s="1" t="s">
        <v>343</v>
      </c>
    </row>
    <row r="1435" spans="1:11" x14ac:dyDescent="0.25">
      <c r="A1435" s="2">
        <v>46009.394606481481</v>
      </c>
      <c r="B1435" s="1" t="s">
        <v>352</v>
      </c>
      <c r="C1435" s="1" t="s">
        <v>360</v>
      </c>
      <c r="D1435" s="1" t="s">
        <v>20</v>
      </c>
      <c r="E1435" s="1" t="s">
        <v>11</v>
      </c>
      <c r="F1435" s="1" t="s">
        <v>15</v>
      </c>
      <c r="G1435">
        <v>3</v>
      </c>
      <c r="H1435">
        <v>1</v>
      </c>
      <c r="I1435">
        <v>0</v>
      </c>
      <c r="J1435" s="1"/>
      <c r="K1435" s="1" t="s">
        <v>337</v>
      </c>
    </row>
    <row r="1436" spans="1:11" x14ac:dyDescent="0.25">
      <c r="A1436" s="2">
        <v>46009.534409722219</v>
      </c>
      <c r="B1436" s="1" t="s">
        <v>350</v>
      </c>
      <c r="C1436" s="1" t="s">
        <v>360</v>
      </c>
      <c r="D1436" s="1" t="s">
        <v>10</v>
      </c>
      <c r="E1436" s="1" t="s">
        <v>11</v>
      </c>
      <c r="F1436" s="1" t="s">
        <v>15</v>
      </c>
      <c r="G1436">
        <v>3</v>
      </c>
      <c r="H1436">
        <v>1</v>
      </c>
      <c r="I1436">
        <v>0</v>
      </c>
      <c r="J1436" s="1"/>
      <c r="K1436" s="1" t="s">
        <v>336</v>
      </c>
    </row>
    <row r="1437" spans="1:11" x14ac:dyDescent="0.25">
      <c r="A1437" s="2">
        <v>46009.534409722219</v>
      </c>
      <c r="B1437" s="1" t="s">
        <v>350</v>
      </c>
      <c r="C1437" s="1" t="s">
        <v>360</v>
      </c>
      <c r="D1437" s="1" t="s">
        <v>10</v>
      </c>
      <c r="E1437" s="1" t="s">
        <v>11</v>
      </c>
      <c r="F1437" s="1" t="s">
        <v>15</v>
      </c>
      <c r="G1437">
        <v>3</v>
      </c>
      <c r="H1437">
        <v>1</v>
      </c>
      <c r="I1437">
        <v>0</v>
      </c>
      <c r="J1437" s="1"/>
      <c r="K1437" s="1" t="s">
        <v>106</v>
      </c>
    </row>
    <row r="1438" spans="1:11" x14ac:dyDescent="0.25">
      <c r="A1438" s="2">
        <v>46009.538159722222</v>
      </c>
      <c r="B1438" s="1" t="s">
        <v>350</v>
      </c>
      <c r="C1438" s="1" t="s">
        <v>360</v>
      </c>
      <c r="D1438" s="1" t="s">
        <v>10</v>
      </c>
      <c r="E1438" s="1" t="s">
        <v>11</v>
      </c>
      <c r="F1438" s="1" t="s">
        <v>14</v>
      </c>
      <c r="G1438">
        <v>0.5</v>
      </c>
      <c r="H1438">
        <v>0</v>
      </c>
      <c r="I1438">
        <v>0</v>
      </c>
      <c r="J1438" s="1"/>
      <c r="K1438" s="1" t="s">
        <v>343</v>
      </c>
    </row>
    <row r="1439" spans="1:11" x14ac:dyDescent="0.25">
      <c r="A1439" s="2">
        <v>46009.538564814815</v>
      </c>
      <c r="B1439" s="1" t="s">
        <v>350</v>
      </c>
      <c r="C1439" s="1" t="s">
        <v>360</v>
      </c>
      <c r="D1439" s="1" t="s">
        <v>10</v>
      </c>
      <c r="E1439" s="1" t="s">
        <v>11</v>
      </c>
      <c r="F1439" s="1" t="s">
        <v>14</v>
      </c>
      <c r="G1439">
        <v>0.5</v>
      </c>
      <c r="H1439">
        <v>0</v>
      </c>
      <c r="I1439">
        <v>0</v>
      </c>
      <c r="J1439" s="1" t="s">
        <v>323</v>
      </c>
      <c r="K1439" s="1" t="s">
        <v>345</v>
      </c>
    </row>
    <row r="1440" spans="1:11" x14ac:dyDescent="0.25">
      <c r="A1440" s="2">
        <v>46009.582858796297</v>
      </c>
      <c r="B1440" s="1" t="s">
        <v>351</v>
      </c>
      <c r="C1440" s="1" t="s">
        <v>360</v>
      </c>
      <c r="D1440" s="1" t="s">
        <v>10</v>
      </c>
      <c r="E1440" s="1" t="s">
        <v>11</v>
      </c>
      <c r="F1440" s="1" t="s">
        <v>12</v>
      </c>
      <c r="G1440">
        <v>10.5</v>
      </c>
      <c r="H1440">
        <v>1</v>
      </c>
      <c r="I1440">
        <v>0</v>
      </c>
      <c r="J1440" s="1"/>
      <c r="K1440" s="1" t="s">
        <v>336</v>
      </c>
    </row>
    <row r="1441" spans="1:11" x14ac:dyDescent="0.25">
      <c r="A1441" s="2">
        <v>46009.582858796297</v>
      </c>
      <c r="B1441" s="1" t="s">
        <v>351</v>
      </c>
      <c r="C1441" s="1" t="s">
        <v>360</v>
      </c>
      <c r="D1441" s="1" t="s">
        <v>10</v>
      </c>
      <c r="E1441" s="1" t="s">
        <v>11</v>
      </c>
      <c r="F1441" s="1" t="s">
        <v>12</v>
      </c>
      <c r="G1441">
        <v>10.5</v>
      </c>
      <c r="H1441">
        <v>1</v>
      </c>
      <c r="I1441">
        <v>0</v>
      </c>
      <c r="J1441" s="1"/>
      <c r="K1441" s="1" t="s">
        <v>343</v>
      </c>
    </row>
    <row r="1442" spans="1:11" x14ac:dyDescent="0.25">
      <c r="A1442" s="2">
        <v>46009.625219907408</v>
      </c>
      <c r="B1442" s="1" t="s">
        <v>349</v>
      </c>
      <c r="C1442" s="1" t="s">
        <v>360</v>
      </c>
      <c r="D1442" s="1" t="s">
        <v>10</v>
      </c>
      <c r="E1442" s="1" t="s">
        <v>11</v>
      </c>
      <c r="F1442" s="1" t="s">
        <v>15</v>
      </c>
      <c r="G1442">
        <v>3</v>
      </c>
      <c r="H1442">
        <v>0</v>
      </c>
      <c r="I1442">
        <v>0</v>
      </c>
      <c r="J1442" s="1"/>
      <c r="K1442" s="1" t="s">
        <v>341</v>
      </c>
    </row>
    <row r="1443" spans="1:11" x14ac:dyDescent="0.25">
      <c r="A1443" s="2">
        <v>46010.623761574076</v>
      </c>
      <c r="B1443" s="1" t="s">
        <v>348</v>
      </c>
      <c r="C1443" s="1" t="s">
        <v>361</v>
      </c>
      <c r="D1443" s="1" t="s">
        <v>10</v>
      </c>
      <c r="E1443" s="1" t="s">
        <v>17</v>
      </c>
      <c r="F1443" s="1" t="s">
        <v>18</v>
      </c>
      <c r="G1443">
        <v>20</v>
      </c>
      <c r="H1443">
        <v>0</v>
      </c>
      <c r="I1443">
        <v>0</v>
      </c>
      <c r="J1443" s="1" t="s">
        <v>324</v>
      </c>
      <c r="K1443" s="1" t="s">
        <v>106</v>
      </c>
    </row>
    <row r="1444" spans="1:11" x14ac:dyDescent="0.25">
      <c r="A1444" s="2">
        <v>46010.62394675926</v>
      </c>
      <c r="B1444" s="1" t="s">
        <v>348</v>
      </c>
      <c r="C1444" s="1" t="s">
        <v>361</v>
      </c>
      <c r="D1444" s="1" t="s">
        <v>10</v>
      </c>
      <c r="E1444" s="1" t="s">
        <v>11</v>
      </c>
      <c r="F1444" s="1" t="s">
        <v>12</v>
      </c>
      <c r="G1444">
        <v>10.5</v>
      </c>
      <c r="H1444">
        <v>1</v>
      </c>
      <c r="I1444">
        <v>0</v>
      </c>
      <c r="J1444" s="1"/>
      <c r="K1444" s="1" t="s">
        <v>336</v>
      </c>
    </row>
    <row r="1445" spans="1:11" x14ac:dyDescent="0.25">
      <c r="A1445" s="2">
        <v>46010.62394675926</v>
      </c>
      <c r="B1445" s="1" t="s">
        <v>348</v>
      </c>
      <c r="C1445" s="1" t="s">
        <v>361</v>
      </c>
      <c r="D1445" s="1" t="s">
        <v>10</v>
      </c>
      <c r="E1445" s="1" t="s">
        <v>11</v>
      </c>
      <c r="F1445" s="1" t="s">
        <v>12</v>
      </c>
      <c r="G1445">
        <v>10.5</v>
      </c>
      <c r="H1445">
        <v>1</v>
      </c>
      <c r="I1445">
        <v>0</v>
      </c>
      <c r="J1445" s="1"/>
      <c r="K1445" s="1" t="s">
        <v>106</v>
      </c>
    </row>
    <row r="1446" spans="1:11" x14ac:dyDescent="0.25">
      <c r="A1446" s="2">
        <v>46010.62394675926</v>
      </c>
      <c r="B1446" s="1" t="s">
        <v>348</v>
      </c>
      <c r="C1446" s="1" t="s">
        <v>361</v>
      </c>
      <c r="D1446" s="1" t="s">
        <v>10</v>
      </c>
      <c r="E1446" s="1" t="s">
        <v>11</v>
      </c>
      <c r="F1446" s="1" t="s">
        <v>12</v>
      </c>
      <c r="G1446">
        <v>10.5</v>
      </c>
      <c r="H1446">
        <v>1</v>
      </c>
      <c r="I1446">
        <v>0</v>
      </c>
      <c r="J1446" s="1"/>
      <c r="K1446" s="1" t="s">
        <v>343</v>
      </c>
    </row>
    <row r="1447" spans="1:11" x14ac:dyDescent="0.25">
      <c r="A1447" s="2">
        <v>46010.624085648145</v>
      </c>
      <c r="B1447" s="1" t="s">
        <v>348</v>
      </c>
      <c r="C1447" s="1" t="s">
        <v>361</v>
      </c>
      <c r="D1447" s="1" t="s">
        <v>10</v>
      </c>
      <c r="E1447" s="1" t="s">
        <v>11</v>
      </c>
      <c r="F1447" s="1" t="s">
        <v>14</v>
      </c>
      <c r="G1447">
        <v>0.5</v>
      </c>
      <c r="H1447">
        <v>1</v>
      </c>
      <c r="I1447">
        <v>0</v>
      </c>
      <c r="J1447" s="1"/>
      <c r="K1447" s="1" t="s">
        <v>336</v>
      </c>
    </row>
    <row r="1448" spans="1:11" x14ac:dyDescent="0.25">
      <c r="A1448" s="2">
        <v>46010.624340277776</v>
      </c>
      <c r="B1448" s="1" t="s">
        <v>348</v>
      </c>
      <c r="C1448" s="1" t="s">
        <v>361</v>
      </c>
      <c r="D1448" s="1" t="s">
        <v>10</v>
      </c>
      <c r="E1448" s="1" t="s">
        <v>11</v>
      </c>
      <c r="F1448" s="1" t="s">
        <v>15</v>
      </c>
      <c r="G1448">
        <v>3</v>
      </c>
      <c r="H1448">
        <v>0</v>
      </c>
      <c r="I1448">
        <v>0</v>
      </c>
      <c r="J1448" s="1" t="s">
        <v>325</v>
      </c>
      <c r="K1448" s="1" t="s">
        <v>345</v>
      </c>
    </row>
    <row r="1449" spans="1:11" x14ac:dyDescent="0.25">
      <c r="A1449" s="2">
        <v>46010.624571759261</v>
      </c>
      <c r="B1449" s="1" t="s">
        <v>348</v>
      </c>
      <c r="C1449" s="1" t="s">
        <v>361</v>
      </c>
      <c r="D1449" s="1" t="s">
        <v>10</v>
      </c>
      <c r="E1449" s="1" t="s">
        <v>11</v>
      </c>
      <c r="F1449" s="1" t="s">
        <v>15</v>
      </c>
      <c r="G1449">
        <v>3</v>
      </c>
      <c r="H1449">
        <v>0</v>
      </c>
      <c r="I1449">
        <v>0</v>
      </c>
      <c r="J1449" s="1" t="s">
        <v>300</v>
      </c>
      <c r="K1449" s="1" t="s">
        <v>343</v>
      </c>
    </row>
    <row r="1450" spans="1:11" x14ac:dyDescent="0.25">
      <c r="A1450" s="2">
        <v>46010.624722222223</v>
      </c>
      <c r="B1450" s="1" t="s">
        <v>348</v>
      </c>
      <c r="C1450" s="1" t="s">
        <v>361</v>
      </c>
      <c r="D1450" s="1" t="s">
        <v>10</v>
      </c>
      <c r="E1450" s="1" t="s">
        <v>11</v>
      </c>
      <c r="F1450" s="1" t="s">
        <v>15</v>
      </c>
      <c r="G1450">
        <v>3</v>
      </c>
      <c r="H1450">
        <v>0</v>
      </c>
      <c r="I1450">
        <v>0</v>
      </c>
      <c r="J1450" s="1" t="s">
        <v>326</v>
      </c>
      <c r="K1450" s="1" t="s">
        <v>345</v>
      </c>
    </row>
    <row r="1451" spans="1:11" x14ac:dyDescent="0.25">
      <c r="A1451" s="2">
        <v>46010.638136574074</v>
      </c>
      <c r="B1451" s="1" t="s">
        <v>349</v>
      </c>
      <c r="C1451" s="1" t="s">
        <v>361</v>
      </c>
      <c r="D1451" s="1" t="s">
        <v>20</v>
      </c>
      <c r="E1451" s="1" t="s">
        <v>11</v>
      </c>
      <c r="F1451" s="1" t="s">
        <v>12</v>
      </c>
      <c r="G1451">
        <v>10.5</v>
      </c>
      <c r="H1451">
        <v>0</v>
      </c>
      <c r="I1451">
        <v>1</v>
      </c>
      <c r="J1451" s="1" t="s">
        <v>327</v>
      </c>
      <c r="K1451" s="1" t="s">
        <v>337</v>
      </c>
    </row>
    <row r="1452" spans="1:11" x14ac:dyDescent="0.25">
      <c r="A1452" s="2">
        <v>46010.65388888889</v>
      </c>
      <c r="B1452" s="1" t="s">
        <v>349</v>
      </c>
      <c r="C1452" s="1" t="s">
        <v>361</v>
      </c>
      <c r="D1452" s="1" t="s">
        <v>10</v>
      </c>
      <c r="E1452" s="1" t="s">
        <v>11</v>
      </c>
      <c r="F1452" s="1" t="s">
        <v>12</v>
      </c>
      <c r="G1452">
        <v>10.5</v>
      </c>
      <c r="H1452">
        <v>1</v>
      </c>
      <c r="I1452">
        <v>0</v>
      </c>
      <c r="J1452" s="1"/>
      <c r="K1452" s="1" t="s">
        <v>336</v>
      </c>
    </row>
    <row r="1453" spans="1:11" x14ac:dyDescent="0.25">
      <c r="A1453" s="2">
        <v>46010.654166666667</v>
      </c>
      <c r="B1453" s="1" t="s">
        <v>349</v>
      </c>
      <c r="C1453" s="1" t="s">
        <v>361</v>
      </c>
      <c r="D1453" s="1" t="s">
        <v>10</v>
      </c>
      <c r="E1453" s="1" t="s">
        <v>11</v>
      </c>
      <c r="F1453" s="1" t="s">
        <v>14</v>
      </c>
      <c r="G1453">
        <v>0.5</v>
      </c>
      <c r="H1453">
        <v>0</v>
      </c>
      <c r="I1453">
        <v>0</v>
      </c>
      <c r="J1453" s="1" t="s">
        <v>35</v>
      </c>
      <c r="K1453" s="1" t="s">
        <v>344</v>
      </c>
    </row>
    <row r="1454" spans="1:11" x14ac:dyDescent="0.25">
      <c r="A1454" s="2">
        <v>46013.51835648148</v>
      </c>
      <c r="B1454" s="1" t="s">
        <v>350</v>
      </c>
      <c r="C1454" s="1" t="s">
        <v>363</v>
      </c>
      <c r="D1454" s="1" t="s">
        <v>10</v>
      </c>
      <c r="E1454" s="1" t="s">
        <v>11</v>
      </c>
      <c r="F1454" s="1" t="s">
        <v>15</v>
      </c>
      <c r="G1454">
        <v>3</v>
      </c>
      <c r="H1454">
        <v>0</v>
      </c>
      <c r="I1454">
        <v>0</v>
      </c>
      <c r="J1454" s="1"/>
      <c r="K1454" s="1" t="s">
        <v>343</v>
      </c>
    </row>
    <row r="1455" spans="1:11" x14ac:dyDescent="0.25">
      <c r="A1455" s="2">
        <v>46013.584166666667</v>
      </c>
      <c r="B1455" s="1" t="s">
        <v>348</v>
      </c>
      <c r="C1455" s="1" t="s">
        <v>363</v>
      </c>
      <c r="D1455" s="1" t="s">
        <v>10</v>
      </c>
      <c r="E1455" s="1" t="s">
        <v>11</v>
      </c>
      <c r="F1455" s="1" t="s">
        <v>15</v>
      </c>
      <c r="G1455">
        <v>3</v>
      </c>
      <c r="H1455">
        <v>1</v>
      </c>
      <c r="I1455">
        <v>0</v>
      </c>
      <c r="J1455" s="1"/>
      <c r="K1455" s="1" t="s">
        <v>336</v>
      </c>
    </row>
    <row r="1456" spans="1:11" x14ac:dyDescent="0.25">
      <c r="A1456" s="2">
        <v>46013.655011574076</v>
      </c>
      <c r="B1456" s="1" t="s">
        <v>349</v>
      </c>
      <c r="C1456" s="1" t="s">
        <v>363</v>
      </c>
      <c r="D1456" s="1" t="s">
        <v>10</v>
      </c>
      <c r="E1456" s="1" t="s">
        <v>11</v>
      </c>
      <c r="F1456" s="1" t="s">
        <v>15</v>
      </c>
      <c r="G1456">
        <v>3</v>
      </c>
      <c r="H1456">
        <v>0</v>
      </c>
      <c r="I1456">
        <v>0</v>
      </c>
      <c r="J1456" s="1"/>
      <c r="K1456" s="1" t="s">
        <v>342</v>
      </c>
    </row>
    <row r="1457" spans="1:11" x14ac:dyDescent="0.25">
      <c r="A1457" s="2">
        <v>46013.655115740738</v>
      </c>
      <c r="B1457" s="1" t="s">
        <v>349</v>
      </c>
      <c r="C1457" s="1" t="s">
        <v>363</v>
      </c>
      <c r="D1457" s="1" t="s">
        <v>10</v>
      </c>
      <c r="E1457" s="1" t="s">
        <v>11</v>
      </c>
      <c r="F1457" s="1" t="s">
        <v>15</v>
      </c>
      <c r="G1457">
        <v>3</v>
      </c>
      <c r="H1457">
        <v>0</v>
      </c>
      <c r="I1457">
        <v>0</v>
      </c>
      <c r="J1457" s="1"/>
      <c r="K1457" s="1" t="s">
        <v>343</v>
      </c>
    </row>
    <row r="1458" spans="1:11" x14ac:dyDescent="0.25">
      <c r="A1458" s="2">
        <v>46013.655115740738</v>
      </c>
      <c r="B1458" s="1" t="s">
        <v>349</v>
      </c>
      <c r="C1458" s="1" t="s">
        <v>363</v>
      </c>
      <c r="D1458" s="1" t="s">
        <v>10</v>
      </c>
      <c r="E1458" s="1" t="s">
        <v>11</v>
      </c>
      <c r="F1458" s="1" t="s">
        <v>15</v>
      </c>
      <c r="G1458">
        <v>3</v>
      </c>
      <c r="H1458">
        <v>0</v>
      </c>
      <c r="I1458">
        <v>0</v>
      </c>
      <c r="J1458" s="1"/>
      <c r="K1458" s="1" t="s">
        <v>345</v>
      </c>
    </row>
    <row r="1459" spans="1:11" x14ac:dyDescent="0.25">
      <c r="A1459" s="2">
        <v>46013.683506944442</v>
      </c>
      <c r="B1459" s="1" t="s">
        <v>353</v>
      </c>
      <c r="C1459" s="1" t="s">
        <v>363</v>
      </c>
      <c r="D1459" s="1" t="s">
        <v>10</v>
      </c>
      <c r="E1459" s="1" t="s">
        <v>11</v>
      </c>
      <c r="F1459" s="1" t="s">
        <v>12</v>
      </c>
      <c r="G1459">
        <v>10.5</v>
      </c>
      <c r="H1459">
        <v>0</v>
      </c>
      <c r="I1459">
        <v>0</v>
      </c>
      <c r="J1459" s="1" t="s">
        <v>328</v>
      </c>
      <c r="K1459" s="1" t="s">
        <v>345</v>
      </c>
    </row>
    <row r="1460" spans="1:11" x14ac:dyDescent="0.25">
      <c r="A1460" s="2">
        <v>46013.683796296296</v>
      </c>
      <c r="B1460" s="1" t="s">
        <v>353</v>
      </c>
      <c r="C1460" s="1" t="s">
        <v>363</v>
      </c>
      <c r="D1460" s="1" t="s">
        <v>10</v>
      </c>
      <c r="E1460" s="1" t="s">
        <v>11</v>
      </c>
      <c r="F1460" s="1" t="s">
        <v>15</v>
      </c>
      <c r="G1460">
        <v>3</v>
      </c>
      <c r="H1460">
        <v>0</v>
      </c>
      <c r="I1460">
        <v>0</v>
      </c>
      <c r="J1460" s="1" t="s">
        <v>329</v>
      </c>
      <c r="K1460" s="1" t="s">
        <v>345</v>
      </c>
    </row>
    <row r="1461" spans="1:11" x14ac:dyDescent="0.25">
      <c r="A1461" s="2">
        <v>46013.700312499997</v>
      </c>
      <c r="B1461" s="1" t="s">
        <v>353</v>
      </c>
      <c r="C1461" s="1" t="s">
        <v>363</v>
      </c>
      <c r="D1461" s="1" t="s">
        <v>10</v>
      </c>
      <c r="E1461" s="1" t="s">
        <v>11</v>
      </c>
      <c r="F1461" s="1" t="s">
        <v>18</v>
      </c>
      <c r="G1461">
        <v>20</v>
      </c>
      <c r="H1461">
        <v>0</v>
      </c>
      <c r="I1461">
        <v>0</v>
      </c>
      <c r="J1461" s="1" t="s">
        <v>330</v>
      </c>
      <c r="K1461" s="1" t="s">
        <v>336</v>
      </c>
    </row>
    <row r="1462" spans="1:11" x14ac:dyDescent="0.25">
      <c r="A1462" s="2">
        <v>46014.558217592596</v>
      </c>
      <c r="B1462" s="1" t="s">
        <v>351</v>
      </c>
      <c r="C1462" s="1" t="s">
        <v>358</v>
      </c>
      <c r="D1462" s="1" t="s">
        <v>10</v>
      </c>
      <c r="E1462" s="1" t="s">
        <v>11</v>
      </c>
      <c r="F1462" s="1" t="s">
        <v>14</v>
      </c>
      <c r="G1462">
        <v>0.5</v>
      </c>
      <c r="H1462">
        <v>0</v>
      </c>
      <c r="I1462">
        <v>0</v>
      </c>
      <c r="J1462" s="1"/>
      <c r="K1462" s="1" t="s">
        <v>344</v>
      </c>
    </row>
    <row r="1463" spans="1:11" x14ac:dyDescent="0.25">
      <c r="A1463" s="2">
        <v>46014.569988425923</v>
      </c>
      <c r="B1463" s="1" t="s">
        <v>351</v>
      </c>
      <c r="C1463" s="1" t="s">
        <v>358</v>
      </c>
      <c r="D1463" s="1" t="s">
        <v>10</v>
      </c>
      <c r="E1463" s="1" t="s">
        <v>11</v>
      </c>
      <c r="F1463" s="1" t="s">
        <v>15</v>
      </c>
      <c r="G1463">
        <v>3</v>
      </c>
      <c r="H1463">
        <v>0</v>
      </c>
      <c r="I1463">
        <v>0</v>
      </c>
      <c r="J1463" s="1"/>
      <c r="K1463" s="1" t="s">
        <v>342</v>
      </c>
    </row>
    <row r="1464" spans="1:11" x14ac:dyDescent="0.25">
      <c r="A1464" s="2">
        <v>46014.61241898148</v>
      </c>
      <c r="B1464" s="1" t="s">
        <v>348</v>
      </c>
      <c r="C1464" s="1" t="s">
        <v>358</v>
      </c>
      <c r="D1464" s="1" t="s">
        <v>10</v>
      </c>
      <c r="E1464" s="1" t="s">
        <v>11</v>
      </c>
      <c r="F1464" s="1" t="s">
        <v>14</v>
      </c>
      <c r="G1464">
        <v>0.5</v>
      </c>
      <c r="H1464">
        <v>0</v>
      </c>
      <c r="I1464">
        <v>0</v>
      </c>
      <c r="J1464" s="1"/>
      <c r="K1464" s="1" t="s">
        <v>344</v>
      </c>
    </row>
    <row r="1465" spans="1:11" x14ac:dyDescent="0.25">
      <c r="A1465" s="2">
        <v>46014.623124999998</v>
      </c>
      <c r="B1465" s="1" t="s">
        <v>348</v>
      </c>
      <c r="C1465" s="1" t="s">
        <v>358</v>
      </c>
      <c r="D1465" s="1" t="s">
        <v>10</v>
      </c>
      <c r="E1465" s="1" t="s">
        <v>11</v>
      </c>
      <c r="F1465" s="1" t="s">
        <v>14</v>
      </c>
      <c r="G1465">
        <v>0.5</v>
      </c>
      <c r="H1465">
        <v>0</v>
      </c>
      <c r="I1465">
        <v>0</v>
      </c>
      <c r="J1465" s="1"/>
      <c r="K1465" s="1" t="s">
        <v>344</v>
      </c>
    </row>
    <row r="1466" spans="1:11" x14ac:dyDescent="0.25">
      <c r="A1466" s="2">
        <v>46015.379803240743</v>
      </c>
      <c r="B1466" s="1" t="s">
        <v>352</v>
      </c>
      <c r="C1466" s="1" t="s">
        <v>359</v>
      </c>
      <c r="D1466" s="1" t="s">
        <v>10</v>
      </c>
      <c r="E1466" s="1" t="s">
        <v>11</v>
      </c>
      <c r="F1466" s="1" t="s">
        <v>14</v>
      </c>
      <c r="G1466">
        <v>0.5</v>
      </c>
      <c r="H1466">
        <v>0</v>
      </c>
      <c r="I1466">
        <v>0</v>
      </c>
      <c r="J1466" s="1"/>
      <c r="K1466" s="1" t="s">
        <v>344</v>
      </c>
    </row>
    <row r="1467" spans="1:11" x14ac:dyDescent="0.25">
      <c r="A1467" s="2">
        <v>46015.385069444441</v>
      </c>
      <c r="B1467" s="1" t="s">
        <v>352</v>
      </c>
      <c r="C1467" s="1" t="s">
        <v>359</v>
      </c>
      <c r="D1467" s="1" t="s">
        <v>10</v>
      </c>
      <c r="E1467" s="1" t="s">
        <v>11</v>
      </c>
      <c r="F1467" s="1" t="s">
        <v>14</v>
      </c>
      <c r="G1467">
        <v>0.5</v>
      </c>
      <c r="H1467">
        <v>0</v>
      </c>
      <c r="I1467">
        <v>0</v>
      </c>
      <c r="J1467" s="1"/>
      <c r="K1467" s="1" t="s">
        <v>344</v>
      </c>
    </row>
    <row r="1468" spans="1:11" x14ac:dyDescent="0.25">
      <c r="A1468" s="2">
        <v>46015.415138888886</v>
      </c>
      <c r="B1468" s="1" t="s">
        <v>352</v>
      </c>
      <c r="C1468" s="1" t="s">
        <v>359</v>
      </c>
      <c r="D1468" s="1" t="s">
        <v>10</v>
      </c>
      <c r="E1468" s="1" t="s">
        <v>11</v>
      </c>
      <c r="F1468" s="1" t="s">
        <v>15</v>
      </c>
      <c r="G1468">
        <v>3</v>
      </c>
      <c r="H1468">
        <v>0</v>
      </c>
      <c r="I1468">
        <v>0</v>
      </c>
      <c r="J1468" s="1"/>
      <c r="K1468" s="1" t="s">
        <v>343</v>
      </c>
    </row>
    <row r="1469" spans="1:11" x14ac:dyDescent="0.25">
      <c r="A1469" s="2">
        <v>46015.514421296299</v>
      </c>
      <c r="B1469" s="1" t="s">
        <v>350</v>
      </c>
      <c r="C1469" s="1" t="s">
        <v>359</v>
      </c>
      <c r="D1469" s="1" t="s">
        <v>10</v>
      </c>
      <c r="E1469" s="1" t="s">
        <v>11</v>
      </c>
      <c r="F1469" s="1" t="s">
        <v>14</v>
      </c>
      <c r="G1469">
        <v>0.5</v>
      </c>
      <c r="H1469">
        <v>0</v>
      </c>
      <c r="I1469">
        <v>0</v>
      </c>
      <c r="J1469" s="1"/>
      <c r="K1469" s="1" t="s">
        <v>344</v>
      </c>
    </row>
    <row r="1470" spans="1:11" x14ac:dyDescent="0.25">
      <c r="A1470" s="2">
        <v>46015.540081018517</v>
      </c>
      <c r="B1470" s="1" t="s">
        <v>350</v>
      </c>
      <c r="C1470" s="1" t="s">
        <v>359</v>
      </c>
      <c r="D1470" s="1" t="s">
        <v>10</v>
      </c>
      <c r="E1470" s="1" t="s">
        <v>11</v>
      </c>
      <c r="F1470" s="1" t="s">
        <v>14</v>
      </c>
      <c r="G1470">
        <v>0.5</v>
      </c>
      <c r="H1470">
        <v>0</v>
      </c>
      <c r="I1470">
        <v>0</v>
      </c>
      <c r="J1470" s="1"/>
      <c r="K1470" s="1" t="s">
        <v>341</v>
      </c>
    </row>
    <row r="1471" spans="1:11" x14ac:dyDescent="0.25">
      <c r="A1471" s="2">
        <v>46015.587187500001</v>
      </c>
      <c r="B1471" s="1" t="s">
        <v>348</v>
      </c>
      <c r="C1471" s="1" t="s">
        <v>359</v>
      </c>
      <c r="D1471" s="1" t="s">
        <v>10</v>
      </c>
      <c r="E1471" s="1" t="s">
        <v>11</v>
      </c>
      <c r="F1471" s="1" t="s">
        <v>14</v>
      </c>
      <c r="G1471">
        <v>0.5</v>
      </c>
      <c r="H1471">
        <v>0</v>
      </c>
      <c r="I1471">
        <v>0</v>
      </c>
      <c r="J1471" s="1"/>
      <c r="K1471" s="1" t="s">
        <v>343</v>
      </c>
    </row>
    <row r="1472" spans="1:11" x14ac:dyDescent="0.25">
      <c r="A1472" s="2">
        <v>46015.618171296293</v>
      </c>
      <c r="B1472" s="1" t="s">
        <v>348</v>
      </c>
      <c r="C1472" s="1" t="s">
        <v>359</v>
      </c>
      <c r="D1472" s="1" t="s">
        <v>10</v>
      </c>
      <c r="E1472" s="1" t="s">
        <v>11</v>
      </c>
      <c r="F1472" s="1" t="s">
        <v>14</v>
      </c>
      <c r="G1472">
        <v>0.5</v>
      </c>
      <c r="H1472">
        <v>0</v>
      </c>
      <c r="I1472">
        <v>0</v>
      </c>
      <c r="J1472" s="1"/>
      <c r="K1472" s="1" t="s">
        <v>343</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E49D5-D185-4C4C-99EA-1BEBE8FC43BD}">
  <sheetPr codeName="Feuil2">
    <tabColor rgb="FF92D050"/>
  </sheetPr>
  <dimension ref="B1:D30"/>
  <sheetViews>
    <sheetView tabSelected="1" zoomScale="85" zoomScaleNormal="85" workbookViewId="0">
      <selection activeCell="B3" sqref="B3:D30"/>
    </sheetView>
  </sheetViews>
  <sheetFormatPr baseColWidth="10" defaultRowHeight="15" x14ac:dyDescent="0.25"/>
  <sheetData>
    <row r="1" spans="2:4" ht="15" customHeight="1" x14ac:dyDescent="0.25">
      <c r="B1" s="74" t="s">
        <v>5</v>
      </c>
      <c r="C1" s="75"/>
      <c r="D1" s="76"/>
    </row>
    <row r="2" spans="2:4" ht="15" customHeight="1" thickBot="1" x14ac:dyDescent="0.3">
      <c r="B2" s="77"/>
      <c r="C2" s="78"/>
      <c r="D2" s="79"/>
    </row>
    <row r="3" spans="2:4" ht="15" customHeight="1" x14ac:dyDescent="0.25">
      <c r="B3" s="80" t="s">
        <v>2</v>
      </c>
      <c r="C3" s="80"/>
      <c r="D3" s="80"/>
    </row>
    <row r="4" spans="2:4" ht="15.75" customHeight="1" x14ac:dyDescent="0.25">
      <c r="B4" s="81"/>
      <c r="C4" s="81"/>
      <c r="D4" s="81"/>
    </row>
    <row r="5" spans="2:4" x14ac:dyDescent="0.25">
      <c r="B5" s="81"/>
      <c r="C5" s="81"/>
      <c r="D5" s="81"/>
    </row>
    <row r="6" spans="2:4" x14ac:dyDescent="0.25">
      <c r="B6" s="81"/>
      <c r="C6" s="81"/>
      <c r="D6" s="81"/>
    </row>
    <row r="7" spans="2:4" x14ac:dyDescent="0.25">
      <c r="B7" s="81"/>
      <c r="C7" s="81"/>
      <c r="D7" s="81"/>
    </row>
    <row r="8" spans="2:4" x14ac:dyDescent="0.25">
      <c r="B8" s="81"/>
      <c r="C8" s="81"/>
      <c r="D8" s="81"/>
    </row>
    <row r="9" spans="2:4" x14ac:dyDescent="0.25">
      <c r="B9" s="81"/>
      <c r="C9" s="81"/>
      <c r="D9" s="81"/>
    </row>
    <row r="10" spans="2:4" x14ac:dyDescent="0.25">
      <c r="B10" s="81"/>
      <c r="C10" s="81"/>
      <c r="D10" s="81"/>
    </row>
    <row r="11" spans="2:4" x14ac:dyDescent="0.25">
      <c r="B11" s="81"/>
      <c r="C11" s="81"/>
      <c r="D11" s="81"/>
    </row>
    <row r="12" spans="2:4" x14ac:dyDescent="0.25">
      <c r="B12" s="81"/>
      <c r="C12" s="81"/>
      <c r="D12" s="81"/>
    </row>
    <row r="13" spans="2:4" x14ac:dyDescent="0.25">
      <c r="B13" s="81"/>
      <c r="C13" s="81"/>
      <c r="D13" s="81"/>
    </row>
    <row r="14" spans="2:4" x14ac:dyDescent="0.25">
      <c r="B14" s="81"/>
      <c r="C14" s="81"/>
      <c r="D14" s="81"/>
    </row>
    <row r="15" spans="2:4" x14ac:dyDescent="0.25">
      <c r="B15" s="81"/>
      <c r="C15" s="81"/>
      <c r="D15" s="81"/>
    </row>
    <row r="16" spans="2:4" x14ac:dyDescent="0.25">
      <c r="B16" s="81"/>
      <c r="C16" s="81"/>
      <c r="D16" s="81"/>
    </row>
    <row r="17" spans="2:4" x14ac:dyDescent="0.25">
      <c r="B17" s="81"/>
      <c r="C17" s="81"/>
      <c r="D17" s="81"/>
    </row>
    <row r="18" spans="2:4" x14ac:dyDescent="0.25">
      <c r="B18" s="81"/>
      <c r="C18" s="81"/>
      <c r="D18" s="81"/>
    </row>
    <row r="19" spans="2:4" x14ac:dyDescent="0.25">
      <c r="B19" s="81"/>
      <c r="C19" s="81"/>
      <c r="D19" s="81"/>
    </row>
    <row r="20" spans="2:4" x14ac:dyDescent="0.25">
      <c r="B20" s="81"/>
      <c r="C20" s="81"/>
      <c r="D20" s="81"/>
    </row>
    <row r="21" spans="2:4" x14ac:dyDescent="0.25">
      <c r="B21" s="81"/>
      <c r="C21" s="81"/>
      <c r="D21" s="81"/>
    </row>
    <row r="22" spans="2:4" x14ac:dyDescent="0.25">
      <c r="B22" s="81"/>
      <c r="C22" s="81"/>
      <c r="D22" s="81"/>
    </row>
    <row r="23" spans="2:4" x14ac:dyDescent="0.25">
      <c r="B23" s="81"/>
      <c r="C23" s="81"/>
      <c r="D23" s="81"/>
    </row>
    <row r="24" spans="2:4" x14ac:dyDescent="0.25">
      <c r="B24" s="81"/>
      <c r="C24" s="81"/>
      <c r="D24" s="81"/>
    </row>
    <row r="25" spans="2:4" x14ac:dyDescent="0.25">
      <c r="B25" s="81"/>
      <c r="C25" s="81"/>
      <c r="D25" s="81"/>
    </row>
    <row r="26" spans="2:4" x14ac:dyDescent="0.25">
      <c r="B26" s="81"/>
      <c r="C26" s="81"/>
      <c r="D26" s="81"/>
    </row>
    <row r="27" spans="2:4" x14ac:dyDescent="0.25">
      <c r="B27" s="81"/>
      <c r="C27" s="81"/>
      <c r="D27" s="81"/>
    </row>
    <row r="28" spans="2:4" x14ac:dyDescent="0.25">
      <c r="B28" s="81"/>
      <c r="C28" s="81"/>
      <c r="D28" s="81"/>
    </row>
    <row r="29" spans="2:4" x14ac:dyDescent="0.25">
      <c r="B29" s="81"/>
      <c r="C29" s="81"/>
      <c r="D29" s="81"/>
    </row>
    <row r="30" spans="2:4" x14ac:dyDescent="0.25">
      <c r="B30" s="81"/>
      <c r="C30" s="81"/>
      <c r="D30" s="81"/>
    </row>
  </sheetData>
  <mergeCells count="2">
    <mergeCell ref="B1:D2"/>
    <mergeCell ref="B3:D30"/>
  </mergeCells>
  <dataValidations count="1">
    <dataValidation type="list" allowBlank="1" showInputMessage="1" showErrorMessage="1" sqref="B3:D30" xr:uid="{A51D0CE6-FA98-4C8B-AB74-C9DF9B5C0F7E}">
      <formula1>ListeFichiers</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AACEA-C3C0-4B53-B214-BAF0834BE318}">
  <sheetPr codeName="Feuil4">
    <tabColor rgb="FFC00000"/>
  </sheetPr>
  <dimension ref="A1:S1320"/>
  <sheetViews>
    <sheetView topLeftCell="I1" workbookViewId="0">
      <selection activeCell="R2" sqref="R2"/>
    </sheetView>
  </sheetViews>
  <sheetFormatPr baseColWidth="10" defaultRowHeight="15" x14ac:dyDescent="0.25"/>
  <cols>
    <col min="1" max="1" width="15.140625" style="13" bestFit="1" customWidth="1"/>
    <col min="2" max="2" width="15.28515625" bestFit="1" customWidth="1"/>
    <col min="3" max="3" width="8.85546875" bestFit="1" customWidth="1"/>
    <col min="4" max="4" width="14" bestFit="1" customWidth="1"/>
    <col min="5" max="5" width="9.28515625" style="11" bestFit="1" customWidth="1"/>
    <col min="6" max="6" width="14.42578125" style="11" bestFit="1" customWidth="1"/>
    <col min="7" max="7" width="11.7109375" style="11" bestFit="1" customWidth="1"/>
    <col min="8" max="8" width="29.140625" style="11" bestFit="1" customWidth="1"/>
    <col min="9" max="9" width="27.85546875" style="11" bestFit="1" customWidth="1"/>
    <col min="10" max="10" width="30.140625" style="11" bestFit="1" customWidth="1"/>
    <col min="11" max="11" width="19.140625" style="11" bestFit="1" customWidth="1"/>
    <col min="12" max="12" width="15.28515625" style="11" bestFit="1" customWidth="1"/>
    <col min="13" max="13" width="9.28515625" style="11" bestFit="1" customWidth="1"/>
    <col min="14" max="14" width="14.42578125" style="11" bestFit="1" customWidth="1"/>
    <col min="15" max="15" width="16.5703125" style="11" bestFit="1" customWidth="1"/>
    <col min="16" max="16" width="14.5703125" bestFit="1" customWidth="1"/>
    <col min="17" max="17" width="15.5703125" bestFit="1" customWidth="1"/>
    <col min="18" max="18" width="24.7109375" bestFit="1" customWidth="1"/>
    <col min="19" max="20" width="81.140625" customWidth="1"/>
    <col min="21" max="21" width="26" bestFit="1" customWidth="1"/>
    <col min="22" max="22" width="26.5703125" bestFit="1" customWidth="1"/>
    <col min="23" max="23" width="21.7109375" bestFit="1" customWidth="1"/>
    <col min="24" max="24" width="21" bestFit="1" customWidth="1"/>
    <col min="25" max="25" width="39.5703125" bestFit="1" customWidth="1"/>
    <col min="26" max="26" width="38.140625" bestFit="1" customWidth="1"/>
    <col min="27" max="27" width="40.5703125" bestFit="1" customWidth="1"/>
    <col min="28" max="28" width="29.5703125" bestFit="1" customWidth="1"/>
    <col min="29" max="29" width="25.5703125" bestFit="1" customWidth="1"/>
    <col min="30" max="30" width="19.42578125" bestFit="1" customWidth="1"/>
    <col min="31" max="31" width="24.7109375" bestFit="1" customWidth="1"/>
    <col min="32" max="32" width="26.85546875" bestFit="1" customWidth="1"/>
    <col min="33" max="33" width="24.85546875" bestFit="1" customWidth="1"/>
    <col min="34" max="34" width="25.85546875" bestFit="1" customWidth="1"/>
    <col min="35" max="35" width="35.140625" bestFit="1" customWidth="1"/>
    <col min="36" max="37" width="81.140625" bestFit="1" customWidth="1"/>
  </cols>
  <sheetData>
    <row r="1" spans="1:19" x14ac:dyDescent="0.25">
      <c r="A1" s="13" t="s">
        <v>332</v>
      </c>
      <c r="B1" t="s">
        <v>356</v>
      </c>
      <c r="C1" t="s">
        <v>357</v>
      </c>
      <c r="D1" t="s">
        <v>333</v>
      </c>
      <c r="E1" t="s">
        <v>334</v>
      </c>
      <c r="F1" t="s">
        <v>335</v>
      </c>
      <c r="G1" t="s">
        <v>364</v>
      </c>
      <c r="H1" s="11" t="s">
        <v>336</v>
      </c>
      <c r="I1" s="11" t="s">
        <v>337</v>
      </c>
      <c r="J1" s="11" t="s">
        <v>338</v>
      </c>
      <c r="K1" s="11" t="s">
        <v>339</v>
      </c>
      <c r="L1" s="11" t="s">
        <v>340</v>
      </c>
      <c r="M1" s="11" t="s">
        <v>106</v>
      </c>
      <c r="N1" s="11" t="s">
        <v>341</v>
      </c>
      <c r="O1" s="11" t="s">
        <v>342</v>
      </c>
      <c r="P1" s="11" t="s">
        <v>343</v>
      </c>
      <c r="Q1" s="11" t="s">
        <v>344</v>
      </c>
      <c r="R1" s="11" t="s">
        <v>345</v>
      </c>
      <c r="S1" t="s">
        <v>346</v>
      </c>
    </row>
    <row r="2" spans="1:19" x14ac:dyDescent="0.25">
      <c r="A2" s="13">
        <v>45839.427847222221</v>
      </c>
      <c r="B2" t="s">
        <v>347</v>
      </c>
      <c r="C2" t="s">
        <v>358</v>
      </c>
      <c r="D2" t="s">
        <v>10</v>
      </c>
      <c r="E2" t="s">
        <v>11</v>
      </c>
      <c r="F2" t="s">
        <v>12</v>
      </c>
      <c r="G2">
        <v>10.5</v>
      </c>
      <c r="H2" s="12">
        <v>0</v>
      </c>
      <c r="I2" s="12">
        <v>0</v>
      </c>
      <c r="J2" s="12">
        <v>0</v>
      </c>
      <c r="K2" s="12">
        <v>0</v>
      </c>
      <c r="L2" s="12">
        <v>0</v>
      </c>
      <c r="M2" s="12">
        <v>0</v>
      </c>
      <c r="N2" s="12">
        <v>0</v>
      </c>
      <c r="O2" s="12">
        <v>0</v>
      </c>
      <c r="P2" s="12">
        <v>0</v>
      </c>
      <c r="Q2" s="12">
        <v>1</v>
      </c>
      <c r="R2" s="12">
        <v>1</v>
      </c>
      <c r="S2" t="s">
        <v>13</v>
      </c>
    </row>
    <row r="3" spans="1:19" x14ac:dyDescent="0.25">
      <c r="A3" s="13">
        <v>45839.592407407406</v>
      </c>
      <c r="B3" t="s">
        <v>348</v>
      </c>
      <c r="C3" t="s">
        <v>358</v>
      </c>
      <c r="D3" t="s">
        <v>10</v>
      </c>
      <c r="E3" t="s">
        <v>11</v>
      </c>
      <c r="F3" t="s">
        <v>12</v>
      </c>
      <c r="G3">
        <v>10.5</v>
      </c>
      <c r="H3" s="12">
        <v>1</v>
      </c>
      <c r="I3" s="12">
        <v>0</v>
      </c>
      <c r="J3" s="12">
        <v>1</v>
      </c>
      <c r="K3" s="12">
        <v>0</v>
      </c>
      <c r="L3" s="12">
        <v>0</v>
      </c>
      <c r="M3" s="12">
        <v>0</v>
      </c>
      <c r="N3" s="12">
        <v>0</v>
      </c>
      <c r="O3" s="12">
        <v>0</v>
      </c>
      <c r="P3" s="12">
        <v>0</v>
      </c>
      <c r="Q3" s="12">
        <v>0</v>
      </c>
      <c r="R3" s="12">
        <v>0</v>
      </c>
    </row>
    <row r="4" spans="1:19" x14ac:dyDescent="0.25">
      <c r="A4" s="13">
        <v>45839.592511574076</v>
      </c>
      <c r="B4" t="s">
        <v>348</v>
      </c>
      <c r="C4" t="s">
        <v>358</v>
      </c>
      <c r="D4" t="s">
        <v>10</v>
      </c>
      <c r="E4" t="s">
        <v>11</v>
      </c>
      <c r="F4" t="s">
        <v>12</v>
      </c>
      <c r="G4">
        <v>10.5</v>
      </c>
      <c r="H4" s="12">
        <v>1</v>
      </c>
      <c r="I4" s="12">
        <v>0</v>
      </c>
      <c r="J4" s="12">
        <v>1</v>
      </c>
      <c r="K4" s="12">
        <v>0</v>
      </c>
      <c r="L4" s="12">
        <v>0</v>
      </c>
      <c r="M4" s="12">
        <v>0</v>
      </c>
      <c r="N4" s="12">
        <v>0</v>
      </c>
      <c r="O4" s="12">
        <v>0</v>
      </c>
      <c r="P4" s="12">
        <v>0</v>
      </c>
      <c r="Q4" s="12">
        <v>0</v>
      </c>
      <c r="R4" s="12">
        <v>0</v>
      </c>
    </row>
    <row r="5" spans="1:19" x14ac:dyDescent="0.25">
      <c r="A5" s="13">
        <v>45839.592673611114</v>
      </c>
      <c r="B5" t="s">
        <v>348</v>
      </c>
      <c r="C5" t="s">
        <v>358</v>
      </c>
      <c r="D5" t="s">
        <v>10</v>
      </c>
      <c r="E5" t="s">
        <v>11</v>
      </c>
      <c r="F5" t="s">
        <v>12</v>
      </c>
      <c r="G5">
        <v>10.5</v>
      </c>
      <c r="H5" s="12">
        <v>0</v>
      </c>
      <c r="I5" s="12">
        <v>0</v>
      </c>
      <c r="J5" s="12">
        <v>0</v>
      </c>
      <c r="K5" s="12">
        <v>0</v>
      </c>
      <c r="L5" s="12">
        <v>1</v>
      </c>
      <c r="M5" s="12">
        <v>0</v>
      </c>
      <c r="N5" s="12">
        <v>0</v>
      </c>
      <c r="O5" s="12">
        <v>0</v>
      </c>
      <c r="P5" s="12">
        <v>0</v>
      </c>
      <c r="Q5" s="12">
        <v>0</v>
      </c>
      <c r="R5" s="12">
        <v>0</v>
      </c>
    </row>
    <row r="6" spans="1:19" x14ac:dyDescent="0.25">
      <c r="A6" s="13">
        <v>45839.592731481483</v>
      </c>
      <c r="B6" t="s">
        <v>348</v>
      </c>
      <c r="C6" t="s">
        <v>358</v>
      </c>
      <c r="D6" t="s">
        <v>10</v>
      </c>
      <c r="E6" t="s">
        <v>11</v>
      </c>
      <c r="F6" t="s">
        <v>14</v>
      </c>
      <c r="G6">
        <v>0.5</v>
      </c>
      <c r="H6" s="12">
        <v>0</v>
      </c>
      <c r="I6" s="12">
        <v>0</v>
      </c>
      <c r="J6" s="12">
        <v>0</v>
      </c>
      <c r="K6" s="12">
        <v>0</v>
      </c>
      <c r="L6" s="12">
        <v>0</v>
      </c>
      <c r="M6" s="12">
        <v>0</v>
      </c>
      <c r="N6" s="12">
        <v>1</v>
      </c>
      <c r="O6" s="12">
        <v>0</v>
      </c>
      <c r="P6" s="12">
        <v>0</v>
      </c>
      <c r="Q6" s="12">
        <v>0</v>
      </c>
      <c r="R6" s="12">
        <v>0</v>
      </c>
    </row>
    <row r="7" spans="1:19" x14ac:dyDescent="0.25">
      <c r="A7" s="13">
        <v>45839.592835648145</v>
      </c>
      <c r="B7" t="s">
        <v>348</v>
      </c>
      <c r="C7" t="s">
        <v>358</v>
      </c>
      <c r="D7" t="s">
        <v>10</v>
      </c>
      <c r="E7" t="s">
        <v>11</v>
      </c>
      <c r="F7" t="s">
        <v>15</v>
      </c>
      <c r="G7">
        <v>3</v>
      </c>
      <c r="H7" s="12">
        <v>1</v>
      </c>
      <c r="I7" s="12">
        <v>0</v>
      </c>
      <c r="J7" s="12">
        <v>0</v>
      </c>
      <c r="K7" s="12">
        <v>0</v>
      </c>
      <c r="L7" s="12">
        <v>0</v>
      </c>
      <c r="M7" s="12">
        <v>1</v>
      </c>
      <c r="N7" s="12">
        <v>0</v>
      </c>
      <c r="O7" s="12">
        <v>0</v>
      </c>
      <c r="P7" s="12">
        <v>0</v>
      </c>
      <c r="Q7" s="12">
        <v>0</v>
      </c>
      <c r="R7" s="12">
        <v>0</v>
      </c>
    </row>
    <row r="8" spans="1:19" x14ac:dyDescent="0.25">
      <c r="A8" s="13">
        <v>45839.622881944444</v>
      </c>
      <c r="B8" t="s">
        <v>348</v>
      </c>
      <c r="C8" t="s">
        <v>358</v>
      </c>
      <c r="D8" t="s">
        <v>10</v>
      </c>
      <c r="E8" t="s">
        <v>11</v>
      </c>
      <c r="F8" t="s">
        <v>14</v>
      </c>
      <c r="G8">
        <v>0.5</v>
      </c>
      <c r="H8" s="12">
        <v>0</v>
      </c>
      <c r="I8" s="12">
        <v>0</v>
      </c>
      <c r="J8" s="12">
        <v>0</v>
      </c>
      <c r="K8" s="12">
        <v>0</v>
      </c>
      <c r="L8" s="12">
        <v>0</v>
      </c>
      <c r="M8" s="12">
        <v>0</v>
      </c>
      <c r="N8" s="12">
        <v>0</v>
      </c>
      <c r="O8" s="12">
        <v>0</v>
      </c>
      <c r="P8" s="12">
        <v>0</v>
      </c>
      <c r="Q8" s="12">
        <v>1</v>
      </c>
      <c r="R8" s="12">
        <v>0</v>
      </c>
    </row>
    <row r="9" spans="1:19" x14ac:dyDescent="0.25">
      <c r="A9" s="13">
        <v>45839.622974537036</v>
      </c>
      <c r="B9" t="s">
        <v>348</v>
      </c>
      <c r="C9" t="s">
        <v>358</v>
      </c>
      <c r="D9" t="s">
        <v>10</v>
      </c>
      <c r="E9" t="s">
        <v>11</v>
      </c>
      <c r="F9" t="s">
        <v>15</v>
      </c>
      <c r="G9">
        <v>3</v>
      </c>
      <c r="H9" s="12">
        <v>0</v>
      </c>
      <c r="I9" s="12">
        <v>1</v>
      </c>
      <c r="J9" s="12">
        <v>1</v>
      </c>
      <c r="K9" s="12">
        <v>0</v>
      </c>
      <c r="L9" s="12">
        <v>0</v>
      </c>
      <c r="M9" s="12">
        <v>0</v>
      </c>
      <c r="N9" s="12">
        <v>0</v>
      </c>
      <c r="O9" s="12">
        <v>0</v>
      </c>
      <c r="P9" s="12">
        <v>0</v>
      </c>
      <c r="Q9" s="12">
        <v>0</v>
      </c>
      <c r="R9" s="12">
        <v>0</v>
      </c>
    </row>
    <row r="10" spans="1:19" x14ac:dyDescent="0.25">
      <c r="A10" s="13">
        <v>45839.623287037037</v>
      </c>
      <c r="B10" t="s">
        <v>348</v>
      </c>
      <c r="C10" t="s">
        <v>358</v>
      </c>
      <c r="D10" t="s">
        <v>10</v>
      </c>
      <c r="E10" t="s">
        <v>11</v>
      </c>
      <c r="F10" t="s">
        <v>15</v>
      </c>
      <c r="G10">
        <v>3</v>
      </c>
      <c r="H10" s="12">
        <v>1</v>
      </c>
      <c r="I10" s="12">
        <v>0</v>
      </c>
      <c r="J10" s="12">
        <v>1</v>
      </c>
      <c r="K10" s="12">
        <v>0</v>
      </c>
      <c r="L10" s="12">
        <v>0</v>
      </c>
      <c r="M10" s="12">
        <v>0</v>
      </c>
      <c r="N10" s="12">
        <v>0</v>
      </c>
      <c r="O10" s="12">
        <v>0</v>
      </c>
      <c r="P10" s="12">
        <v>0</v>
      </c>
      <c r="Q10" s="12">
        <v>0</v>
      </c>
      <c r="R10" s="12">
        <v>0</v>
      </c>
      <c r="S10" t="s">
        <v>16</v>
      </c>
    </row>
    <row r="11" spans="1:19" x14ac:dyDescent="0.25">
      <c r="A11" s="13">
        <v>45839.623784722222</v>
      </c>
      <c r="B11" t="s">
        <v>348</v>
      </c>
      <c r="C11" t="s">
        <v>358</v>
      </c>
      <c r="D11" t="s">
        <v>10</v>
      </c>
      <c r="E11" t="s">
        <v>11</v>
      </c>
      <c r="F11" t="s">
        <v>15</v>
      </c>
      <c r="G11">
        <v>3</v>
      </c>
      <c r="H11" s="12">
        <v>1</v>
      </c>
      <c r="I11" s="12">
        <v>0</v>
      </c>
      <c r="J11" s="12">
        <v>1</v>
      </c>
      <c r="K11" s="12">
        <v>0</v>
      </c>
      <c r="L11" s="12">
        <v>0</v>
      </c>
      <c r="M11" s="12">
        <v>0</v>
      </c>
      <c r="N11" s="12">
        <v>0</v>
      </c>
      <c r="O11" s="12">
        <v>0</v>
      </c>
      <c r="P11" s="12">
        <v>0</v>
      </c>
      <c r="Q11" s="12">
        <v>0</v>
      </c>
      <c r="R11" s="12">
        <v>0</v>
      </c>
    </row>
    <row r="12" spans="1:19" x14ac:dyDescent="0.25">
      <c r="A12" s="13">
        <v>45839.661793981482</v>
      </c>
      <c r="B12" t="s">
        <v>349</v>
      </c>
      <c r="C12" t="s">
        <v>358</v>
      </c>
      <c r="D12" t="s">
        <v>10</v>
      </c>
      <c r="E12" t="s">
        <v>11</v>
      </c>
      <c r="F12" t="s">
        <v>15</v>
      </c>
      <c r="G12">
        <v>3</v>
      </c>
      <c r="H12" s="12">
        <v>0</v>
      </c>
      <c r="I12" s="12">
        <v>0</v>
      </c>
      <c r="J12" s="12">
        <v>0</v>
      </c>
      <c r="K12" s="12">
        <v>0</v>
      </c>
      <c r="L12" s="12">
        <v>1</v>
      </c>
      <c r="M12" s="12">
        <v>0</v>
      </c>
      <c r="N12" s="12">
        <v>0</v>
      </c>
      <c r="O12" s="12">
        <v>0</v>
      </c>
      <c r="P12" s="12">
        <v>0</v>
      </c>
      <c r="Q12" s="12">
        <v>0</v>
      </c>
      <c r="R12" s="12">
        <v>0</v>
      </c>
    </row>
    <row r="13" spans="1:19" x14ac:dyDescent="0.25">
      <c r="A13" s="13">
        <v>45839.662083333336</v>
      </c>
      <c r="B13" t="s">
        <v>349</v>
      </c>
      <c r="C13" t="s">
        <v>358</v>
      </c>
      <c r="D13" t="s">
        <v>10</v>
      </c>
      <c r="E13" t="s">
        <v>17</v>
      </c>
      <c r="F13" t="s">
        <v>15</v>
      </c>
      <c r="G13">
        <v>3</v>
      </c>
      <c r="H13" s="12">
        <v>0</v>
      </c>
      <c r="I13" s="12">
        <v>0</v>
      </c>
      <c r="J13" s="12">
        <v>0</v>
      </c>
      <c r="K13" s="12">
        <v>0</v>
      </c>
      <c r="L13" s="12">
        <v>0</v>
      </c>
      <c r="M13" s="12">
        <v>0</v>
      </c>
      <c r="N13" s="12">
        <v>1</v>
      </c>
      <c r="O13" s="12">
        <v>0</v>
      </c>
      <c r="P13" s="12">
        <v>0</v>
      </c>
      <c r="Q13" s="12">
        <v>0</v>
      </c>
      <c r="R13" s="12">
        <v>0</v>
      </c>
    </row>
    <row r="14" spans="1:19" x14ac:dyDescent="0.25">
      <c r="A14" s="13">
        <v>45840.421030092592</v>
      </c>
      <c r="B14" t="s">
        <v>347</v>
      </c>
      <c r="C14" t="s">
        <v>359</v>
      </c>
      <c r="D14" t="s">
        <v>10</v>
      </c>
      <c r="E14" t="s">
        <v>11</v>
      </c>
      <c r="F14" t="s">
        <v>18</v>
      </c>
      <c r="G14">
        <v>20</v>
      </c>
      <c r="H14" s="12">
        <v>0</v>
      </c>
      <c r="I14" s="12">
        <v>1</v>
      </c>
      <c r="J14" s="12">
        <v>1</v>
      </c>
      <c r="K14" s="12">
        <v>0</v>
      </c>
      <c r="L14" s="12">
        <v>1</v>
      </c>
      <c r="M14" s="12">
        <v>0</v>
      </c>
      <c r="N14" s="12">
        <v>1</v>
      </c>
      <c r="O14" s="12">
        <v>0</v>
      </c>
      <c r="P14" s="12">
        <v>1</v>
      </c>
      <c r="Q14" s="12">
        <v>1</v>
      </c>
      <c r="R14" s="12">
        <v>0</v>
      </c>
    </row>
    <row r="15" spans="1:19" x14ac:dyDescent="0.25">
      <c r="A15" s="13">
        <v>45840.522962962961</v>
      </c>
      <c r="B15" t="s">
        <v>350</v>
      </c>
      <c r="C15" t="s">
        <v>359</v>
      </c>
      <c r="D15" t="s">
        <v>10</v>
      </c>
      <c r="E15" t="s">
        <v>11</v>
      </c>
      <c r="F15" t="s">
        <v>14</v>
      </c>
      <c r="G15">
        <v>0.5</v>
      </c>
      <c r="H15" s="12">
        <v>0</v>
      </c>
      <c r="I15" s="12">
        <v>0</v>
      </c>
      <c r="J15" s="12">
        <v>0</v>
      </c>
      <c r="K15" s="12">
        <v>0</v>
      </c>
      <c r="L15" s="12">
        <v>0</v>
      </c>
      <c r="M15" s="12">
        <v>0</v>
      </c>
      <c r="N15" s="12">
        <v>0</v>
      </c>
      <c r="O15" s="12">
        <v>0</v>
      </c>
      <c r="P15" s="12">
        <v>0</v>
      </c>
      <c r="Q15" s="12">
        <v>1</v>
      </c>
      <c r="R15" s="12">
        <v>0</v>
      </c>
    </row>
    <row r="16" spans="1:19" x14ac:dyDescent="0.25">
      <c r="A16" s="13">
        <v>45840.525960648149</v>
      </c>
      <c r="B16" t="s">
        <v>350</v>
      </c>
      <c r="C16" t="s">
        <v>359</v>
      </c>
      <c r="D16" t="s">
        <v>10</v>
      </c>
      <c r="E16" t="s">
        <v>11</v>
      </c>
      <c r="F16" t="s">
        <v>14</v>
      </c>
      <c r="G16">
        <v>0.5</v>
      </c>
      <c r="H16" s="12">
        <v>0</v>
      </c>
      <c r="I16" s="12">
        <v>0</v>
      </c>
      <c r="J16" s="12">
        <v>0</v>
      </c>
      <c r="K16" s="12">
        <v>0</v>
      </c>
      <c r="L16" s="12">
        <v>0</v>
      </c>
      <c r="M16" s="12">
        <v>0</v>
      </c>
      <c r="N16" s="12">
        <v>0</v>
      </c>
      <c r="O16" s="12">
        <v>0</v>
      </c>
      <c r="P16" s="12">
        <v>0</v>
      </c>
      <c r="Q16" s="12">
        <v>1</v>
      </c>
      <c r="R16" s="12">
        <v>0</v>
      </c>
    </row>
    <row r="17" spans="1:19" x14ac:dyDescent="0.25">
      <c r="A17" s="13">
        <v>45840.547847222224</v>
      </c>
      <c r="B17" t="s">
        <v>351</v>
      </c>
      <c r="C17" t="s">
        <v>359</v>
      </c>
      <c r="D17" t="s">
        <v>10</v>
      </c>
      <c r="E17" t="s">
        <v>11</v>
      </c>
      <c r="F17" t="s">
        <v>12</v>
      </c>
      <c r="G17">
        <v>10.5</v>
      </c>
      <c r="H17" s="12">
        <v>0</v>
      </c>
      <c r="I17" s="12">
        <v>0</v>
      </c>
      <c r="J17" s="12">
        <v>0</v>
      </c>
      <c r="K17" s="12">
        <v>0</v>
      </c>
      <c r="L17" s="12">
        <v>0</v>
      </c>
      <c r="M17" s="12">
        <v>0</v>
      </c>
      <c r="N17" s="12">
        <v>0</v>
      </c>
      <c r="O17" s="12">
        <v>0</v>
      </c>
      <c r="P17" s="12">
        <v>0</v>
      </c>
      <c r="Q17" s="12">
        <v>0</v>
      </c>
      <c r="R17" s="12">
        <v>1</v>
      </c>
      <c r="S17" t="s">
        <v>19</v>
      </c>
    </row>
    <row r="18" spans="1:19" x14ac:dyDescent="0.25">
      <c r="A18" s="13">
        <v>45840.574155092596</v>
      </c>
      <c r="B18" t="s">
        <v>351</v>
      </c>
      <c r="C18" t="s">
        <v>359</v>
      </c>
      <c r="D18" t="s">
        <v>10</v>
      </c>
      <c r="E18" t="s">
        <v>11</v>
      </c>
      <c r="F18" t="s">
        <v>15</v>
      </c>
      <c r="G18">
        <v>3</v>
      </c>
      <c r="H18" s="12">
        <v>0</v>
      </c>
      <c r="I18" s="12">
        <v>0</v>
      </c>
      <c r="J18" s="12">
        <v>0</v>
      </c>
      <c r="K18" s="12">
        <v>0</v>
      </c>
      <c r="L18" s="12">
        <v>0</v>
      </c>
      <c r="M18" s="12">
        <v>0</v>
      </c>
      <c r="N18" s="12">
        <v>1</v>
      </c>
      <c r="O18" s="12">
        <v>0</v>
      </c>
      <c r="P18" s="12">
        <v>0</v>
      </c>
      <c r="Q18" s="12">
        <v>0</v>
      </c>
      <c r="R18" s="12">
        <v>0</v>
      </c>
    </row>
    <row r="19" spans="1:19" x14ac:dyDescent="0.25">
      <c r="A19" s="13">
        <v>45840.618310185186</v>
      </c>
      <c r="B19" t="s">
        <v>348</v>
      </c>
      <c r="C19" t="s">
        <v>359</v>
      </c>
      <c r="D19" t="s">
        <v>10</v>
      </c>
      <c r="E19" t="s">
        <v>11</v>
      </c>
      <c r="F19" t="s">
        <v>15</v>
      </c>
      <c r="G19">
        <v>3</v>
      </c>
      <c r="H19" s="12">
        <v>0</v>
      </c>
      <c r="I19" s="12">
        <v>0</v>
      </c>
      <c r="J19" s="12">
        <v>0</v>
      </c>
      <c r="K19" s="12">
        <v>0</v>
      </c>
      <c r="L19" s="12">
        <v>0</v>
      </c>
      <c r="M19" s="12">
        <v>0</v>
      </c>
      <c r="N19" s="12">
        <v>0</v>
      </c>
      <c r="O19" s="12">
        <v>0</v>
      </c>
      <c r="P19" s="12">
        <v>1</v>
      </c>
      <c r="Q19" s="12">
        <v>0</v>
      </c>
      <c r="R19" s="12">
        <v>0</v>
      </c>
    </row>
    <row r="20" spans="1:19" x14ac:dyDescent="0.25">
      <c r="A20" s="13">
        <v>45840.618437500001</v>
      </c>
      <c r="B20" t="s">
        <v>348</v>
      </c>
      <c r="C20" t="s">
        <v>359</v>
      </c>
      <c r="D20" t="s">
        <v>10</v>
      </c>
      <c r="E20" t="s">
        <v>11</v>
      </c>
      <c r="F20" t="s">
        <v>14</v>
      </c>
      <c r="G20">
        <v>0.5</v>
      </c>
      <c r="H20" s="12">
        <v>0</v>
      </c>
      <c r="I20" s="12">
        <v>0</v>
      </c>
      <c r="J20" s="12">
        <v>0</v>
      </c>
      <c r="K20" s="12">
        <v>0</v>
      </c>
      <c r="L20" s="12">
        <v>0</v>
      </c>
      <c r="M20" s="12">
        <v>0</v>
      </c>
      <c r="N20" s="12">
        <v>0</v>
      </c>
      <c r="O20" s="12">
        <v>0</v>
      </c>
      <c r="P20" s="12">
        <v>0</v>
      </c>
      <c r="Q20" s="12">
        <v>1</v>
      </c>
      <c r="R20" s="12">
        <v>0</v>
      </c>
    </row>
    <row r="21" spans="1:19" x14ac:dyDescent="0.25">
      <c r="A21" s="13">
        <v>45840.618495370371</v>
      </c>
      <c r="B21" t="s">
        <v>348</v>
      </c>
      <c r="C21" t="s">
        <v>359</v>
      </c>
      <c r="D21" t="s">
        <v>10</v>
      </c>
      <c r="E21" t="s">
        <v>11</v>
      </c>
      <c r="F21" t="s">
        <v>15</v>
      </c>
      <c r="G21">
        <v>3</v>
      </c>
      <c r="H21" s="12">
        <v>0</v>
      </c>
      <c r="I21" s="12">
        <v>0</v>
      </c>
      <c r="J21" s="12">
        <v>0</v>
      </c>
      <c r="K21" s="12">
        <v>0</v>
      </c>
      <c r="L21" s="12">
        <v>0</v>
      </c>
      <c r="M21" s="12">
        <v>0</v>
      </c>
      <c r="N21" s="12">
        <v>0</v>
      </c>
      <c r="O21" s="12">
        <v>0</v>
      </c>
      <c r="P21" s="12">
        <v>1</v>
      </c>
      <c r="Q21" s="12">
        <v>0</v>
      </c>
      <c r="R21" s="12">
        <v>0</v>
      </c>
    </row>
    <row r="22" spans="1:19" x14ac:dyDescent="0.25">
      <c r="A22" s="13">
        <v>45841.379178240742</v>
      </c>
      <c r="B22" t="s">
        <v>352</v>
      </c>
      <c r="C22" t="s">
        <v>360</v>
      </c>
      <c r="D22" t="s">
        <v>10</v>
      </c>
      <c r="E22" t="s">
        <v>11</v>
      </c>
      <c r="F22" t="s">
        <v>14</v>
      </c>
      <c r="G22">
        <v>0.5</v>
      </c>
      <c r="H22" s="12">
        <v>0</v>
      </c>
      <c r="I22" s="12">
        <v>0</v>
      </c>
      <c r="J22" s="12">
        <v>0</v>
      </c>
      <c r="K22" s="12">
        <v>0</v>
      </c>
      <c r="L22" s="12">
        <v>0</v>
      </c>
      <c r="M22" s="12">
        <v>0</v>
      </c>
      <c r="N22" s="12">
        <v>0</v>
      </c>
      <c r="O22" s="12">
        <v>0</v>
      </c>
      <c r="P22" s="12">
        <v>0</v>
      </c>
      <c r="Q22" s="12">
        <v>1</v>
      </c>
      <c r="R22" s="12">
        <v>0</v>
      </c>
    </row>
    <row r="23" spans="1:19" x14ac:dyDescent="0.25">
      <c r="A23" s="13">
        <v>45841.547372685185</v>
      </c>
      <c r="B23" t="s">
        <v>351</v>
      </c>
      <c r="C23" t="s">
        <v>360</v>
      </c>
      <c r="D23" t="s">
        <v>10</v>
      </c>
      <c r="E23" t="s">
        <v>11</v>
      </c>
      <c r="F23" t="s">
        <v>18</v>
      </c>
      <c r="G23">
        <v>20</v>
      </c>
      <c r="H23" s="12">
        <v>0</v>
      </c>
      <c r="I23" s="12">
        <v>1</v>
      </c>
      <c r="J23" s="12">
        <v>1</v>
      </c>
      <c r="K23" s="12">
        <v>0</v>
      </c>
      <c r="L23" s="12">
        <v>1</v>
      </c>
      <c r="M23" s="12">
        <v>0</v>
      </c>
      <c r="N23" s="12">
        <v>0</v>
      </c>
      <c r="O23" s="12">
        <v>0</v>
      </c>
      <c r="P23" s="12">
        <v>0</v>
      </c>
      <c r="Q23" s="12">
        <v>0</v>
      </c>
      <c r="R23" s="12">
        <v>0</v>
      </c>
    </row>
    <row r="24" spans="1:19" x14ac:dyDescent="0.25">
      <c r="A24" s="13">
        <v>45841.613680555558</v>
      </c>
      <c r="B24" t="s">
        <v>348</v>
      </c>
      <c r="C24" t="s">
        <v>360</v>
      </c>
      <c r="D24" t="s">
        <v>20</v>
      </c>
      <c r="E24" t="s">
        <v>11</v>
      </c>
      <c r="F24" t="s">
        <v>12</v>
      </c>
      <c r="G24">
        <v>10.5</v>
      </c>
      <c r="H24" s="12">
        <v>0</v>
      </c>
      <c r="I24" s="12">
        <v>1</v>
      </c>
      <c r="J24" s="12">
        <v>1</v>
      </c>
      <c r="K24" s="12">
        <v>0</v>
      </c>
      <c r="L24" s="12">
        <v>0</v>
      </c>
      <c r="M24" s="12">
        <v>0</v>
      </c>
      <c r="N24" s="12">
        <v>0</v>
      </c>
      <c r="O24" s="12">
        <v>0</v>
      </c>
      <c r="P24" s="12">
        <v>0</v>
      </c>
      <c r="Q24" s="12">
        <v>0</v>
      </c>
      <c r="R24" s="12">
        <v>1</v>
      </c>
      <c r="S24" t="s">
        <v>21</v>
      </c>
    </row>
    <row r="25" spans="1:19" x14ac:dyDescent="0.25">
      <c r="A25" s="13">
        <v>45841.686585648145</v>
      </c>
      <c r="B25" t="s">
        <v>353</v>
      </c>
      <c r="C25" t="s">
        <v>360</v>
      </c>
      <c r="D25" t="s">
        <v>10</v>
      </c>
      <c r="E25" t="s">
        <v>17</v>
      </c>
      <c r="F25" t="s">
        <v>15</v>
      </c>
      <c r="G25">
        <v>3</v>
      </c>
      <c r="H25" s="12">
        <v>0</v>
      </c>
      <c r="I25" s="12">
        <v>0</v>
      </c>
      <c r="J25" s="12">
        <v>0</v>
      </c>
      <c r="K25" s="12">
        <v>0</v>
      </c>
      <c r="L25" s="12">
        <v>0</v>
      </c>
      <c r="M25" s="12">
        <v>0</v>
      </c>
      <c r="N25" s="12">
        <v>1</v>
      </c>
      <c r="O25" s="12">
        <v>0</v>
      </c>
      <c r="P25" s="12">
        <v>0</v>
      </c>
      <c r="Q25" s="12">
        <v>0</v>
      </c>
      <c r="R25" s="12">
        <v>0</v>
      </c>
    </row>
    <row r="26" spans="1:19" x14ac:dyDescent="0.25">
      <c r="A26" s="13">
        <v>45841.686828703707</v>
      </c>
      <c r="B26" t="s">
        <v>353</v>
      </c>
      <c r="C26" t="s">
        <v>360</v>
      </c>
      <c r="D26" t="s">
        <v>10</v>
      </c>
      <c r="E26" t="s">
        <v>11</v>
      </c>
      <c r="F26" t="s">
        <v>15</v>
      </c>
      <c r="G26">
        <v>3</v>
      </c>
      <c r="H26" s="12">
        <v>0</v>
      </c>
      <c r="I26" s="12">
        <v>0</v>
      </c>
      <c r="J26" s="12">
        <v>0</v>
      </c>
      <c r="K26" s="12">
        <v>0</v>
      </c>
      <c r="L26" s="12">
        <v>0</v>
      </c>
      <c r="M26" s="12">
        <v>0</v>
      </c>
      <c r="N26" s="12">
        <v>0</v>
      </c>
      <c r="O26" s="12">
        <v>1</v>
      </c>
      <c r="P26" s="12">
        <v>0</v>
      </c>
      <c r="Q26" s="12">
        <v>0</v>
      </c>
      <c r="R26" s="12">
        <v>0</v>
      </c>
    </row>
    <row r="27" spans="1:19" x14ac:dyDescent="0.25">
      <c r="A27" s="13">
        <v>45842.406180555554</v>
      </c>
      <c r="B27" t="s">
        <v>352</v>
      </c>
      <c r="C27" t="s">
        <v>361</v>
      </c>
      <c r="D27" t="s">
        <v>10</v>
      </c>
      <c r="E27" t="s">
        <v>11</v>
      </c>
      <c r="F27" t="s">
        <v>12</v>
      </c>
      <c r="G27">
        <v>10.5</v>
      </c>
      <c r="H27" s="12">
        <v>0</v>
      </c>
      <c r="I27" s="12">
        <v>0</v>
      </c>
      <c r="J27" s="12">
        <v>0</v>
      </c>
      <c r="K27" s="12">
        <v>0</v>
      </c>
      <c r="L27" s="12">
        <v>1</v>
      </c>
      <c r="M27" s="12">
        <v>0</v>
      </c>
      <c r="N27" s="12">
        <v>0</v>
      </c>
      <c r="O27" s="12">
        <v>0</v>
      </c>
      <c r="P27" s="12">
        <v>0</v>
      </c>
      <c r="Q27" s="12">
        <v>0</v>
      </c>
      <c r="R27" s="12">
        <v>0</v>
      </c>
    </row>
    <row r="28" spans="1:19" x14ac:dyDescent="0.25">
      <c r="A28" s="13">
        <v>45842.409328703703</v>
      </c>
      <c r="B28" t="s">
        <v>352</v>
      </c>
      <c r="C28" t="s">
        <v>361</v>
      </c>
      <c r="D28" t="s">
        <v>20</v>
      </c>
      <c r="E28" t="s">
        <v>11</v>
      </c>
      <c r="F28" t="s">
        <v>12</v>
      </c>
      <c r="G28">
        <v>10.5</v>
      </c>
      <c r="H28" s="12">
        <v>0</v>
      </c>
      <c r="I28" s="12">
        <v>0</v>
      </c>
      <c r="J28" s="12">
        <v>0</v>
      </c>
      <c r="K28" s="12">
        <v>0</v>
      </c>
      <c r="L28" s="12">
        <v>0</v>
      </c>
      <c r="M28" s="12">
        <v>0</v>
      </c>
      <c r="N28" s="12">
        <v>0</v>
      </c>
      <c r="O28" s="12">
        <v>0</v>
      </c>
      <c r="P28" s="12">
        <v>0</v>
      </c>
      <c r="Q28" s="12">
        <v>1</v>
      </c>
      <c r="R28" s="12">
        <v>0</v>
      </c>
    </row>
    <row r="29" spans="1:19" x14ac:dyDescent="0.25">
      <c r="A29" s="13">
        <v>45842.416412037041</v>
      </c>
      <c r="B29" t="s">
        <v>352</v>
      </c>
      <c r="C29" t="s">
        <v>361</v>
      </c>
      <c r="D29" t="s">
        <v>10</v>
      </c>
      <c r="E29" t="s">
        <v>11</v>
      </c>
      <c r="F29" t="s">
        <v>15</v>
      </c>
      <c r="G29">
        <v>3</v>
      </c>
      <c r="H29" s="12">
        <v>0</v>
      </c>
      <c r="I29" s="12">
        <v>0</v>
      </c>
      <c r="J29" s="12">
        <v>0</v>
      </c>
      <c r="K29" s="12">
        <v>0</v>
      </c>
      <c r="L29" s="12">
        <v>0</v>
      </c>
      <c r="M29" s="12">
        <v>0</v>
      </c>
      <c r="N29" s="12">
        <v>0</v>
      </c>
      <c r="O29" s="12">
        <v>0</v>
      </c>
      <c r="P29" s="12">
        <v>1</v>
      </c>
      <c r="Q29" s="12">
        <v>0</v>
      </c>
      <c r="R29" s="12">
        <v>0</v>
      </c>
    </row>
    <row r="30" spans="1:19" x14ac:dyDescent="0.25">
      <c r="A30" s="13">
        <v>45842.425821759258</v>
      </c>
      <c r="B30" t="s">
        <v>347</v>
      </c>
      <c r="C30" t="s">
        <v>361</v>
      </c>
      <c r="D30" t="s">
        <v>10</v>
      </c>
      <c r="E30" t="s">
        <v>11</v>
      </c>
      <c r="F30" t="s">
        <v>15</v>
      </c>
      <c r="G30">
        <v>3</v>
      </c>
      <c r="H30" s="12">
        <v>0</v>
      </c>
      <c r="I30" s="12">
        <v>0</v>
      </c>
      <c r="J30" s="12">
        <v>0</v>
      </c>
      <c r="K30" s="12">
        <v>0</v>
      </c>
      <c r="L30" s="12">
        <v>0</v>
      </c>
      <c r="M30" s="12">
        <v>0</v>
      </c>
      <c r="N30" s="12">
        <v>0</v>
      </c>
      <c r="O30" s="12">
        <v>1</v>
      </c>
      <c r="P30" s="12">
        <v>0</v>
      </c>
      <c r="Q30" s="12">
        <v>0</v>
      </c>
      <c r="R30" s="12">
        <v>0</v>
      </c>
    </row>
    <row r="31" spans="1:19" x14ac:dyDescent="0.25">
      <c r="A31" s="13">
        <v>45842.425995370373</v>
      </c>
      <c r="B31" t="s">
        <v>347</v>
      </c>
      <c r="C31" t="s">
        <v>361</v>
      </c>
      <c r="D31" t="s">
        <v>10</v>
      </c>
      <c r="E31" t="s">
        <v>11</v>
      </c>
      <c r="F31" t="s">
        <v>14</v>
      </c>
      <c r="G31">
        <v>0.5</v>
      </c>
      <c r="H31" s="12">
        <v>0</v>
      </c>
      <c r="I31" s="12">
        <v>0</v>
      </c>
      <c r="J31" s="12">
        <v>0</v>
      </c>
      <c r="K31" s="12">
        <v>0</v>
      </c>
      <c r="L31" s="12">
        <v>0</v>
      </c>
      <c r="M31" s="12">
        <v>0</v>
      </c>
      <c r="N31" s="12">
        <v>0</v>
      </c>
      <c r="O31" s="12">
        <v>0</v>
      </c>
      <c r="P31" s="12">
        <v>0</v>
      </c>
      <c r="Q31" s="12">
        <v>0</v>
      </c>
      <c r="R31" s="12">
        <v>1</v>
      </c>
    </row>
    <row r="32" spans="1:19" x14ac:dyDescent="0.25">
      <c r="A32" s="13">
        <v>45842.466469907406</v>
      </c>
      <c r="B32" t="s">
        <v>354</v>
      </c>
      <c r="C32" t="s">
        <v>361</v>
      </c>
      <c r="D32" t="s">
        <v>10</v>
      </c>
      <c r="E32" t="s">
        <v>11</v>
      </c>
      <c r="F32" t="s">
        <v>12</v>
      </c>
      <c r="G32">
        <v>10.5</v>
      </c>
      <c r="H32" s="12">
        <v>0</v>
      </c>
      <c r="I32" s="12">
        <v>0</v>
      </c>
      <c r="J32" s="12">
        <v>0</v>
      </c>
      <c r="K32" s="12">
        <v>0</v>
      </c>
      <c r="L32" s="12">
        <v>1</v>
      </c>
      <c r="M32" s="12">
        <v>0</v>
      </c>
      <c r="N32" s="12">
        <v>0</v>
      </c>
      <c r="O32" s="12">
        <v>0</v>
      </c>
      <c r="P32" s="12">
        <v>0</v>
      </c>
      <c r="Q32" s="12">
        <v>0</v>
      </c>
      <c r="R32" s="12">
        <v>0</v>
      </c>
    </row>
    <row r="33" spans="1:19" x14ac:dyDescent="0.25">
      <c r="A33" s="13">
        <v>45842.467048611114</v>
      </c>
      <c r="B33" t="s">
        <v>354</v>
      </c>
      <c r="C33" t="s">
        <v>361</v>
      </c>
      <c r="D33" t="s">
        <v>10</v>
      </c>
      <c r="E33" t="s">
        <v>11</v>
      </c>
      <c r="F33" t="s">
        <v>12</v>
      </c>
      <c r="G33">
        <v>10.5</v>
      </c>
      <c r="H33" s="12">
        <v>0</v>
      </c>
      <c r="I33" s="12">
        <v>0</v>
      </c>
      <c r="J33" s="12">
        <v>0</v>
      </c>
      <c r="K33" s="12">
        <v>0</v>
      </c>
      <c r="L33" s="12">
        <v>1</v>
      </c>
      <c r="M33" s="12">
        <v>0</v>
      </c>
      <c r="N33" s="12">
        <v>0</v>
      </c>
      <c r="O33" s="12">
        <v>0</v>
      </c>
      <c r="P33" s="12">
        <v>0</v>
      </c>
      <c r="Q33" s="12">
        <v>0</v>
      </c>
      <c r="R33" s="12">
        <v>0</v>
      </c>
    </row>
    <row r="34" spans="1:19" x14ac:dyDescent="0.25">
      <c r="A34" s="13">
        <v>45842.467141203706</v>
      </c>
      <c r="B34" t="s">
        <v>354</v>
      </c>
      <c r="C34" t="s">
        <v>361</v>
      </c>
      <c r="D34" t="s">
        <v>10</v>
      </c>
      <c r="E34" t="s">
        <v>11</v>
      </c>
      <c r="F34" t="s">
        <v>15</v>
      </c>
      <c r="G34">
        <v>3</v>
      </c>
      <c r="H34" s="12">
        <v>0</v>
      </c>
      <c r="I34" s="12">
        <v>0</v>
      </c>
      <c r="J34" s="12">
        <v>0</v>
      </c>
      <c r="K34" s="12">
        <v>0</v>
      </c>
      <c r="L34" s="12">
        <v>1</v>
      </c>
      <c r="M34" s="12">
        <v>0</v>
      </c>
      <c r="N34" s="12">
        <v>0</v>
      </c>
      <c r="O34" s="12">
        <v>0</v>
      </c>
      <c r="P34" s="12">
        <v>0</v>
      </c>
      <c r="Q34" s="12">
        <v>0</v>
      </c>
      <c r="R34" s="12">
        <v>0</v>
      </c>
    </row>
    <row r="35" spans="1:19" x14ac:dyDescent="0.25">
      <c r="A35" s="13">
        <v>45842.467222222222</v>
      </c>
      <c r="B35" t="s">
        <v>354</v>
      </c>
      <c r="C35" t="s">
        <v>361</v>
      </c>
      <c r="D35" t="s">
        <v>10</v>
      </c>
      <c r="E35" t="s">
        <v>11</v>
      </c>
      <c r="F35" t="s">
        <v>14</v>
      </c>
      <c r="G35">
        <v>0.5</v>
      </c>
      <c r="H35" s="12">
        <v>0</v>
      </c>
      <c r="I35" s="12">
        <v>0</v>
      </c>
      <c r="J35" s="12">
        <v>0</v>
      </c>
      <c r="K35" s="12">
        <v>0</v>
      </c>
      <c r="L35" s="12">
        <v>0</v>
      </c>
      <c r="M35" s="12">
        <v>0</v>
      </c>
      <c r="N35" s="12">
        <v>0</v>
      </c>
      <c r="O35" s="12">
        <v>1</v>
      </c>
      <c r="P35" s="12">
        <v>0</v>
      </c>
      <c r="Q35" s="12">
        <v>0</v>
      </c>
      <c r="R35" s="12">
        <v>0</v>
      </c>
    </row>
    <row r="36" spans="1:19" x14ac:dyDescent="0.25">
      <c r="A36" s="13">
        <v>45842.50099537037</v>
      </c>
      <c r="B36" t="s">
        <v>350</v>
      </c>
      <c r="C36" t="s">
        <v>361</v>
      </c>
      <c r="D36" t="s">
        <v>10</v>
      </c>
      <c r="E36" t="s">
        <v>11</v>
      </c>
      <c r="F36" t="s">
        <v>18</v>
      </c>
      <c r="G36">
        <v>20</v>
      </c>
      <c r="H36" s="12">
        <v>0</v>
      </c>
      <c r="I36" s="12">
        <v>0</v>
      </c>
      <c r="J36" s="12">
        <v>1</v>
      </c>
      <c r="K36" s="12">
        <v>0</v>
      </c>
      <c r="L36" s="12">
        <v>0</v>
      </c>
      <c r="M36" s="12">
        <v>0</v>
      </c>
      <c r="N36" s="12">
        <v>0</v>
      </c>
      <c r="O36" s="12">
        <v>0</v>
      </c>
      <c r="P36" s="12">
        <v>0</v>
      </c>
      <c r="Q36" s="12">
        <v>0</v>
      </c>
      <c r="R36" s="12">
        <v>0</v>
      </c>
    </row>
    <row r="37" spans="1:19" x14ac:dyDescent="0.25">
      <c r="A37" s="13">
        <v>45842.501469907409</v>
      </c>
      <c r="B37" t="s">
        <v>350</v>
      </c>
      <c r="C37" t="s">
        <v>361</v>
      </c>
      <c r="D37" t="s">
        <v>10</v>
      </c>
      <c r="E37" t="s">
        <v>11</v>
      </c>
      <c r="F37" t="s">
        <v>18</v>
      </c>
      <c r="G37">
        <v>20</v>
      </c>
      <c r="H37" s="12">
        <v>0</v>
      </c>
      <c r="I37" s="12">
        <v>1</v>
      </c>
      <c r="J37" s="12">
        <v>0</v>
      </c>
      <c r="K37" s="12">
        <v>0</v>
      </c>
      <c r="L37" s="12">
        <v>0</v>
      </c>
      <c r="M37" s="12">
        <v>1</v>
      </c>
      <c r="N37" s="12">
        <v>0</v>
      </c>
      <c r="O37" s="12">
        <v>0</v>
      </c>
      <c r="P37" s="12">
        <v>1</v>
      </c>
      <c r="Q37" s="12">
        <v>0</v>
      </c>
      <c r="R37" s="12">
        <v>0</v>
      </c>
    </row>
    <row r="38" spans="1:19" x14ac:dyDescent="0.25">
      <c r="A38" s="13">
        <v>45842.580081018517</v>
      </c>
      <c r="B38" t="s">
        <v>351</v>
      </c>
      <c r="C38" t="s">
        <v>361</v>
      </c>
      <c r="D38" t="s">
        <v>10</v>
      </c>
      <c r="E38" t="s">
        <v>11</v>
      </c>
      <c r="F38" t="s">
        <v>15</v>
      </c>
      <c r="G38">
        <v>3</v>
      </c>
      <c r="H38" s="12">
        <v>1</v>
      </c>
      <c r="I38" s="12">
        <v>0</v>
      </c>
      <c r="J38" s="12">
        <v>1</v>
      </c>
      <c r="K38" s="12">
        <v>0</v>
      </c>
      <c r="L38" s="12">
        <v>0</v>
      </c>
      <c r="M38" s="12">
        <v>0</v>
      </c>
      <c r="N38" s="12">
        <v>0</v>
      </c>
      <c r="O38" s="12">
        <v>0</v>
      </c>
      <c r="P38" s="12">
        <v>0</v>
      </c>
      <c r="Q38" s="12">
        <v>0</v>
      </c>
      <c r="R38" s="12">
        <v>0</v>
      </c>
    </row>
    <row r="39" spans="1:19" x14ac:dyDescent="0.25">
      <c r="A39" s="13">
        <v>45842.656354166669</v>
      </c>
      <c r="B39" t="s">
        <v>349</v>
      </c>
      <c r="C39" t="s">
        <v>361</v>
      </c>
      <c r="D39" t="s">
        <v>10</v>
      </c>
      <c r="E39" t="s">
        <v>11</v>
      </c>
      <c r="F39" t="s">
        <v>15</v>
      </c>
      <c r="G39">
        <v>3</v>
      </c>
      <c r="H39" s="12">
        <v>1</v>
      </c>
      <c r="I39" s="12">
        <v>0</v>
      </c>
      <c r="J39" s="12">
        <v>0</v>
      </c>
      <c r="K39" s="12">
        <v>0</v>
      </c>
      <c r="L39" s="12">
        <v>0</v>
      </c>
      <c r="M39" s="12">
        <v>0</v>
      </c>
      <c r="N39" s="12">
        <v>0</v>
      </c>
      <c r="O39" s="12">
        <v>0</v>
      </c>
      <c r="P39" s="12">
        <v>0</v>
      </c>
      <c r="Q39" s="12">
        <v>0</v>
      </c>
      <c r="R39" s="12">
        <v>0</v>
      </c>
    </row>
    <row r="40" spans="1:19" x14ac:dyDescent="0.25">
      <c r="A40" s="13">
        <v>45842.665902777779</v>
      </c>
      <c r="B40" t="s">
        <v>349</v>
      </c>
      <c r="C40" t="s">
        <v>361</v>
      </c>
      <c r="D40" t="s">
        <v>10</v>
      </c>
      <c r="E40" t="s">
        <v>11</v>
      </c>
      <c r="F40" t="s">
        <v>15</v>
      </c>
      <c r="G40">
        <v>3</v>
      </c>
      <c r="H40" s="12">
        <v>0</v>
      </c>
      <c r="I40" s="12">
        <v>1</v>
      </c>
      <c r="J40" s="12">
        <v>1</v>
      </c>
      <c r="K40" s="12">
        <v>1</v>
      </c>
      <c r="L40" s="12">
        <v>0</v>
      </c>
      <c r="M40" s="12">
        <v>0</v>
      </c>
      <c r="N40" s="12">
        <v>0</v>
      </c>
      <c r="O40" s="12">
        <v>0</v>
      </c>
      <c r="P40" s="12">
        <v>0</v>
      </c>
      <c r="Q40" s="12">
        <v>0</v>
      </c>
      <c r="R40" s="12">
        <v>0</v>
      </c>
      <c r="S40" t="s">
        <v>22</v>
      </c>
    </row>
    <row r="41" spans="1:19" x14ac:dyDescent="0.25">
      <c r="A41" s="13">
        <v>45843.444108796299</v>
      </c>
      <c r="B41" t="s">
        <v>347</v>
      </c>
      <c r="C41" t="s">
        <v>362</v>
      </c>
      <c r="D41" t="s">
        <v>10</v>
      </c>
      <c r="E41" t="s">
        <v>11</v>
      </c>
      <c r="F41" t="s">
        <v>15</v>
      </c>
      <c r="G41">
        <v>3</v>
      </c>
      <c r="H41" s="12">
        <v>0</v>
      </c>
      <c r="I41" s="12">
        <v>0</v>
      </c>
      <c r="J41" s="12">
        <v>0</v>
      </c>
      <c r="K41" s="12">
        <v>0</v>
      </c>
      <c r="L41" s="12">
        <v>0</v>
      </c>
      <c r="M41" s="12">
        <v>0</v>
      </c>
      <c r="N41" s="12">
        <v>0</v>
      </c>
      <c r="O41" s="12">
        <v>1</v>
      </c>
      <c r="P41" s="12">
        <v>0</v>
      </c>
      <c r="Q41" s="12">
        <v>0</v>
      </c>
      <c r="R41" s="12">
        <v>0</v>
      </c>
    </row>
    <row r="42" spans="1:19" x14ac:dyDescent="0.25">
      <c r="A42" s="13">
        <v>45843.444189814814</v>
      </c>
      <c r="B42" t="s">
        <v>347</v>
      </c>
      <c r="C42" t="s">
        <v>362</v>
      </c>
      <c r="D42" t="s">
        <v>10</v>
      </c>
      <c r="E42" t="s">
        <v>11</v>
      </c>
      <c r="F42" t="s">
        <v>14</v>
      </c>
      <c r="G42">
        <v>0.5</v>
      </c>
      <c r="H42" s="12">
        <v>0</v>
      </c>
      <c r="I42" s="12">
        <v>0</v>
      </c>
      <c r="J42" s="12">
        <v>0</v>
      </c>
      <c r="K42" s="12">
        <v>0</v>
      </c>
      <c r="L42" s="12">
        <v>0</v>
      </c>
      <c r="M42" s="12">
        <v>0</v>
      </c>
      <c r="N42" s="12">
        <v>0</v>
      </c>
      <c r="O42" s="12">
        <v>0</v>
      </c>
      <c r="P42" s="12">
        <v>0</v>
      </c>
      <c r="Q42" s="12">
        <v>1</v>
      </c>
      <c r="R42" s="12">
        <v>0</v>
      </c>
      <c r="S42" t="s">
        <v>23</v>
      </c>
    </row>
    <row r="43" spans="1:19" x14ac:dyDescent="0.25">
      <c r="A43" s="13">
        <v>45843.473877314813</v>
      </c>
      <c r="B43" t="s">
        <v>354</v>
      </c>
      <c r="C43" t="s">
        <v>362</v>
      </c>
      <c r="D43" t="s">
        <v>10</v>
      </c>
      <c r="E43" t="s">
        <v>11</v>
      </c>
      <c r="F43" t="s">
        <v>14</v>
      </c>
      <c r="G43">
        <v>0.5</v>
      </c>
      <c r="H43" s="12">
        <v>0</v>
      </c>
      <c r="I43" s="12">
        <v>0</v>
      </c>
      <c r="J43" s="12">
        <v>0</v>
      </c>
      <c r="K43" s="12">
        <v>0</v>
      </c>
      <c r="L43" s="12">
        <v>0</v>
      </c>
      <c r="M43" s="12">
        <v>0</v>
      </c>
      <c r="N43" s="12">
        <v>0</v>
      </c>
      <c r="O43" s="12">
        <v>0</v>
      </c>
      <c r="P43" s="12">
        <v>0</v>
      </c>
      <c r="Q43" s="12">
        <v>1</v>
      </c>
      <c r="R43" s="12">
        <v>0</v>
      </c>
    </row>
    <row r="44" spans="1:19" x14ac:dyDescent="0.25">
      <c r="A44" s="13">
        <v>45843.477094907408</v>
      </c>
      <c r="B44" t="s">
        <v>354</v>
      </c>
      <c r="C44" t="s">
        <v>362</v>
      </c>
      <c r="D44" t="s">
        <v>10</v>
      </c>
      <c r="E44" t="s">
        <v>11</v>
      </c>
      <c r="F44" t="s">
        <v>14</v>
      </c>
      <c r="G44">
        <v>0.5</v>
      </c>
      <c r="H44" s="12">
        <v>0</v>
      </c>
      <c r="I44" s="12">
        <v>0</v>
      </c>
      <c r="J44" s="12">
        <v>0</v>
      </c>
      <c r="K44" s="12">
        <v>0</v>
      </c>
      <c r="L44" s="12">
        <v>0</v>
      </c>
      <c r="M44" s="12">
        <v>0</v>
      </c>
      <c r="N44" s="12">
        <v>0</v>
      </c>
      <c r="O44" s="12">
        <v>0</v>
      </c>
      <c r="P44" s="12">
        <v>0</v>
      </c>
      <c r="Q44" s="12">
        <v>1</v>
      </c>
      <c r="R44" s="12">
        <v>0</v>
      </c>
    </row>
    <row r="45" spans="1:19" x14ac:dyDescent="0.25">
      <c r="A45" s="13">
        <v>45843.492291666669</v>
      </c>
      <c r="B45" t="s">
        <v>354</v>
      </c>
      <c r="C45" t="s">
        <v>362</v>
      </c>
      <c r="D45" t="s">
        <v>10</v>
      </c>
      <c r="E45" t="s">
        <v>11</v>
      </c>
      <c r="F45" t="s">
        <v>14</v>
      </c>
      <c r="G45">
        <v>0.5</v>
      </c>
      <c r="H45" s="12">
        <v>0</v>
      </c>
      <c r="I45" s="12">
        <v>0</v>
      </c>
      <c r="J45" s="12">
        <v>0</v>
      </c>
      <c r="K45" s="12">
        <v>0</v>
      </c>
      <c r="L45" s="12">
        <v>0</v>
      </c>
      <c r="M45" s="12">
        <v>0</v>
      </c>
      <c r="N45" s="12">
        <v>0</v>
      </c>
      <c r="O45" s="12">
        <v>0</v>
      </c>
      <c r="P45" s="12">
        <v>1</v>
      </c>
      <c r="Q45" s="12">
        <v>0</v>
      </c>
      <c r="R45" s="12">
        <v>0</v>
      </c>
    </row>
    <row r="46" spans="1:19" x14ac:dyDescent="0.25">
      <c r="A46" s="13">
        <v>45843.500486111108</v>
      </c>
      <c r="B46" t="s">
        <v>350</v>
      </c>
      <c r="C46" t="s">
        <v>362</v>
      </c>
      <c r="D46" t="s">
        <v>10</v>
      </c>
      <c r="E46" t="s">
        <v>11</v>
      </c>
      <c r="F46" t="s">
        <v>12</v>
      </c>
      <c r="G46">
        <v>10.5</v>
      </c>
      <c r="H46" s="12">
        <v>0</v>
      </c>
      <c r="I46" s="12">
        <v>0</v>
      </c>
      <c r="J46" s="12">
        <v>0</v>
      </c>
      <c r="K46" s="12">
        <v>0</v>
      </c>
      <c r="L46" s="12">
        <v>1</v>
      </c>
      <c r="M46" s="12">
        <v>0</v>
      </c>
      <c r="N46" s="12">
        <v>0</v>
      </c>
      <c r="O46" s="12">
        <v>0</v>
      </c>
      <c r="P46" s="12">
        <v>0</v>
      </c>
      <c r="Q46" s="12">
        <v>0</v>
      </c>
      <c r="R46" s="12">
        <v>0</v>
      </c>
    </row>
    <row r="47" spans="1:19" x14ac:dyDescent="0.25">
      <c r="A47" s="13">
        <v>45846.562685185185</v>
      </c>
      <c r="B47" t="s">
        <v>351</v>
      </c>
      <c r="C47" t="s">
        <v>358</v>
      </c>
      <c r="D47" t="s">
        <v>10</v>
      </c>
      <c r="E47" t="s">
        <v>11</v>
      </c>
      <c r="F47" t="s">
        <v>15</v>
      </c>
      <c r="G47">
        <v>3</v>
      </c>
      <c r="H47" s="12">
        <v>1</v>
      </c>
      <c r="I47" s="12">
        <v>0</v>
      </c>
      <c r="J47" s="12">
        <v>0</v>
      </c>
      <c r="K47" s="12">
        <v>1</v>
      </c>
      <c r="L47" s="12">
        <v>0</v>
      </c>
      <c r="M47" s="12">
        <v>0</v>
      </c>
      <c r="N47" s="12">
        <v>0</v>
      </c>
      <c r="O47" s="12">
        <v>0</v>
      </c>
      <c r="P47" s="12">
        <v>0</v>
      </c>
      <c r="Q47" s="12">
        <v>0</v>
      </c>
      <c r="R47" s="12">
        <v>0</v>
      </c>
      <c r="S47" t="s">
        <v>24</v>
      </c>
    </row>
    <row r="48" spans="1:19" x14ac:dyDescent="0.25">
      <c r="A48" s="13">
        <v>45846.563252314816</v>
      </c>
      <c r="B48" t="s">
        <v>351</v>
      </c>
      <c r="C48" t="s">
        <v>358</v>
      </c>
      <c r="D48" t="s">
        <v>10</v>
      </c>
      <c r="E48" t="s">
        <v>11</v>
      </c>
      <c r="F48" t="s">
        <v>14</v>
      </c>
      <c r="G48">
        <v>0.5</v>
      </c>
      <c r="H48" s="12">
        <v>0</v>
      </c>
      <c r="I48" s="12">
        <v>0</v>
      </c>
      <c r="J48" s="12">
        <v>0</v>
      </c>
      <c r="K48" s="12">
        <v>0</v>
      </c>
      <c r="L48" s="12">
        <v>0</v>
      </c>
      <c r="M48" s="12">
        <v>0</v>
      </c>
      <c r="N48" s="12">
        <v>1</v>
      </c>
      <c r="O48" s="12">
        <v>0</v>
      </c>
      <c r="P48" s="12">
        <v>0</v>
      </c>
      <c r="Q48" s="12">
        <v>0</v>
      </c>
      <c r="R48" s="12">
        <v>0</v>
      </c>
    </row>
    <row r="49" spans="1:19" x14ac:dyDescent="0.25">
      <c r="A49" s="13">
        <v>45846.574444444443</v>
      </c>
      <c r="B49" t="s">
        <v>351</v>
      </c>
      <c r="C49" t="s">
        <v>358</v>
      </c>
      <c r="D49" t="s">
        <v>10</v>
      </c>
      <c r="E49" t="s">
        <v>11</v>
      </c>
      <c r="F49" t="s">
        <v>12</v>
      </c>
      <c r="G49">
        <v>10.5</v>
      </c>
      <c r="H49" s="12">
        <v>0</v>
      </c>
      <c r="I49" s="12">
        <v>0</v>
      </c>
      <c r="J49" s="12">
        <v>0</v>
      </c>
      <c r="K49" s="12">
        <v>0</v>
      </c>
      <c r="L49" s="12">
        <v>0</v>
      </c>
      <c r="M49" s="12">
        <v>0</v>
      </c>
      <c r="N49" s="12">
        <v>0</v>
      </c>
      <c r="O49" s="12">
        <v>1</v>
      </c>
      <c r="P49" s="12">
        <v>0</v>
      </c>
      <c r="Q49" s="12">
        <v>0</v>
      </c>
      <c r="R49" s="12">
        <v>0</v>
      </c>
    </row>
    <row r="50" spans="1:19" x14ac:dyDescent="0.25">
      <c r="A50" s="13">
        <v>45846.574513888889</v>
      </c>
      <c r="B50" t="s">
        <v>351</v>
      </c>
      <c r="C50" t="s">
        <v>358</v>
      </c>
      <c r="D50" t="s">
        <v>10</v>
      </c>
      <c r="E50" t="s">
        <v>11</v>
      </c>
      <c r="F50" t="s">
        <v>15</v>
      </c>
      <c r="G50">
        <v>3</v>
      </c>
      <c r="H50" s="12">
        <v>1</v>
      </c>
      <c r="I50" s="12">
        <v>0</v>
      </c>
      <c r="J50" s="12">
        <v>1</v>
      </c>
      <c r="K50" s="12">
        <v>0</v>
      </c>
      <c r="L50" s="12">
        <v>0</v>
      </c>
      <c r="M50" s="12">
        <v>0</v>
      </c>
      <c r="N50" s="12">
        <v>0</v>
      </c>
      <c r="O50" s="12">
        <v>0</v>
      </c>
      <c r="P50" s="12">
        <v>0</v>
      </c>
      <c r="Q50" s="12">
        <v>0</v>
      </c>
      <c r="R50" s="12">
        <v>0</v>
      </c>
    </row>
    <row r="51" spans="1:19" x14ac:dyDescent="0.25">
      <c r="A51" s="13">
        <v>45846.598680555559</v>
      </c>
      <c r="B51" t="s">
        <v>348</v>
      </c>
      <c r="C51" t="s">
        <v>358</v>
      </c>
      <c r="D51" t="s">
        <v>10</v>
      </c>
      <c r="E51" t="s">
        <v>11</v>
      </c>
      <c r="F51" t="s">
        <v>18</v>
      </c>
      <c r="G51">
        <v>20</v>
      </c>
      <c r="H51" s="12">
        <v>1</v>
      </c>
      <c r="I51" s="12">
        <v>0</v>
      </c>
      <c r="J51" s="12">
        <v>1</v>
      </c>
      <c r="K51" s="12">
        <v>0</v>
      </c>
      <c r="L51" s="12">
        <v>0</v>
      </c>
      <c r="M51" s="12">
        <v>0</v>
      </c>
      <c r="N51" s="12">
        <v>0</v>
      </c>
      <c r="O51" s="12">
        <v>0</v>
      </c>
      <c r="P51" s="12">
        <v>0</v>
      </c>
      <c r="Q51" s="12">
        <v>0</v>
      </c>
      <c r="R51" s="12">
        <v>0</v>
      </c>
      <c r="S51" t="s">
        <v>25</v>
      </c>
    </row>
    <row r="52" spans="1:19" x14ac:dyDescent="0.25">
      <c r="A52" s="13">
        <v>45846.609363425923</v>
      </c>
      <c r="B52" t="s">
        <v>348</v>
      </c>
      <c r="C52" t="s">
        <v>358</v>
      </c>
      <c r="D52" t="s">
        <v>10</v>
      </c>
      <c r="E52" t="s">
        <v>17</v>
      </c>
      <c r="F52" t="s">
        <v>14</v>
      </c>
      <c r="G52">
        <v>0.5</v>
      </c>
      <c r="H52" s="12">
        <v>0</v>
      </c>
      <c r="I52" s="12">
        <v>0</v>
      </c>
      <c r="J52" s="12">
        <v>0</v>
      </c>
      <c r="K52" s="12">
        <v>0</v>
      </c>
      <c r="L52" s="12">
        <v>0</v>
      </c>
      <c r="M52" s="12">
        <v>0</v>
      </c>
      <c r="N52" s="12">
        <v>0</v>
      </c>
      <c r="O52" s="12">
        <v>0</v>
      </c>
      <c r="P52" s="12">
        <v>0</v>
      </c>
      <c r="Q52" s="12">
        <v>0</v>
      </c>
      <c r="R52" s="12">
        <v>1</v>
      </c>
      <c r="S52" t="s">
        <v>26</v>
      </c>
    </row>
    <row r="53" spans="1:19" x14ac:dyDescent="0.25">
      <c r="A53" s="13">
        <v>45846.6096875</v>
      </c>
      <c r="B53" t="s">
        <v>348</v>
      </c>
      <c r="C53" t="s">
        <v>358</v>
      </c>
      <c r="D53" t="s">
        <v>10</v>
      </c>
      <c r="E53" t="s">
        <v>11</v>
      </c>
      <c r="F53" t="s">
        <v>12</v>
      </c>
      <c r="G53">
        <v>10.5</v>
      </c>
      <c r="H53" s="12">
        <v>0</v>
      </c>
      <c r="I53" s="12">
        <v>0</v>
      </c>
      <c r="J53" s="12">
        <v>0</v>
      </c>
      <c r="K53" s="12">
        <v>0</v>
      </c>
      <c r="L53" s="12">
        <v>1</v>
      </c>
      <c r="M53" s="12">
        <v>0</v>
      </c>
      <c r="N53" s="12">
        <v>0</v>
      </c>
      <c r="O53" s="12">
        <v>0</v>
      </c>
      <c r="P53" s="12">
        <v>0</v>
      </c>
      <c r="Q53" s="12">
        <v>0</v>
      </c>
      <c r="R53" s="12">
        <v>0</v>
      </c>
    </row>
    <row r="54" spans="1:19" x14ac:dyDescent="0.25">
      <c r="A54" s="13">
        <v>45846.725983796299</v>
      </c>
      <c r="B54" t="s">
        <v>355</v>
      </c>
      <c r="C54" t="s">
        <v>358</v>
      </c>
      <c r="D54" t="s">
        <v>10</v>
      </c>
      <c r="E54" t="s">
        <v>17</v>
      </c>
      <c r="F54" t="s">
        <v>15</v>
      </c>
      <c r="G54">
        <v>3</v>
      </c>
      <c r="H54" s="12">
        <v>0</v>
      </c>
      <c r="I54" s="12">
        <v>0</v>
      </c>
      <c r="J54" s="12">
        <v>0</v>
      </c>
      <c r="K54" s="12">
        <v>0</v>
      </c>
      <c r="L54" s="12">
        <v>0</v>
      </c>
      <c r="M54" s="12">
        <v>0</v>
      </c>
      <c r="N54" s="12">
        <v>0</v>
      </c>
      <c r="O54" s="12">
        <v>1</v>
      </c>
      <c r="P54" s="12">
        <v>0</v>
      </c>
      <c r="Q54" s="12">
        <v>0</v>
      </c>
      <c r="R54" s="12">
        <v>0</v>
      </c>
    </row>
    <row r="55" spans="1:19" x14ac:dyDescent="0.25">
      <c r="A55" s="13">
        <v>45846.726238425923</v>
      </c>
      <c r="B55" t="s">
        <v>355</v>
      </c>
      <c r="C55" t="s">
        <v>358</v>
      </c>
      <c r="D55" t="s">
        <v>10</v>
      </c>
      <c r="E55" t="s">
        <v>11</v>
      </c>
      <c r="F55" t="s">
        <v>14</v>
      </c>
      <c r="G55">
        <v>0.5</v>
      </c>
      <c r="H55" s="12">
        <v>0</v>
      </c>
      <c r="I55" s="12">
        <v>0</v>
      </c>
      <c r="J55" s="12">
        <v>0</v>
      </c>
      <c r="K55" s="12">
        <v>0</v>
      </c>
      <c r="L55" s="12">
        <v>0</v>
      </c>
      <c r="M55" s="12">
        <v>0</v>
      </c>
      <c r="N55" s="12">
        <v>0</v>
      </c>
      <c r="O55" s="12">
        <v>0</v>
      </c>
      <c r="P55" s="12">
        <v>0</v>
      </c>
      <c r="Q55" s="12">
        <v>0</v>
      </c>
      <c r="R55" s="12">
        <v>1</v>
      </c>
    </row>
    <row r="56" spans="1:19" x14ac:dyDescent="0.25">
      <c r="A56" s="13">
        <v>45846.726446759261</v>
      </c>
      <c r="B56" t="s">
        <v>355</v>
      </c>
      <c r="C56" t="s">
        <v>358</v>
      </c>
      <c r="D56" t="s">
        <v>10</v>
      </c>
      <c r="E56" t="s">
        <v>11</v>
      </c>
      <c r="F56" t="s">
        <v>14</v>
      </c>
      <c r="G56">
        <v>0.5</v>
      </c>
      <c r="H56" s="12">
        <v>0</v>
      </c>
      <c r="I56" s="12">
        <v>0</v>
      </c>
      <c r="J56" s="12">
        <v>0</v>
      </c>
      <c r="K56" s="12">
        <v>0</v>
      </c>
      <c r="L56" s="12">
        <v>0</v>
      </c>
      <c r="M56" s="12">
        <v>0</v>
      </c>
      <c r="N56" s="12">
        <v>0</v>
      </c>
      <c r="O56" s="12">
        <v>0</v>
      </c>
      <c r="P56" s="12">
        <v>1</v>
      </c>
      <c r="Q56" s="12">
        <v>0</v>
      </c>
      <c r="R56" s="12">
        <v>0</v>
      </c>
    </row>
    <row r="57" spans="1:19" x14ac:dyDescent="0.25">
      <c r="A57" s="13">
        <v>45847.504884259259</v>
      </c>
      <c r="B57" t="s">
        <v>350</v>
      </c>
      <c r="C57" t="s">
        <v>359</v>
      </c>
      <c r="D57" t="s">
        <v>10</v>
      </c>
      <c r="E57" t="s">
        <v>11</v>
      </c>
      <c r="F57" t="s">
        <v>15</v>
      </c>
      <c r="G57">
        <v>3</v>
      </c>
      <c r="H57" s="12">
        <v>0</v>
      </c>
      <c r="I57" s="12">
        <v>0</v>
      </c>
      <c r="J57" s="12">
        <v>0</v>
      </c>
      <c r="K57" s="12">
        <v>0</v>
      </c>
      <c r="L57" s="12">
        <v>0</v>
      </c>
      <c r="M57" s="12">
        <v>1</v>
      </c>
      <c r="N57" s="12">
        <v>0</v>
      </c>
      <c r="O57" s="12">
        <v>0</v>
      </c>
      <c r="P57" s="12">
        <v>0</v>
      </c>
      <c r="Q57" s="12">
        <v>0</v>
      </c>
      <c r="R57" s="12">
        <v>0</v>
      </c>
    </row>
    <row r="58" spans="1:19" x14ac:dyDescent="0.25">
      <c r="A58" s="13">
        <v>45847.536076388889</v>
      </c>
      <c r="B58" t="s">
        <v>350</v>
      </c>
      <c r="C58" t="s">
        <v>359</v>
      </c>
      <c r="D58" t="s">
        <v>10</v>
      </c>
      <c r="E58" t="s">
        <v>27</v>
      </c>
      <c r="F58" t="s">
        <v>18</v>
      </c>
      <c r="G58">
        <v>20</v>
      </c>
      <c r="H58" s="12">
        <v>0</v>
      </c>
      <c r="I58" s="12">
        <v>0</v>
      </c>
      <c r="J58" s="12">
        <v>0</v>
      </c>
      <c r="K58" s="12">
        <v>0</v>
      </c>
      <c r="L58" s="12">
        <v>0</v>
      </c>
      <c r="M58" s="12">
        <v>0</v>
      </c>
      <c r="N58" s="12">
        <v>0</v>
      </c>
      <c r="O58" s="12">
        <v>0</v>
      </c>
      <c r="P58" s="12">
        <v>1</v>
      </c>
      <c r="Q58" s="12">
        <v>1</v>
      </c>
      <c r="R58" s="12">
        <v>1</v>
      </c>
      <c r="S58" t="s">
        <v>28</v>
      </c>
    </row>
    <row r="59" spans="1:19" x14ac:dyDescent="0.25">
      <c r="A59" s="13">
        <v>45847.536643518521</v>
      </c>
      <c r="B59" t="s">
        <v>350</v>
      </c>
      <c r="C59" t="s">
        <v>359</v>
      </c>
      <c r="D59" t="s">
        <v>10</v>
      </c>
      <c r="E59" t="s">
        <v>17</v>
      </c>
      <c r="F59" t="s">
        <v>12</v>
      </c>
      <c r="G59">
        <v>10.5</v>
      </c>
      <c r="H59" s="12">
        <v>0</v>
      </c>
      <c r="I59" s="12">
        <v>1</v>
      </c>
      <c r="J59" s="12">
        <v>1</v>
      </c>
      <c r="K59" s="12">
        <v>0</v>
      </c>
      <c r="L59" s="12">
        <v>0</v>
      </c>
      <c r="M59" s="12">
        <v>0</v>
      </c>
      <c r="N59" s="12">
        <v>0</v>
      </c>
      <c r="O59" s="12">
        <v>0</v>
      </c>
      <c r="P59" s="12">
        <v>0</v>
      </c>
      <c r="Q59" s="12">
        <v>0</v>
      </c>
      <c r="R59" s="12">
        <v>0</v>
      </c>
      <c r="S59" t="s">
        <v>29</v>
      </c>
    </row>
    <row r="60" spans="1:19" x14ac:dyDescent="0.25">
      <c r="A60" s="13">
        <v>45847.539513888885</v>
      </c>
      <c r="B60" t="s">
        <v>350</v>
      </c>
      <c r="C60" t="s">
        <v>359</v>
      </c>
      <c r="D60" t="s">
        <v>10</v>
      </c>
      <c r="E60" t="s">
        <v>11</v>
      </c>
      <c r="F60" t="s">
        <v>14</v>
      </c>
      <c r="G60">
        <v>0.5</v>
      </c>
      <c r="H60" s="12">
        <v>0</v>
      </c>
      <c r="I60" s="12">
        <v>0</v>
      </c>
      <c r="J60" s="12">
        <v>0</v>
      </c>
      <c r="K60" s="12">
        <v>0</v>
      </c>
      <c r="L60" s="12">
        <v>0</v>
      </c>
      <c r="M60" s="12">
        <v>0</v>
      </c>
      <c r="N60" s="12">
        <v>0</v>
      </c>
      <c r="O60" s="12">
        <v>0</v>
      </c>
      <c r="P60" s="12">
        <v>0</v>
      </c>
      <c r="Q60" s="12">
        <v>0</v>
      </c>
      <c r="R60" s="12">
        <v>1</v>
      </c>
    </row>
    <row r="61" spans="1:19" x14ac:dyDescent="0.25">
      <c r="A61" s="13">
        <v>45847.563287037039</v>
      </c>
      <c r="B61" t="s">
        <v>351</v>
      </c>
      <c r="C61" t="s">
        <v>359</v>
      </c>
      <c r="D61" t="s">
        <v>10</v>
      </c>
      <c r="E61" t="s">
        <v>11</v>
      </c>
      <c r="F61" t="s">
        <v>15</v>
      </c>
      <c r="G61">
        <v>3</v>
      </c>
      <c r="H61" s="12">
        <v>1</v>
      </c>
      <c r="I61" s="12">
        <v>0</v>
      </c>
      <c r="J61" s="12">
        <v>1</v>
      </c>
      <c r="K61" s="12">
        <v>1</v>
      </c>
      <c r="L61" s="12">
        <v>0</v>
      </c>
      <c r="M61" s="12">
        <v>0</v>
      </c>
      <c r="N61" s="12">
        <v>0</v>
      </c>
      <c r="O61" s="12">
        <v>0</v>
      </c>
      <c r="P61" s="12">
        <v>0</v>
      </c>
      <c r="Q61" s="12">
        <v>0</v>
      </c>
      <c r="R61" s="12">
        <v>0</v>
      </c>
    </row>
    <row r="62" spans="1:19" x14ac:dyDescent="0.25">
      <c r="A62" s="13">
        <v>45847.614374999997</v>
      </c>
      <c r="B62" t="s">
        <v>348</v>
      </c>
      <c r="C62" t="s">
        <v>359</v>
      </c>
      <c r="D62" t="s">
        <v>20</v>
      </c>
      <c r="E62" t="s">
        <v>11</v>
      </c>
      <c r="F62" t="s">
        <v>15</v>
      </c>
      <c r="G62">
        <v>3</v>
      </c>
      <c r="H62" s="12">
        <v>0</v>
      </c>
      <c r="I62" s="12">
        <v>0</v>
      </c>
      <c r="J62" s="12">
        <v>0</v>
      </c>
      <c r="K62" s="12">
        <v>0</v>
      </c>
      <c r="L62" s="12">
        <v>0</v>
      </c>
      <c r="M62" s="12">
        <v>0</v>
      </c>
      <c r="N62" s="12">
        <v>0</v>
      </c>
      <c r="O62" s="12">
        <v>0</v>
      </c>
      <c r="P62" s="12">
        <v>1</v>
      </c>
      <c r="Q62" s="12">
        <v>0</v>
      </c>
      <c r="R62" s="12">
        <v>0</v>
      </c>
    </row>
    <row r="63" spans="1:19" x14ac:dyDescent="0.25">
      <c r="A63" s="13">
        <v>45847.614745370367</v>
      </c>
      <c r="B63" t="s">
        <v>348</v>
      </c>
      <c r="C63" t="s">
        <v>359</v>
      </c>
      <c r="D63" t="s">
        <v>10</v>
      </c>
      <c r="E63" t="s">
        <v>11</v>
      </c>
      <c r="F63" t="s">
        <v>14</v>
      </c>
      <c r="G63">
        <v>0.5</v>
      </c>
      <c r="H63" s="12">
        <v>0</v>
      </c>
      <c r="I63" s="12">
        <v>0</v>
      </c>
      <c r="J63" s="12">
        <v>0</v>
      </c>
      <c r="K63" s="12">
        <v>0</v>
      </c>
      <c r="L63" s="12">
        <v>0</v>
      </c>
      <c r="M63" s="12">
        <v>0</v>
      </c>
      <c r="N63" s="12">
        <v>0</v>
      </c>
      <c r="O63" s="12">
        <v>0</v>
      </c>
      <c r="P63" s="12">
        <v>0</v>
      </c>
      <c r="Q63" s="12">
        <v>0</v>
      </c>
      <c r="R63" s="12">
        <v>1</v>
      </c>
      <c r="S63" t="s">
        <v>30</v>
      </c>
    </row>
    <row r="64" spans="1:19" x14ac:dyDescent="0.25">
      <c r="A64" s="13">
        <v>45847.614872685182</v>
      </c>
      <c r="B64" t="s">
        <v>348</v>
      </c>
      <c r="C64" t="s">
        <v>359</v>
      </c>
      <c r="D64" t="s">
        <v>10</v>
      </c>
      <c r="E64" t="s">
        <v>11</v>
      </c>
      <c r="F64" t="s">
        <v>12</v>
      </c>
      <c r="G64">
        <v>10.5</v>
      </c>
      <c r="H64" s="12">
        <v>1</v>
      </c>
      <c r="I64" s="12">
        <v>0</v>
      </c>
      <c r="J64" s="12">
        <v>1</v>
      </c>
      <c r="K64" s="12">
        <v>0</v>
      </c>
      <c r="L64" s="12">
        <v>0</v>
      </c>
      <c r="M64" s="12">
        <v>0</v>
      </c>
      <c r="N64" s="12">
        <v>0</v>
      </c>
      <c r="O64" s="12">
        <v>0</v>
      </c>
      <c r="P64" s="12">
        <v>0</v>
      </c>
      <c r="Q64" s="12">
        <v>0</v>
      </c>
      <c r="R64" s="12">
        <v>0</v>
      </c>
    </row>
    <row r="65" spans="1:18" x14ac:dyDescent="0.25">
      <c r="A65" s="13">
        <v>45847.624513888892</v>
      </c>
      <c r="B65" t="s">
        <v>348</v>
      </c>
      <c r="C65" t="s">
        <v>359</v>
      </c>
      <c r="D65" t="s">
        <v>10</v>
      </c>
      <c r="E65" t="s">
        <v>11</v>
      </c>
      <c r="F65" t="s">
        <v>12</v>
      </c>
      <c r="G65">
        <v>10.5</v>
      </c>
      <c r="H65" s="12">
        <v>0</v>
      </c>
      <c r="I65" s="12">
        <v>0</v>
      </c>
      <c r="J65" s="12">
        <v>0</v>
      </c>
      <c r="K65" s="12">
        <v>0</v>
      </c>
      <c r="L65" s="12">
        <v>0</v>
      </c>
      <c r="M65" s="12">
        <v>1</v>
      </c>
      <c r="N65" s="12">
        <v>0</v>
      </c>
      <c r="O65" s="12">
        <v>0</v>
      </c>
      <c r="P65" s="12">
        <v>0</v>
      </c>
      <c r="Q65" s="12">
        <v>0</v>
      </c>
      <c r="R65" s="12">
        <v>0</v>
      </c>
    </row>
    <row r="66" spans="1:18" x14ac:dyDescent="0.25">
      <c r="A66" s="13">
        <v>45848.378969907404</v>
      </c>
      <c r="B66" t="s">
        <v>352</v>
      </c>
      <c r="C66" t="s">
        <v>360</v>
      </c>
      <c r="D66" t="s">
        <v>10</v>
      </c>
      <c r="E66" t="s">
        <v>11</v>
      </c>
      <c r="F66" t="s">
        <v>14</v>
      </c>
      <c r="G66">
        <v>0.5</v>
      </c>
      <c r="H66" s="12">
        <v>0</v>
      </c>
      <c r="I66" s="12">
        <v>0</v>
      </c>
      <c r="J66" s="12">
        <v>0</v>
      </c>
      <c r="K66" s="12">
        <v>0</v>
      </c>
      <c r="L66" s="12">
        <v>0</v>
      </c>
      <c r="M66" s="12">
        <v>0</v>
      </c>
      <c r="N66" s="12">
        <v>0</v>
      </c>
      <c r="O66" s="12">
        <v>0</v>
      </c>
      <c r="P66" s="12">
        <v>0</v>
      </c>
      <c r="Q66" s="12">
        <v>1</v>
      </c>
      <c r="R66" s="12">
        <v>0</v>
      </c>
    </row>
    <row r="67" spans="1:18" x14ac:dyDescent="0.25">
      <c r="A67" s="13">
        <v>45848.494791666664</v>
      </c>
      <c r="B67" t="s">
        <v>354</v>
      </c>
      <c r="C67" t="s">
        <v>360</v>
      </c>
      <c r="D67" t="s">
        <v>10</v>
      </c>
      <c r="E67" t="s">
        <v>11</v>
      </c>
      <c r="F67" t="s">
        <v>15</v>
      </c>
      <c r="G67">
        <v>3</v>
      </c>
      <c r="H67" s="12">
        <v>0</v>
      </c>
      <c r="I67" s="12">
        <v>0</v>
      </c>
      <c r="J67" s="12">
        <v>0</v>
      </c>
      <c r="K67" s="12">
        <v>0</v>
      </c>
      <c r="L67" s="12">
        <v>0</v>
      </c>
      <c r="M67" s="12">
        <v>0</v>
      </c>
      <c r="N67" s="12">
        <v>0</v>
      </c>
      <c r="O67" s="12">
        <v>1</v>
      </c>
      <c r="P67" s="12">
        <v>0</v>
      </c>
      <c r="Q67" s="12">
        <v>0</v>
      </c>
      <c r="R67" s="12">
        <v>0</v>
      </c>
    </row>
    <row r="68" spans="1:18" x14ac:dyDescent="0.25">
      <c r="A68" s="13">
        <v>45848.494988425926</v>
      </c>
      <c r="B68" t="s">
        <v>354</v>
      </c>
      <c r="C68" t="s">
        <v>360</v>
      </c>
      <c r="D68" t="s">
        <v>10</v>
      </c>
      <c r="E68" t="s">
        <v>11</v>
      </c>
      <c r="F68" t="s">
        <v>12</v>
      </c>
      <c r="G68">
        <v>10.5</v>
      </c>
      <c r="H68" s="12">
        <v>0</v>
      </c>
      <c r="I68" s="12">
        <v>0</v>
      </c>
      <c r="J68" s="12">
        <v>0</v>
      </c>
      <c r="K68" s="12">
        <v>0</v>
      </c>
      <c r="L68" s="12">
        <v>0</v>
      </c>
      <c r="M68" s="12">
        <v>0</v>
      </c>
      <c r="N68" s="12">
        <v>0</v>
      </c>
      <c r="O68" s="12">
        <v>1</v>
      </c>
      <c r="P68" s="12">
        <v>0</v>
      </c>
      <c r="Q68" s="12">
        <v>0</v>
      </c>
      <c r="R68" s="12">
        <v>0</v>
      </c>
    </row>
    <row r="69" spans="1:18" x14ac:dyDescent="0.25">
      <c r="A69" s="13">
        <v>45848.495243055557</v>
      </c>
      <c r="B69" t="s">
        <v>354</v>
      </c>
      <c r="C69" t="s">
        <v>360</v>
      </c>
      <c r="D69" t="s">
        <v>10</v>
      </c>
      <c r="E69" t="s">
        <v>11</v>
      </c>
      <c r="F69" t="s">
        <v>14</v>
      </c>
      <c r="G69">
        <v>0.5</v>
      </c>
      <c r="H69" s="12">
        <v>0</v>
      </c>
      <c r="I69" s="12">
        <v>0</v>
      </c>
      <c r="J69" s="12">
        <v>0</v>
      </c>
      <c r="K69" s="12">
        <v>0</v>
      </c>
      <c r="L69" s="12">
        <v>0</v>
      </c>
      <c r="M69" s="12">
        <v>0</v>
      </c>
      <c r="N69" s="12">
        <v>0</v>
      </c>
      <c r="O69" s="12">
        <v>1</v>
      </c>
      <c r="P69" s="12">
        <v>0</v>
      </c>
      <c r="Q69" s="12">
        <v>0</v>
      </c>
      <c r="R69" s="12">
        <v>0</v>
      </c>
    </row>
    <row r="70" spans="1:18" x14ac:dyDescent="0.25">
      <c r="A70" s="13">
        <v>45848.512858796297</v>
      </c>
      <c r="B70" t="s">
        <v>350</v>
      </c>
      <c r="C70" t="s">
        <v>360</v>
      </c>
      <c r="D70" t="s">
        <v>10</v>
      </c>
      <c r="E70" t="s">
        <v>11</v>
      </c>
      <c r="F70" t="s">
        <v>12</v>
      </c>
      <c r="G70">
        <v>10.5</v>
      </c>
      <c r="H70" s="12">
        <v>0</v>
      </c>
      <c r="I70" s="12">
        <v>1</v>
      </c>
      <c r="J70" s="12">
        <v>1</v>
      </c>
      <c r="K70" s="12">
        <v>0</v>
      </c>
      <c r="L70" s="12">
        <v>1</v>
      </c>
      <c r="M70" s="12">
        <v>0</v>
      </c>
      <c r="N70" s="12">
        <v>0</v>
      </c>
      <c r="O70" s="12">
        <v>0</v>
      </c>
      <c r="P70" s="12">
        <v>1</v>
      </c>
      <c r="Q70" s="12">
        <v>0</v>
      </c>
      <c r="R70" s="12">
        <v>0</v>
      </c>
    </row>
    <row r="71" spans="1:18" x14ac:dyDescent="0.25">
      <c r="A71" s="13">
        <v>45848.513020833336</v>
      </c>
      <c r="B71" t="s">
        <v>350</v>
      </c>
      <c r="C71" t="s">
        <v>360</v>
      </c>
      <c r="D71" t="s">
        <v>10</v>
      </c>
      <c r="E71" t="s">
        <v>11</v>
      </c>
      <c r="F71" t="s">
        <v>15</v>
      </c>
      <c r="G71">
        <v>3</v>
      </c>
      <c r="H71" s="12">
        <v>0</v>
      </c>
      <c r="I71" s="12">
        <v>0</v>
      </c>
      <c r="J71" s="12">
        <v>0</v>
      </c>
      <c r="K71" s="12">
        <v>0</v>
      </c>
      <c r="L71" s="12">
        <v>0</v>
      </c>
      <c r="M71" s="12">
        <v>0</v>
      </c>
      <c r="N71" s="12">
        <v>1</v>
      </c>
      <c r="O71" s="12">
        <v>0</v>
      </c>
      <c r="P71" s="12">
        <v>0</v>
      </c>
      <c r="Q71" s="12">
        <v>0</v>
      </c>
      <c r="R71" s="12">
        <v>0</v>
      </c>
    </row>
    <row r="72" spans="1:18" x14ac:dyDescent="0.25">
      <c r="A72" s="13">
        <v>45848.51935185185</v>
      </c>
      <c r="B72" t="s">
        <v>350</v>
      </c>
      <c r="C72" t="s">
        <v>360</v>
      </c>
      <c r="D72" t="s">
        <v>20</v>
      </c>
      <c r="E72" t="s">
        <v>11</v>
      </c>
      <c r="F72" t="s">
        <v>15</v>
      </c>
      <c r="G72">
        <v>3</v>
      </c>
      <c r="H72" s="12">
        <v>0</v>
      </c>
      <c r="I72" s="12">
        <v>0</v>
      </c>
      <c r="J72" s="12">
        <v>0</v>
      </c>
      <c r="K72" s="12">
        <v>0</v>
      </c>
      <c r="L72" s="12">
        <v>0</v>
      </c>
      <c r="M72" s="12">
        <v>0</v>
      </c>
      <c r="N72" s="12">
        <v>1</v>
      </c>
      <c r="O72" s="12">
        <v>0</v>
      </c>
      <c r="P72" s="12">
        <v>0</v>
      </c>
      <c r="Q72" s="12">
        <v>0</v>
      </c>
      <c r="R72" s="12">
        <v>0</v>
      </c>
    </row>
    <row r="73" spans="1:18" x14ac:dyDescent="0.25">
      <c r="A73" s="13">
        <v>45848.538900462961</v>
      </c>
      <c r="B73" t="s">
        <v>350</v>
      </c>
      <c r="C73" t="s">
        <v>360</v>
      </c>
      <c r="D73" t="s">
        <v>10</v>
      </c>
      <c r="E73" t="s">
        <v>11</v>
      </c>
      <c r="F73" t="s">
        <v>14</v>
      </c>
      <c r="G73">
        <v>0.5</v>
      </c>
      <c r="H73" s="12">
        <v>0</v>
      </c>
      <c r="I73" s="12">
        <v>0</v>
      </c>
      <c r="J73" s="12">
        <v>0</v>
      </c>
      <c r="K73" s="12">
        <v>0</v>
      </c>
      <c r="L73" s="12">
        <v>0</v>
      </c>
      <c r="M73" s="12">
        <v>0</v>
      </c>
      <c r="N73" s="12">
        <v>1</v>
      </c>
      <c r="O73" s="12">
        <v>0</v>
      </c>
      <c r="P73" s="12">
        <v>0</v>
      </c>
      <c r="Q73" s="12">
        <v>0</v>
      </c>
      <c r="R73" s="12">
        <v>0</v>
      </c>
    </row>
    <row r="74" spans="1:18" x14ac:dyDescent="0.25">
      <c r="A74" s="13">
        <v>45848.542928240742</v>
      </c>
      <c r="B74" t="s">
        <v>351</v>
      </c>
      <c r="C74" t="s">
        <v>360</v>
      </c>
      <c r="D74" t="s">
        <v>10</v>
      </c>
      <c r="E74" t="s">
        <v>11</v>
      </c>
      <c r="F74" t="s">
        <v>15</v>
      </c>
      <c r="G74">
        <v>3</v>
      </c>
      <c r="H74" s="12">
        <v>0</v>
      </c>
      <c r="I74" s="12">
        <v>0</v>
      </c>
      <c r="J74" s="12">
        <v>0</v>
      </c>
      <c r="K74" s="12">
        <v>0</v>
      </c>
      <c r="L74" s="12">
        <v>1</v>
      </c>
      <c r="M74" s="12">
        <v>0</v>
      </c>
      <c r="N74" s="12">
        <v>0</v>
      </c>
      <c r="O74" s="12">
        <v>0</v>
      </c>
      <c r="P74" s="12">
        <v>0</v>
      </c>
      <c r="Q74" s="12">
        <v>0</v>
      </c>
      <c r="R74" s="12">
        <v>0</v>
      </c>
    </row>
    <row r="75" spans="1:18" x14ac:dyDescent="0.25">
      <c r="A75" s="13">
        <v>45848.613171296296</v>
      </c>
      <c r="B75" t="s">
        <v>348</v>
      </c>
      <c r="C75" t="s">
        <v>360</v>
      </c>
      <c r="D75" t="s">
        <v>10</v>
      </c>
      <c r="E75" t="s">
        <v>11</v>
      </c>
      <c r="F75" t="s">
        <v>15</v>
      </c>
      <c r="G75">
        <v>3</v>
      </c>
      <c r="H75" s="12">
        <v>0</v>
      </c>
      <c r="I75" s="12">
        <v>0</v>
      </c>
      <c r="J75" s="12">
        <v>0</v>
      </c>
      <c r="K75" s="12">
        <v>0</v>
      </c>
      <c r="L75" s="12">
        <v>0</v>
      </c>
      <c r="M75" s="12">
        <v>1</v>
      </c>
      <c r="N75" s="12">
        <v>0</v>
      </c>
      <c r="O75" s="12">
        <v>0</v>
      </c>
      <c r="P75" s="12">
        <v>0</v>
      </c>
      <c r="Q75" s="12">
        <v>0</v>
      </c>
      <c r="R75" s="12">
        <v>0</v>
      </c>
    </row>
    <row r="76" spans="1:18" x14ac:dyDescent="0.25">
      <c r="A76" s="13">
        <v>45848.747916666667</v>
      </c>
      <c r="B76" t="s">
        <v>355</v>
      </c>
      <c r="C76" t="s">
        <v>360</v>
      </c>
      <c r="D76" t="s">
        <v>20</v>
      </c>
      <c r="E76" t="s">
        <v>17</v>
      </c>
      <c r="F76" t="s">
        <v>15</v>
      </c>
      <c r="G76">
        <v>3</v>
      </c>
      <c r="H76" s="12">
        <v>1</v>
      </c>
      <c r="I76" s="12">
        <v>0</v>
      </c>
      <c r="J76" s="12">
        <v>1</v>
      </c>
      <c r="K76" s="12">
        <v>0</v>
      </c>
      <c r="L76" s="12">
        <v>0</v>
      </c>
      <c r="M76" s="12">
        <v>0</v>
      </c>
      <c r="N76" s="12">
        <v>0</v>
      </c>
      <c r="O76" s="12">
        <v>0</v>
      </c>
      <c r="P76" s="12">
        <v>0</v>
      </c>
      <c r="Q76" s="12">
        <v>0</v>
      </c>
      <c r="R76" s="12">
        <v>0</v>
      </c>
    </row>
    <row r="77" spans="1:18" x14ac:dyDescent="0.25">
      <c r="A77" s="13">
        <v>45848.748032407406</v>
      </c>
      <c r="B77" t="s">
        <v>355</v>
      </c>
      <c r="C77" t="s">
        <v>360</v>
      </c>
      <c r="D77" t="s">
        <v>10</v>
      </c>
      <c r="E77" t="s">
        <v>11</v>
      </c>
      <c r="F77" t="s">
        <v>15</v>
      </c>
      <c r="G77">
        <v>3</v>
      </c>
      <c r="H77" s="12">
        <v>0</v>
      </c>
      <c r="I77" s="12">
        <v>0</v>
      </c>
      <c r="J77" s="12">
        <v>0</v>
      </c>
      <c r="K77" s="12">
        <v>0</v>
      </c>
      <c r="L77" s="12">
        <v>0</v>
      </c>
      <c r="M77" s="12">
        <v>0</v>
      </c>
      <c r="N77" s="12">
        <v>0</v>
      </c>
      <c r="O77" s="12">
        <v>1</v>
      </c>
      <c r="P77" s="12">
        <v>0</v>
      </c>
      <c r="Q77" s="12">
        <v>0</v>
      </c>
      <c r="R77" s="12">
        <v>0</v>
      </c>
    </row>
    <row r="78" spans="1:18" x14ac:dyDescent="0.25">
      <c r="A78" s="13">
        <v>45848.748159722221</v>
      </c>
      <c r="B78" t="s">
        <v>355</v>
      </c>
      <c r="C78" t="s">
        <v>360</v>
      </c>
      <c r="D78" t="s">
        <v>10</v>
      </c>
      <c r="E78" t="s">
        <v>11</v>
      </c>
      <c r="F78" t="s">
        <v>14</v>
      </c>
      <c r="G78">
        <v>0.5</v>
      </c>
      <c r="H78" s="12">
        <v>0</v>
      </c>
      <c r="I78" s="12">
        <v>0</v>
      </c>
      <c r="J78" s="12">
        <v>0</v>
      </c>
      <c r="K78" s="12">
        <v>0</v>
      </c>
      <c r="L78" s="12">
        <v>0</v>
      </c>
      <c r="M78" s="12">
        <v>0</v>
      </c>
      <c r="N78" s="12">
        <v>0</v>
      </c>
      <c r="O78" s="12">
        <v>0</v>
      </c>
      <c r="P78" s="12">
        <v>1</v>
      </c>
      <c r="Q78" s="12">
        <v>0</v>
      </c>
      <c r="R78" s="12">
        <v>0</v>
      </c>
    </row>
    <row r="79" spans="1:18" x14ac:dyDescent="0.25">
      <c r="A79" s="13">
        <v>45848.748229166667</v>
      </c>
      <c r="B79" t="s">
        <v>355</v>
      </c>
      <c r="C79" t="s">
        <v>360</v>
      </c>
      <c r="D79" t="s">
        <v>10</v>
      </c>
      <c r="E79" t="s">
        <v>11</v>
      </c>
      <c r="F79" t="s">
        <v>14</v>
      </c>
      <c r="G79">
        <v>0.5</v>
      </c>
      <c r="H79" s="12">
        <v>0</v>
      </c>
      <c r="I79" s="12">
        <v>0</v>
      </c>
      <c r="J79" s="12">
        <v>0</v>
      </c>
      <c r="K79" s="12">
        <v>0</v>
      </c>
      <c r="L79" s="12">
        <v>0</v>
      </c>
      <c r="M79" s="12">
        <v>0</v>
      </c>
      <c r="N79" s="12">
        <v>0</v>
      </c>
      <c r="O79" s="12">
        <v>0</v>
      </c>
      <c r="P79" s="12">
        <v>1</v>
      </c>
      <c r="Q79" s="12">
        <v>0</v>
      </c>
      <c r="R79" s="12">
        <v>0</v>
      </c>
    </row>
    <row r="80" spans="1:18" x14ac:dyDescent="0.25">
      <c r="A80" s="13">
        <v>45849.519212962965</v>
      </c>
      <c r="B80" t="s">
        <v>350</v>
      </c>
      <c r="C80" t="s">
        <v>361</v>
      </c>
      <c r="D80" t="s">
        <v>10</v>
      </c>
      <c r="E80" t="s">
        <v>11</v>
      </c>
      <c r="F80" t="s">
        <v>14</v>
      </c>
      <c r="G80">
        <v>0.5</v>
      </c>
      <c r="H80" s="12">
        <v>0</v>
      </c>
      <c r="I80" s="12">
        <v>0</v>
      </c>
      <c r="J80" s="12">
        <v>0</v>
      </c>
      <c r="K80" s="12">
        <v>0</v>
      </c>
      <c r="L80" s="12">
        <v>0</v>
      </c>
      <c r="M80" s="12">
        <v>0</v>
      </c>
      <c r="N80" s="12">
        <v>0</v>
      </c>
      <c r="O80" s="12">
        <v>0</v>
      </c>
      <c r="P80" s="12">
        <v>0</v>
      </c>
      <c r="Q80" s="12">
        <v>1</v>
      </c>
      <c r="R80" s="12">
        <v>0</v>
      </c>
    </row>
    <row r="81" spans="1:19" x14ac:dyDescent="0.25">
      <c r="A81" s="13">
        <v>45849.520868055559</v>
      </c>
      <c r="B81" t="s">
        <v>350</v>
      </c>
      <c r="C81" t="s">
        <v>361</v>
      </c>
      <c r="D81" t="s">
        <v>10</v>
      </c>
      <c r="E81" t="s">
        <v>11</v>
      </c>
      <c r="F81" t="s">
        <v>15</v>
      </c>
      <c r="G81">
        <v>3</v>
      </c>
      <c r="H81" s="12">
        <v>0</v>
      </c>
      <c r="I81" s="12">
        <v>0</v>
      </c>
      <c r="J81" s="12">
        <v>0</v>
      </c>
      <c r="K81" s="12">
        <v>0</v>
      </c>
      <c r="L81" s="12">
        <v>0</v>
      </c>
      <c r="M81" s="12">
        <v>0</v>
      </c>
      <c r="N81" s="12">
        <v>0</v>
      </c>
      <c r="O81" s="12">
        <v>0</v>
      </c>
      <c r="P81" s="12">
        <v>0</v>
      </c>
      <c r="Q81" s="12">
        <v>0</v>
      </c>
      <c r="R81" s="12">
        <v>1</v>
      </c>
      <c r="S81" t="s">
        <v>31</v>
      </c>
    </row>
    <row r="82" spans="1:19" x14ac:dyDescent="0.25">
      <c r="A82" s="13">
        <v>45849.54546296296</v>
      </c>
      <c r="B82" t="s">
        <v>351</v>
      </c>
      <c r="C82" t="s">
        <v>361</v>
      </c>
      <c r="D82" t="s">
        <v>10</v>
      </c>
      <c r="E82" t="s">
        <v>11</v>
      </c>
      <c r="F82" t="s">
        <v>15</v>
      </c>
      <c r="G82">
        <v>3</v>
      </c>
      <c r="H82" s="12">
        <v>0</v>
      </c>
      <c r="I82" s="12">
        <v>1</v>
      </c>
      <c r="J82" s="12">
        <v>1</v>
      </c>
      <c r="K82" s="12">
        <v>0</v>
      </c>
      <c r="L82" s="12">
        <v>1</v>
      </c>
      <c r="M82" s="12">
        <v>0</v>
      </c>
      <c r="N82" s="12">
        <v>0</v>
      </c>
      <c r="O82" s="12">
        <v>0</v>
      </c>
      <c r="P82" s="12">
        <v>1</v>
      </c>
      <c r="Q82" s="12">
        <v>0</v>
      </c>
      <c r="R82" s="12">
        <v>0</v>
      </c>
    </row>
    <row r="83" spans="1:19" x14ac:dyDescent="0.25">
      <c r="A83" s="13">
        <v>45849.58011574074</v>
      </c>
      <c r="B83" t="s">
        <v>351</v>
      </c>
      <c r="C83" t="s">
        <v>361</v>
      </c>
      <c r="D83" t="s">
        <v>10</v>
      </c>
      <c r="E83" t="s">
        <v>11</v>
      </c>
      <c r="F83" t="s">
        <v>12</v>
      </c>
      <c r="G83">
        <v>10.5</v>
      </c>
      <c r="H83" s="12">
        <v>1</v>
      </c>
      <c r="I83" s="12">
        <v>0</v>
      </c>
      <c r="J83" s="12">
        <v>1</v>
      </c>
      <c r="K83" s="12">
        <v>0</v>
      </c>
      <c r="L83" s="12">
        <v>1</v>
      </c>
      <c r="M83" s="12">
        <v>0</v>
      </c>
      <c r="N83" s="12">
        <v>0</v>
      </c>
      <c r="O83" s="12">
        <v>0</v>
      </c>
      <c r="P83" s="12">
        <v>0</v>
      </c>
      <c r="Q83" s="12">
        <v>0</v>
      </c>
      <c r="R83" s="12">
        <v>0</v>
      </c>
    </row>
    <row r="84" spans="1:19" x14ac:dyDescent="0.25">
      <c r="A84" s="13">
        <v>45849.622164351851</v>
      </c>
      <c r="B84" t="s">
        <v>348</v>
      </c>
      <c r="C84" t="s">
        <v>361</v>
      </c>
      <c r="D84" t="s">
        <v>10</v>
      </c>
      <c r="E84" t="s">
        <v>11</v>
      </c>
      <c r="F84" t="s">
        <v>14</v>
      </c>
      <c r="G84">
        <v>0.5</v>
      </c>
      <c r="H84" s="12">
        <v>0</v>
      </c>
      <c r="I84" s="12">
        <v>0</v>
      </c>
      <c r="J84" s="12">
        <v>0</v>
      </c>
      <c r="K84" s="12">
        <v>0</v>
      </c>
      <c r="L84" s="12">
        <v>0</v>
      </c>
      <c r="M84" s="12">
        <v>0</v>
      </c>
      <c r="N84" s="12">
        <v>0</v>
      </c>
      <c r="O84" s="12">
        <v>0</v>
      </c>
      <c r="P84" s="12">
        <v>0</v>
      </c>
      <c r="Q84" s="12">
        <v>1</v>
      </c>
      <c r="R84" s="12">
        <v>0</v>
      </c>
    </row>
    <row r="85" spans="1:19" x14ac:dyDescent="0.25">
      <c r="A85" s="13">
        <v>45849.622384259259</v>
      </c>
      <c r="B85" t="s">
        <v>348</v>
      </c>
      <c r="C85" t="s">
        <v>361</v>
      </c>
      <c r="D85" t="s">
        <v>20</v>
      </c>
      <c r="E85" t="s">
        <v>11</v>
      </c>
      <c r="F85" t="s">
        <v>15</v>
      </c>
      <c r="G85">
        <v>3</v>
      </c>
      <c r="H85" s="12">
        <v>0</v>
      </c>
      <c r="I85" s="12">
        <v>0</v>
      </c>
      <c r="J85" s="12">
        <v>0</v>
      </c>
      <c r="K85" s="12">
        <v>0</v>
      </c>
      <c r="L85" s="12">
        <v>0</v>
      </c>
      <c r="M85" s="12">
        <v>0</v>
      </c>
      <c r="N85" s="12">
        <v>0</v>
      </c>
      <c r="O85" s="12">
        <v>0</v>
      </c>
      <c r="P85" s="12">
        <v>0</v>
      </c>
      <c r="Q85" s="12">
        <v>1</v>
      </c>
      <c r="R85" s="12">
        <v>0</v>
      </c>
    </row>
    <row r="86" spans="1:19" x14ac:dyDescent="0.25">
      <c r="A86" s="13">
        <v>45850.391956018517</v>
      </c>
      <c r="B86" t="s">
        <v>352</v>
      </c>
      <c r="C86" t="s">
        <v>362</v>
      </c>
      <c r="D86" t="s">
        <v>10</v>
      </c>
      <c r="E86" t="s">
        <v>11</v>
      </c>
      <c r="F86" t="s">
        <v>15</v>
      </c>
      <c r="G86">
        <v>3</v>
      </c>
      <c r="H86" s="12">
        <v>0</v>
      </c>
      <c r="I86" s="12">
        <v>0</v>
      </c>
      <c r="J86" s="12">
        <v>0</v>
      </c>
      <c r="K86" s="12">
        <v>0</v>
      </c>
      <c r="L86" s="12">
        <v>0</v>
      </c>
      <c r="M86" s="12">
        <v>0</v>
      </c>
      <c r="N86" s="12">
        <v>1</v>
      </c>
      <c r="O86" s="12">
        <v>0</v>
      </c>
      <c r="P86" s="12">
        <v>0</v>
      </c>
      <c r="Q86" s="12">
        <v>0</v>
      </c>
      <c r="R86" s="12">
        <v>0</v>
      </c>
    </row>
    <row r="87" spans="1:19" x14ac:dyDescent="0.25">
      <c r="A87" s="13">
        <v>45850.46733796296</v>
      </c>
      <c r="B87" t="s">
        <v>354</v>
      </c>
      <c r="C87" t="s">
        <v>362</v>
      </c>
      <c r="D87" t="s">
        <v>10</v>
      </c>
      <c r="E87" t="s">
        <v>11</v>
      </c>
      <c r="F87" t="s">
        <v>14</v>
      </c>
      <c r="G87">
        <v>0.5</v>
      </c>
      <c r="H87" s="12">
        <v>0</v>
      </c>
      <c r="I87" s="12">
        <v>0</v>
      </c>
      <c r="J87" s="12">
        <v>0</v>
      </c>
      <c r="K87" s="12">
        <v>0</v>
      </c>
      <c r="L87" s="12">
        <v>0</v>
      </c>
      <c r="M87" s="12">
        <v>0</v>
      </c>
      <c r="N87" s="12">
        <v>0</v>
      </c>
      <c r="O87" s="12">
        <v>1</v>
      </c>
      <c r="P87" s="12">
        <v>0</v>
      </c>
      <c r="Q87" s="12">
        <v>0</v>
      </c>
      <c r="R87" s="12">
        <v>0</v>
      </c>
    </row>
    <row r="88" spans="1:19" x14ac:dyDescent="0.25">
      <c r="A88" s="13">
        <v>45850.467627314814</v>
      </c>
      <c r="B88" t="s">
        <v>354</v>
      </c>
      <c r="C88" t="s">
        <v>362</v>
      </c>
      <c r="D88" t="s">
        <v>10</v>
      </c>
      <c r="E88" t="s">
        <v>11</v>
      </c>
      <c r="F88" t="s">
        <v>14</v>
      </c>
      <c r="G88">
        <v>0.5</v>
      </c>
      <c r="H88" s="12">
        <v>0</v>
      </c>
      <c r="I88" s="12">
        <v>0</v>
      </c>
      <c r="J88" s="12">
        <v>0</v>
      </c>
      <c r="K88" s="12">
        <v>0</v>
      </c>
      <c r="L88" s="12">
        <v>0</v>
      </c>
      <c r="M88" s="12">
        <v>0</v>
      </c>
      <c r="N88" s="12">
        <v>0</v>
      </c>
      <c r="O88" s="12">
        <v>0</v>
      </c>
      <c r="P88" s="12">
        <v>1</v>
      </c>
      <c r="Q88" s="12">
        <v>0</v>
      </c>
      <c r="R88" s="12">
        <v>0</v>
      </c>
    </row>
    <row r="89" spans="1:19" x14ac:dyDescent="0.25">
      <c r="A89" s="13">
        <v>45850.491412037038</v>
      </c>
      <c r="B89" t="s">
        <v>354</v>
      </c>
      <c r="C89" t="s">
        <v>362</v>
      </c>
      <c r="D89" t="s">
        <v>10</v>
      </c>
      <c r="E89" t="s">
        <v>11</v>
      </c>
      <c r="F89" t="s">
        <v>15</v>
      </c>
      <c r="G89">
        <v>3</v>
      </c>
      <c r="H89" s="12">
        <v>0</v>
      </c>
      <c r="I89" s="12">
        <v>0</v>
      </c>
      <c r="J89" s="12">
        <v>0</v>
      </c>
      <c r="K89" s="12">
        <v>0</v>
      </c>
      <c r="L89" s="12">
        <v>0</v>
      </c>
      <c r="M89" s="12">
        <v>0</v>
      </c>
      <c r="N89" s="12">
        <v>0</v>
      </c>
      <c r="O89" s="12">
        <v>0</v>
      </c>
      <c r="P89" s="12">
        <v>1</v>
      </c>
      <c r="Q89" s="12">
        <v>0</v>
      </c>
      <c r="R89" s="12">
        <v>0</v>
      </c>
    </row>
    <row r="90" spans="1:19" x14ac:dyDescent="0.25">
      <c r="A90" s="13">
        <v>45850.496064814812</v>
      </c>
      <c r="B90" t="s">
        <v>354</v>
      </c>
      <c r="C90" t="s">
        <v>362</v>
      </c>
      <c r="D90" t="s">
        <v>10</v>
      </c>
      <c r="E90" t="s">
        <v>11</v>
      </c>
      <c r="F90" t="s">
        <v>14</v>
      </c>
      <c r="G90">
        <v>0.5</v>
      </c>
      <c r="H90" s="12">
        <v>0</v>
      </c>
      <c r="I90" s="12">
        <v>0</v>
      </c>
      <c r="J90" s="12">
        <v>0</v>
      </c>
      <c r="K90" s="12">
        <v>0</v>
      </c>
      <c r="L90" s="12">
        <v>0</v>
      </c>
      <c r="M90" s="12">
        <v>0</v>
      </c>
      <c r="N90" s="12">
        <v>0</v>
      </c>
      <c r="O90" s="12">
        <v>0</v>
      </c>
      <c r="P90" s="12">
        <v>0</v>
      </c>
      <c r="Q90" s="12">
        <v>0</v>
      </c>
      <c r="R90" s="12">
        <v>1</v>
      </c>
      <c r="S90" t="s">
        <v>32</v>
      </c>
    </row>
    <row r="91" spans="1:19" x14ac:dyDescent="0.25">
      <c r="A91" s="13">
        <v>45853.452025462961</v>
      </c>
      <c r="B91" t="s">
        <v>347</v>
      </c>
      <c r="C91" t="s">
        <v>358</v>
      </c>
      <c r="D91" t="s">
        <v>10</v>
      </c>
      <c r="E91" t="s">
        <v>11</v>
      </c>
      <c r="F91" t="s">
        <v>18</v>
      </c>
      <c r="G91">
        <v>20</v>
      </c>
      <c r="H91" s="12">
        <v>0</v>
      </c>
      <c r="I91" s="12">
        <v>0</v>
      </c>
      <c r="J91" s="12">
        <v>0</v>
      </c>
      <c r="K91" s="12">
        <v>0</v>
      </c>
      <c r="L91" s="12">
        <v>1</v>
      </c>
      <c r="M91" s="12">
        <v>0</v>
      </c>
      <c r="N91" s="12">
        <v>0</v>
      </c>
      <c r="O91" s="12">
        <v>0</v>
      </c>
      <c r="P91" s="12">
        <v>0</v>
      </c>
      <c r="Q91" s="12">
        <v>0</v>
      </c>
      <c r="R91" s="12">
        <v>0</v>
      </c>
    </row>
    <row r="92" spans="1:19" x14ac:dyDescent="0.25">
      <c r="A92" s="13">
        <v>45853.533310185187</v>
      </c>
      <c r="B92" t="s">
        <v>350</v>
      </c>
      <c r="C92" t="s">
        <v>358</v>
      </c>
      <c r="D92" t="s">
        <v>10</v>
      </c>
      <c r="E92" t="s">
        <v>11</v>
      </c>
      <c r="F92" t="s">
        <v>14</v>
      </c>
      <c r="G92">
        <v>0.5</v>
      </c>
      <c r="H92" s="12">
        <v>0</v>
      </c>
      <c r="I92" s="12">
        <v>0</v>
      </c>
      <c r="J92" s="12">
        <v>0</v>
      </c>
      <c r="K92" s="12">
        <v>0</v>
      </c>
      <c r="L92" s="12">
        <v>0</v>
      </c>
      <c r="M92" s="12">
        <v>0</v>
      </c>
      <c r="N92" s="12">
        <v>0</v>
      </c>
      <c r="O92" s="12">
        <v>1</v>
      </c>
      <c r="P92" s="12">
        <v>0</v>
      </c>
      <c r="Q92" s="12">
        <v>0</v>
      </c>
      <c r="R92" s="12">
        <v>0</v>
      </c>
    </row>
    <row r="93" spans="1:19" x14ac:dyDescent="0.25">
      <c r="A93" s="13">
        <v>45853.53434027778</v>
      </c>
      <c r="B93" t="s">
        <v>350</v>
      </c>
      <c r="C93" t="s">
        <v>358</v>
      </c>
      <c r="D93" t="s">
        <v>20</v>
      </c>
      <c r="E93" t="s">
        <v>11</v>
      </c>
      <c r="F93" t="s">
        <v>15</v>
      </c>
      <c r="G93">
        <v>3</v>
      </c>
      <c r="H93" s="12">
        <v>1</v>
      </c>
      <c r="I93" s="12">
        <v>0</v>
      </c>
      <c r="J93" s="12">
        <v>1</v>
      </c>
      <c r="K93" s="12">
        <v>1</v>
      </c>
      <c r="L93" s="12">
        <v>0</v>
      </c>
      <c r="M93" s="12">
        <v>0</v>
      </c>
      <c r="N93" s="12">
        <v>0</v>
      </c>
      <c r="O93" s="12">
        <v>0</v>
      </c>
      <c r="P93" s="12">
        <v>0</v>
      </c>
      <c r="Q93" s="12">
        <v>0</v>
      </c>
      <c r="R93" s="12">
        <v>0</v>
      </c>
      <c r="S93" t="s">
        <v>33</v>
      </c>
    </row>
    <row r="94" spans="1:19" x14ac:dyDescent="0.25">
      <c r="A94" s="13">
        <v>45853.540659722225</v>
      </c>
      <c r="B94" t="s">
        <v>350</v>
      </c>
      <c r="C94" t="s">
        <v>358</v>
      </c>
      <c r="D94" t="s">
        <v>10</v>
      </c>
      <c r="E94" t="s">
        <v>11</v>
      </c>
      <c r="F94" t="s">
        <v>15</v>
      </c>
      <c r="G94">
        <v>3</v>
      </c>
      <c r="H94" s="12">
        <v>0</v>
      </c>
      <c r="I94" s="12">
        <v>0</v>
      </c>
      <c r="J94" s="12">
        <v>0</v>
      </c>
      <c r="K94" s="12">
        <v>0</v>
      </c>
      <c r="L94" s="12">
        <v>0</v>
      </c>
      <c r="M94" s="12">
        <v>0</v>
      </c>
      <c r="N94" s="12">
        <v>1</v>
      </c>
      <c r="O94" s="12">
        <v>0</v>
      </c>
      <c r="P94" s="12">
        <v>0</v>
      </c>
      <c r="Q94" s="12">
        <v>0</v>
      </c>
      <c r="R94" s="12">
        <v>0</v>
      </c>
      <c r="S94" t="s">
        <v>34</v>
      </c>
    </row>
    <row r="95" spans="1:19" x14ac:dyDescent="0.25">
      <c r="A95" s="13">
        <v>45853.552604166667</v>
      </c>
      <c r="B95" t="s">
        <v>351</v>
      </c>
      <c r="C95" t="s">
        <v>358</v>
      </c>
      <c r="D95" t="s">
        <v>10</v>
      </c>
      <c r="E95" t="s">
        <v>11</v>
      </c>
      <c r="F95" t="s">
        <v>15</v>
      </c>
      <c r="G95">
        <v>3</v>
      </c>
      <c r="H95" s="12">
        <v>0</v>
      </c>
      <c r="I95" s="12">
        <v>0</v>
      </c>
      <c r="J95" s="12">
        <v>0</v>
      </c>
      <c r="K95" s="12">
        <v>0</v>
      </c>
      <c r="L95" s="12">
        <v>0</v>
      </c>
      <c r="M95" s="12">
        <v>0</v>
      </c>
      <c r="N95" s="12">
        <v>0</v>
      </c>
      <c r="O95" s="12">
        <v>0</v>
      </c>
      <c r="P95" s="12">
        <v>1</v>
      </c>
      <c r="Q95" s="12">
        <v>1</v>
      </c>
      <c r="R95" s="12">
        <v>0</v>
      </c>
    </row>
    <row r="96" spans="1:19" x14ac:dyDescent="0.25">
      <c r="A96" s="13">
        <v>45853.562384259261</v>
      </c>
      <c r="B96" t="s">
        <v>351</v>
      </c>
      <c r="C96" t="s">
        <v>358</v>
      </c>
      <c r="D96" t="s">
        <v>10</v>
      </c>
      <c r="E96" t="s">
        <v>11</v>
      </c>
      <c r="F96" t="s">
        <v>14</v>
      </c>
      <c r="G96">
        <v>0.5</v>
      </c>
      <c r="H96" s="12">
        <v>0</v>
      </c>
      <c r="I96" s="12">
        <v>0</v>
      </c>
      <c r="J96" s="12">
        <v>0</v>
      </c>
      <c r="K96" s="12">
        <v>0</v>
      </c>
      <c r="L96" s="12">
        <v>0</v>
      </c>
      <c r="M96" s="12">
        <v>0</v>
      </c>
      <c r="N96" s="12">
        <v>0</v>
      </c>
      <c r="O96" s="12">
        <v>0</v>
      </c>
      <c r="P96" s="12">
        <v>0</v>
      </c>
      <c r="Q96" s="12">
        <v>0</v>
      </c>
      <c r="R96" s="12">
        <v>1</v>
      </c>
      <c r="S96" t="s">
        <v>35</v>
      </c>
    </row>
    <row r="97" spans="1:19" x14ac:dyDescent="0.25">
      <c r="A97" s="13">
        <v>45853.571261574078</v>
      </c>
      <c r="B97" t="s">
        <v>351</v>
      </c>
      <c r="C97" t="s">
        <v>358</v>
      </c>
      <c r="D97" t="s">
        <v>10</v>
      </c>
      <c r="E97" t="s">
        <v>11</v>
      </c>
      <c r="F97" t="s">
        <v>15</v>
      </c>
      <c r="G97">
        <v>3</v>
      </c>
      <c r="H97" s="12">
        <v>1</v>
      </c>
      <c r="I97" s="12">
        <v>0</v>
      </c>
      <c r="J97" s="12">
        <v>0</v>
      </c>
      <c r="K97" s="12">
        <v>0</v>
      </c>
      <c r="L97" s="12">
        <v>0</v>
      </c>
      <c r="M97" s="12">
        <v>0</v>
      </c>
      <c r="N97" s="12">
        <v>0</v>
      </c>
      <c r="O97" s="12">
        <v>0</v>
      </c>
      <c r="P97" s="12">
        <v>0</v>
      </c>
      <c r="Q97" s="12">
        <v>0</v>
      </c>
      <c r="R97" s="12">
        <v>0</v>
      </c>
      <c r="S97" t="s">
        <v>36</v>
      </c>
    </row>
    <row r="98" spans="1:19" x14ac:dyDescent="0.25">
      <c r="A98" s="13">
        <v>45853.613055555557</v>
      </c>
      <c r="B98" t="s">
        <v>348</v>
      </c>
      <c r="C98" t="s">
        <v>358</v>
      </c>
      <c r="D98" t="s">
        <v>10</v>
      </c>
      <c r="E98" t="s">
        <v>11</v>
      </c>
      <c r="F98" t="s">
        <v>12</v>
      </c>
      <c r="G98">
        <v>10.5</v>
      </c>
      <c r="H98" s="12">
        <v>1</v>
      </c>
      <c r="I98" s="12">
        <v>0</v>
      </c>
      <c r="J98" s="12">
        <v>0</v>
      </c>
      <c r="K98" s="12">
        <v>0</v>
      </c>
      <c r="L98" s="12">
        <v>0</v>
      </c>
      <c r="M98" s="12">
        <v>0</v>
      </c>
      <c r="N98" s="12">
        <v>0</v>
      </c>
      <c r="O98" s="12">
        <v>0</v>
      </c>
      <c r="P98" s="12">
        <v>0</v>
      </c>
      <c r="Q98" s="12">
        <v>0</v>
      </c>
      <c r="R98" s="12">
        <v>0</v>
      </c>
    </row>
    <row r="99" spans="1:19" x14ac:dyDescent="0.25">
      <c r="A99" s="13">
        <v>45853.613263888888</v>
      </c>
      <c r="B99" t="s">
        <v>348</v>
      </c>
      <c r="C99" t="s">
        <v>358</v>
      </c>
      <c r="D99" t="s">
        <v>10</v>
      </c>
      <c r="E99" t="s">
        <v>11</v>
      </c>
      <c r="F99" t="s">
        <v>14</v>
      </c>
      <c r="G99">
        <v>0.5</v>
      </c>
      <c r="H99" s="12">
        <v>0</v>
      </c>
      <c r="I99" s="12">
        <v>0</v>
      </c>
      <c r="J99" s="12">
        <v>0</v>
      </c>
      <c r="K99" s="12">
        <v>0</v>
      </c>
      <c r="L99" s="12">
        <v>0</v>
      </c>
      <c r="M99" s="12">
        <v>0</v>
      </c>
      <c r="N99" s="12">
        <v>0</v>
      </c>
      <c r="O99" s="12">
        <v>0</v>
      </c>
      <c r="P99" s="12">
        <v>0</v>
      </c>
      <c r="Q99" s="12">
        <v>0</v>
      </c>
      <c r="R99" s="12">
        <v>1</v>
      </c>
      <c r="S99" t="s">
        <v>37</v>
      </c>
    </row>
    <row r="100" spans="1:19" x14ac:dyDescent="0.25">
      <c r="A100" s="13">
        <v>45853.649282407408</v>
      </c>
      <c r="B100" t="s">
        <v>349</v>
      </c>
      <c r="C100" t="s">
        <v>358</v>
      </c>
      <c r="D100" t="s">
        <v>10</v>
      </c>
      <c r="E100" t="s">
        <v>11</v>
      </c>
      <c r="F100" t="s">
        <v>14</v>
      </c>
      <c r="G100">
        <v>0.5</v>
      </c>
      <c r="H100" s="12">
        <v>0</v>
      </c>
      <c r="I100" s="12">
        <v>0</v>
      </c>
      <c r="J100" s="12">
        <v>0</v>
      </c>
      <c r="K100" s="12">
        <v>0</v>
      </c>
      <c r="L100" s="12">
        <v>0</v>
      </c>
      <c r="M100" s="12">
        <v>0</v>
      </c>
      <c r="N100" s="12">
        <v>0</v>
      </c>
      <c r="O100" s="12">
        <v>1</v>
      </c>
      <c r="P100" s="12">
        <v>0</v>
      </c>
      <c r="Q100" s="12">
        <v>0</v>
      </c>
      <c r="R100" s="12">
        <v>0</v>
      </c>
    </row>
    <row r="101" spans="1:19" x14ac:dyDescent="0.25">
      <c r="A101" s="13">
        <v>45853.649386574078</v>
      </c>
      <c r="B101" t="s">
        <v>349</v>
      </c>
      <c r="C101" t="s">
        <v>358</v>
      </c>
      <c r="D101" t="s">
        <v>10</v>
      </c>
      <c r="E101" t="s">
        <v>11</v>
      </c>
      <c r="F101" t="s">
        <v>14</v>
      </c>
      <c r="G101">
        <v>0.5</v>
      </c>
      <c r="H101" s="12">
        <v>0</v>
      </c>
      <c r="I101" s="12">
        <v>0</v>
      </c>
      <c r="J101" s="12">
        <v>0</v>
      </c>
      <c r="K101" s="12">
        <v>0</v>
      </c>
      <c r="L101" s="12">
        <v>0</v>
      </c>
      <c r="M101" s="12">
        <v>0</v>
      </c>
      <c r="N101" s="12">
        <v>0</v>
      </c>
      <c r="O101" s="12">
        <v>0</v>
      </c>
      <c r="P101" s="12">
        <v>0</v>
      </c>
      <c r="Q101" s="12">
        <v>0</v>
      </c>
      <c r="R101" s="12">
        <v>1</v>
      </c>
      <c r="S101" t="s">
        <v>23</v>
      </c>
    </row>
    <row r="102" spans="1:19" x14ac:dyDescent="0.25">
      <c r="A102" s="13">
        <v>45853.660717592589</v>
      </c>
      <c r="B102" t="s">
        <v>349</v>
      </c>
      <c r="C102" t="s">
        <v>358</v>
      </c>
      <c r="D102" t="s">
        <v>10</v>
      </c>
      <c r="E102" t="s">
        <v>11</v>
      </c>
      <c r="F102" t="s">
        <v>15</v>
      </c>
      <c r="G102">
        <v>3</v>
      </c>
      <c r="H102" s="12">
        <v>0</v>
      </c>
      <c r="I102" s="12">
        <v>0</v>
      </c>
      <c r="J102" s="12">
        <v>0</v>
      </c>
      <c r="K102" s="12">
        <v>0</v>
      </c>
      <c r="L102" s="12">
        <v>0</v>
      </c>
      <c r="M102" s="12">
        <v>0</v>
      </c>
      <c r="N102" s="12">
        <v>1</v>
      </c>
      <c r="O102" s="12">
        <v>0</v>
      </c>
      <c r="P102" s="12">
        <v>0</v>
      </c>
      <c r="Q102" s="12">
        <v>0</v>
      </c>
      <c r="R102" s="12">
        <v>0</v>
      </c>
    </row>
    <row r="103" spans="1:19" x14ac:dyDescent="0.25">
      <c r="A103" s="13">
        <v>45853.665046296293</v>
      </c>
      <c r="B103" t="s">
        <v>349</v>
      </c>
      <c r="C103" t="s">
        <v>358</v>
      </c>
      <c r="D103" t="s">
        <v>10</v>
      </c>
      <c r="E103" t="s">
        <v>11</v>
      </c>
      <c r="F103" t="s">
        <v>14</v>
      </c>
      <c r="G103">
        <v>0.5</v>
      </c>
      <c r="H103" s="12">
        <v>0</v>
      </c>
      <c r="I103" s="12">
        <v>0</v>
      </c>
      <c r="J103" s="12">
        <v>0</v>
      </c>
      <c r="K103" s="12">
        <v>0</v>
      </c>
      <c r="L103" s="12">
        <v>0</v>
      </c>
      <c r="M103" s="12">
        <v>0</v>
      </c>
      <c r="N103" s="12">
        <v>0</v>
      </c>
      <c r="O103" s="12">
        <v>0</v>
      </c>
      <c r="P103" s="12">
        <v>0</v>
      </c>
      <c r="Q103" s="12">
        <v>0</v>
      </c>
      <c r="R103" s="12">
        <v>1</v>
      </c>
      <c r="S103" t="s">
        <v>35</v>
      </c>
    </row>
    <row r="104" spans="1:19" x14ac:dyDescent="0.25">
      <c r="A104" s="13">
        <v>45854.429432870369</v>
      </c>
      <c r="B104" t="s">
        <v>347</v>
      </c>
      <c r="C104" t="s">
        <v>359</v>
      </c>
      <c r="D104" t="s">
        <v>20</v>
      </c>
      <c r="E104" t="s">
        <v>11</v>
      </c>
      <c r="F104" t="s">
        <v>14</v>
      </c>
      <c r="G104">
        <v>0.5</v>
      </c>
      <c r="H104" s="12">
        <v>0</v>
      </c>
      <c r="I104" s="12">
        <v>0</v>
      </c>
      <c r="J104" s="12">
        <v>0</v>
      </c>
      <c r="K104" s="12">
        <v>0</v>
      </c>
      <c r="L104" s="12">
        <v>0</v>
      </c>
      <c r="M104" s="12">
        <v>1</v>
      </c>
      <c r="N104" s="12">
        <v>0</v>
      </c>
      <c r="O104" s="12">
        <v>0</v>
      </c>
      <c r="P104" s="12">
        <v>0</v>
      </c>
      <c r="Q104" s="12">
        <v>0</v>
      </c>
      <c r="R104" s="12">
        <v>0</v>
      </c>
    </row>
    <row r="105" spans="1:19" x14ac:dyDescent="0.25">
      <c r="A105" s="13">
        <v>45854.432175925926</v>
      </c>
      <c r="B105" t="s">
        <v>347</v>
      </c>
      <c r="C105" t="s">
        <v>359</v>
      </c>
      <c r="D105" t="s">
        <v>10</v>
      </c>
      <c r="E105" t="s">
        <v>17</v>
      </c>
      <c r="F105" t="s">
        <v>14</v>
      </c>
      <c r="G105">
        <v>0.5</v>
      </c>
      <c r="H105" s="12">
        <v>0</v>
      </c>
      <c r="I105" s="12">
        <v>0</v>
      </c>
      <c r="J105" s="12">
        <v>0</v>
      </c>
      <c r="K105" s="12">
        <v>0</v>
      </c>
      <c r="L105" s="12">
        <v>0</v>
      </c>
      <c r="M105" s="12">
        <v>0</v>
      </c>
      <c r="N105" s="12">
        <v>0</v>
      </c>
      <c r="O105" s="12">
        <v>0</v>
      </c>
      <c r="P105" s="12">
        <v>0</v>
      </c>
      <c r="Q105" s="12">
        <v>0</v>
      </c>
      <c r="R105" s="12">
        <v>1</v>
      </c>
      <c r="S105" t="s">
        <v>38</v>
      </c>
    </row>
    <row r="106" spans="1:19" x14ac:dyDescent="0.25">
      <c r="A106" s="13">
        <v>45854.477164351854</v>
      </c>
      <c r="B106" t="s">
        <v>354</v>
      </c>
      <c r="C106" t="s">
        <v>359</v>
      </c>
      <c r="D106" t="s">
        <v>10</v>
      </c>
      <c r="E106" t="s">
        <v>11</v>
      </c>
      <c r="F106" t="s">
        <v>14</v>
      </c>
      <c r="G106">
        <v>0.5</v>
      </c>
      <c r="H106" s="12">
        <v>0</v>
      </c>
      <c r="I106" s="12">
        <v>0</v>
      </c>
      <c r="J106" s="12">
        <v>0</v>
      </c>
      <c r="K106" s="12">
        <v>0</v>
      </c>
      <c r="L106" s="12">
        <v>0</v>
      </c>
      <c r="M106" s="12">
        <v>0</v>
      </c>
      <c r="N106" s="12">
        <v>0</v>
      </c>
      <c r="O106" s="12">
        <v>0</v>
      </c>
      <c r="P106" s="12">
        <v>1</v>
      </c>
      <c r="Q106" s="12">
        <v>0</v>
      </c>
      <c r="R106" s="12">
        <v>0</v>
      </c>
    </row>
    <row r="107" spans="1:19" x14ac:dyDescent="0.25">
      <c r="A107" s="13">
        <v>45854.477337962962</v>
      </c>
      <c r="B107" t="s">
        <v>354</v>
      </c>
      <c r="C107" t="s">
        <v>359</v>
      </c>
      <c r="D107" t="s">
        <v>10</v>
      </c>
      <c r="E107" t="s">
        <v>11</v>
      </c>
      <c r="F107" t="s">
        <v>14</v>
      </c>
      <c r="G107">
        <v>0.5</v>
      </c>
      <c r="H107" s="12">
        <v>0</v>
      </c>
      <c r="I107" s="12">
        <v>0</v>
      </c>
      <c r="J107" s="12">
        <v>0</v>
      </c>
      <c r="K107" s="12">
        <v>0</v>
      </c>
      <c r="L107" s="12">
        <v>0</v>
      </c>
      <c r="M107" s="12">
        <v>0</v>
      </c>
      <c r="N107" s="12">
        <v>1</v>
      </c>
      <c r="O107" s="12">
        <v>0</v>
      </c>
      <c r="P107" s="12">
        <v>0</v>
      </c>
      <c r="Q107" s="12">
        <v>0</v>
      </c>
      <c r="R107" s="12">
        <v>0</v>
      </c>
    </row>
    <row r="108" spans="1:19" x14ac:dyDescent="0.25">
      <c r="A108" s="13">
        <v>45854.511678240742</v>
      </c>
      <c r="B108" t="s">
        <v>350</v>
      </c>
      <c r="C108" t="s">
        <v>359</v>
      </c>
      <c r="D108" t="s">
        <v>10</v>
      </c>
      <c r="E108" t="s">
        <v>11</v>
      </c>
      <c r="F108" t="s">
        <v>15</v>
      </c>
      <c r="G108">
        <v>3</v>
      </c>
      <c r="H108" s="12">
        <v>0</v>
      </c>
      <c r="I108" s="12">
        <v>1</v>
      </c>
      <c r="J108" s="12">
        <v>1</v>
      </c>
      <c r="K108" s="12">
        <v>0</v>
      </c>
      <c r="L108" s="12">
        <v>0</v>
      </c>
      <c r="M108" s="12">
        <v>0</v>
      </c>
      <c r="N108" s="12">
        <v>0</v>
      </c>
      <c r="O108" s="12">
        <v>0</v>
      </c>
      <c r="P108" s="12">
        <v>0</v>
      </c>
      <c r="Q108" s="12">
        <v>1</v>
      </c>
      <c r="R108" s="12">
        <v>0</v>
      </c>
    </row>
    <row r="109" spans="1:19" x14ac:dyDescent="0.25">
      <c r="A109" s="13">
        <v>45854.513657407406</v>
      </c>
      <c r="B109" t="s">
        <v>350</v>
      </c>
      <c r="C109" t="s">
        <v>359</v>
      </c>
      <c r="D109" t="s">
        <v>10</v>
      </c>
      <c r="E109" t="s">
        <v>11</v>
      </c>
      <c r="F109" t="s">
        <v>14</v>
      </c>
      <c r="G109">
        <v>0.5</v>
      </c>
      <c r="H109" s="12">
        <v>0</v>
      </c>
      <c r="I109" s="12">
        <v>0</v>
      </c>
      <c r="J109" s="12">
        <v>0</v>
      </c>
      <c r="K109" s="12">
        <v>0</v>
      </c>
      <c r="L109" s="12">
        <v>0</v>
      </c>
      <c r="M109" s="12">
        <v>0</v>
      </c>
      <c r="N109" s="12">
        <v>0</v>
      </c>
      <c r="O109" s="12">
        <v>1</v>
      </c>
      <c r="P109" s="12">
        <v>0</v>
      </c>
      <c r="Q109" s="12">
        <v>0</v>
      </c>
      <c r="R109" s="12">
        <v>0</v>
      </c>
    </row>
    <row r="110" spans="1:19" x14ac:dyDescent="0.25">
      <c r="A110" s="13">
        <v>45854.54184027778</v>
      </c>
      <c r="B110" t="s">
        <v>351</v>
      </c>
      <c r="C110" t="s">
        <v>359</v>
      </c>
      <c r="D110" t="s">
        <v>10</v>
      </c>
      <c r="E110" t="s">
        <v>11</v>
      </c>
      <c r="F110" t="s">
        <v>12</v>
      </c>
      <c r="G110">
        <v>10.5</v>
      </c>
      <c r="H110" s="12">
        <v>1</v>
      </c>
      <c r="I110" s="12">
        <v>0</v>
      </c>
      <c r="J110" s="12">
        <v>1</v>
      </c>
      <c r="K110" s="12">
        <v>0</v>
      </c>
      <c r="L110" s="12">
        <v>0</v>
      </c>
      <c r="M110" s="12">
        <v>0</v>
      </c>
      <c r="N110" s="12">
        <v>0</v>
      </c>
      <c r="O110" s="12">
        <v>0</v>
      </c>
      <c r="P110" s="12">
        <v>0</v>
      </c>
      <c r="Q110" s="12">
        <v>0</v>
      </c>
      <c r="R110" s="12">
        <v>0</v>
      </c>
    </row>
    <row r="111" spans="1:19" x14ac:dyDescent="0.25">
      <c r="A111" s="13">
        <v>45854.624340277776</v>
      </c>
      <c r="B111" t="s">
        <v>348</v>
      </c>
      <c r="C111" t="s">
        <v>359</v>
      </c>
      <c r="D111" t="s">
        <v>10</v>
      </c>
      <c r="E111" t="s">
        <v>11</v>
      </c>
      <c r="F111" t="s">
        <v>14</v>
      </c>
      <c r="G111">
        <v>0.5</v>
      </c>
      <c r="H111" s="12">
        <v>0</v>
      </c>
      <c r="I111" s="12">
        <v>0</v>
      </c>
      <c r="J111" s="12">
        <v>0</v>
      </c>
      <c r="K111" s="12">
        <v>0</v>
      </c>
      <c r="L111" s="12">
        <v>0</v>
      </c>
      <c r="M111" s="12">
        <v>0</v>
      </c>
      <c r="N111" s="12">
        <v>0</v>
      </c>
      <c r="O111" s="12">
        <v>0</v>
      </c>
      <c r="P111" s="12">
        <v>1</v>
      </c>
      <c r="Q111" s="12">
        <v>0</v>
      </c>
      <c r="R111" s="12">
        <v>0</v>
      </c>
    </row>
    <row r="112" spans="1:19" x14ac:dyDescent="0.25">
      <c r="A112" s="13">
        <v>45854.637858796297</v>
      </c>
      <c r="B112" t="s">
        <v>349</v>
      </c>
      <c r="C112" t="s">
        <v>359</v>
      </c>
      <c r="D112" t="s">
        <v>10</v>
      </c>
      <c r="E112" t="s">
        <v>17</v>
      </c>
      <c r="F112" t="s">
        <v>14</v>
      </c>
      <c r="G112">
        <v>0.5</v>
      </c>
      <c r="H112" s="12">
        <v>0</v>
      </c>
      <c r="I112" s="12">
        <v>0</v>
      </c>
      <c r="J112" s="12">
        <v>0</v>
      </c>
      <c r="K112" s="12">
        <v>0</v>
      </c>
      <c r="L112" s="12">
        <v>0</v>
      </c>
      <c r="M112" s="12">
        <v>0</v>
      </c>
      <c r="N112" s="12">
        <v>0</v>
      </c>
      <c r="O112" s="12">
        <v>0</v>
      </c>
      <c r="P112" s="12">
        <v>0</v>
      </c>
      <c r="Q112" s="12">
        <v>1</v>
      </c>
      <c r="R112" s="12">
        <v>0</v>
      </c>
      <c r="S112" t="s">
        <v>39</v>
      </c>
    </row>
    <row r="113" spans="1:19" x14ac:dyDescent="0.25">
      <c r="A113" s="13">
        <v>45854.654016203705</v>
      </c>
      <c r="B113" t="s">
        <v>349</v>
      </c>
      <c r="C113" t="s">
        <v>359</v>
      </c>
      <c r="D113" t="s">
        <v>10</v>
      </c>
      <c r="E113" t="s">
        <v>17</v>
      </c>
      <c r="F113" t="s">
        <v>15</v>
      </c>
      <c r="G113">
        <v>3</v>
      </c>
      <c r="H113" s="12">
        <v>0</v>
      </c>
      <c r="I113" s="12">
        <v>0</v>
      </c>
      <c r="J113" s="12">
        <v>0</v>
      </c>
      <c r="K113" s="12">
        <v>0</v>
      </c>
      <c r="L113" s="12">
        <v>0</v>
      </c>
      <c r="M113" s="12">
        <v>0</v>
      </c>
      <c r="N113" s="12">
        <v>1</v>
      </c>
      <c r="O113" s="12">
        <v>0</v>
      </c>
      <c r="P113" s="12">
        <v>0</v>
      </c>
      <c r="Q113" s="12">
        <v>0</v>
      </c>
      <c r="R113" s="12">
        <v>0</v>
      </c>
    </row>
    <row r="114" spans="1:19" x14ac:dyDescent="0.25">
      <c r="A114" s="13">
        <v>45854.677303240744</v>
      </c>
      <c r="B114" t="s">
        <v>353</v>
      </c>
      <c r="C114" t="s">
        <v>359</v>
      </c>
      <c r="D114" t="s">
        <v>10</v>
      </c>
      <c r="E114" t="s">
        <v>11</v>
      </c>
      <c r="F114" t="s">
        <v>14</v>
      </c>
      <c r="G114">
        <v>0.5</v>
      </c>
      <c r="H114" s="12">
        <v>0</v>
      </c>
      <c r="I114" s="12">
        <v>0</v>
      </c>
      <c r="J114" s="12">
        <v>0</v>
      </c>
      <c r="K114" s="12">
        <v>0</v>
      </c>
      <c r="L114" s="12">
        <v>0</v>
      </c>
      <c r="M114" s="12">
        <v>0</v>
      </c>
      <c r="N114" s="12">
        <v>0</v>
      </c>
      <c r="O114" s="12">
        <v>0</v>
      </c>
      <c r="P114" s="12">
        <v>0</v>
      </c>
      <c r="Q114" s="12">
        <v>0</v>
      </c>
      <c r="R114" s="12">
        <v>1</v>
      </c>
      <c r="S114" t="s">
        <v>40</v>
      </c>
    </row>
    <row r="115" spans="1:19" x14ac:dyDescent="0.25">
      <c r="A115" s="13">
        <v>45854.690046296295</v>
      </c>
      <c r="B115" t="s">
        <v>353</v>
      </c>
      <c r="C115" t="s">
        <v>359</v>
      </c>
      <c r="D115" t="s">
        <v>10</v>
      </c>
      <c r="E115" t="s">
        <v>11</v>
      </c>
      <c r="F115" t="s">
        <v>15</v>
      </c>
      <c r="G115">
        <v>3</v>
      </c>
      <c r="H115" s="12">
        <v>0</v>
      </c>
      <c r="I115" s="12">
        <v>0</v>
      </c>
      <c r="J115" s="12">
        <v>0</v>
      </c>
      <c r="K115" s="12">
        <v>0</v>
      </c>
      <c r="L115" s="12">
        <v>0</v>
      </c>
      <c r="M115" s="12">
        <v>0</v>
      </c>
      <c r="N115" s="12">
        <v>1</v>
      </c>
      <c r="O115" s="12">
        <v>0</v>
      </c>
      <c r="P115" s="12">
        <v>0</v>
      </c>
      <c r="Q115" s="12">
        <v>0</v>
      </c>
      <c r="R115" s="12">
        <v>0</v>
      </c>
    </row>
    <row r="116" spans="1:19" x14ac:dyDescent="0.25">
      <c r="A116" s="13">
        <v>45854.697511574072</v>
      </c>
      <c r="B116" t="s">
        <v>353</v>
      </c>
      <c r="C116" t="s">
        <v>359</v>
      </c>
      <c r="D116" t="s">
        <v>10</v>
      </c>
      <c r="E116" t="s">
        <v>11</v>
      </c>
      <c r="F116" t="s">
        <v>15</v>
      </c>
      <c r="G116">
        <v>3</v>
      </c>
      <c r="H116" s="12">
        <v>0</v>
      </c>
      <c r="I116" s="12">
        <v>0</v>
      </c>
      <c r="J116" s="12">
        <v>0</v>
      </c>
      <c r="K116" s="12">
        <v>0</v>
      </c>
      <c r="L116" s="12">
        <v>0</v>
      </c>
      <c r="M116" s="12">
        <v>0</v>
      </c>
      <c r="N116" s="12">
        <v>0</v>
      </c>
      <c r="O116" s="12">
        <v>0</v>
      </c>
      <c r="P116" s="12">
        <v>1</v>
      </c>
      <c r="Q116" s="12">
        <v>0</v>
      </c>
      <c r="R116" s="12">
        <v>0</v>
      </c>
    </row>
    <row r="117" spans="1:19" x14ac:dyDescent="0.25">
      <c r="A117" s="13">
        <v>45854.697615740741</v>
      </c>
      <c r="B117" t="s">
        <v>353</v>
      </c>
      <c r="C117" t="s">
        <v>359</v>
      </c>
      <c r="D117" t="s">
        <v>10</v>
      </c>
      <c r="E117" t="s">
        <v>11</v>
      </c>
      <c r="F117" t="s">
        <v>15</v>
      </c>
      <c r="G117">
        <v>3</v>
      </c>
      <c r="H117" s="12">
        <v>0</v>
      </c>
      <c r="I117" s="12">
        <v>0</v>
      </c>
      <c r="J117" s="12">
        <v>0</v>
      </c>
      <c r="K117" s="12">
        <v>0</v>
      </c>
      <c r="L117" s="12">
        <v>0</v>
      </c>
      <c r="M117" s="12">
        <v>0</v>
      </c>
      <c r="N117" s="12">
        <v>1</v>
      </c>
      <c r="O117" s="12">
        <v>0</v>
      </c>
      <c r="P117" s="12">
        <v>0</v>
      </c>
      <c r="Q117" s="12">
        <v>0</v>
      </c>
      <c r="R117" s="12">
        <v>0</v>
      </c>
    </row>
    <row r="118" spans="1:19" x14ac:dyDescent="0.25">
      <c r="A118" s="13">
        <v>45855.409918981481</v>
      </c>
      <c r="B118" t="s">
        <v>352</v>
      </c>
      <c r="C118" t="s">
        <v>360</v>
      </c>
      <c r="D118" t="s">
        <v>10</v>
      </c>
      <c r="E118" t="s">
        <v>11</v>
      </c>
      <c r="F118" t="s">
        <v>15</v>
      </c>
      <c r="G118">
        <v>3</v>
      </c>
      <c r="H118" s="12">
        <v>0</v>
      </c>
      <c r="I118" s="12">
        <v>0</v>
      </c>
      <c r="J118" s="12">
        <v>0</v>
      </c>
      <c r="K118" s="12">
        <v>0</v>
      </c>
      <c r="L118" s="12">
        <v>0</v>
      </c>
      <c r="M118" s="12">
        <v>0</v>
      </c>
      <c r="N118" s="12">
        <v>0</v>
      </c>
      <c r="O118" s="12">
        <v>0</v>
      </c>
      <c r="P118" s="12">
        <v>1</v>
      </c>
      <c r="Q118" s="12">
        <v>0</v>
      </c>
      <c r="R118" s="12">
        <v>0</v>
      </c>
    </row>
    <row r="119" spans="1:19" x14ac:dyDescent="0.25">
      <c r="A119" s="13">
        <v>45855.442743055559</v>
      </c>
      <c r="B119" t="s">
        <v>347</v>
      </c>
      <c r="C119" t="s">
        <v>360</v>
      </c>
      <c r="D119" t="s">
        <v>10</v>
      </c>
      <c r="E119" t="s">
        <v>11</v>
      </c>
      <c r="F119" t="s">
        <v>15</v>
      </c>
      <c r="G119">
        <v>3</v>
      </c>
      <c r="H119" s="12">
        <v>0</v>
      </c>
      <c r="I119" s="12">
        <v>0</v>
      </c>
      <c r="J119" s="12">
        <v>0</v>
      </c>
      <c r="K119" s="12">
        <v>0</v>
      </c>
      <c r="L119" s="12">
        <v>0</v>
      </c>
      <c r="M119" s="12">
        <v>0</v>
      </c>
      <c r="N119" s="12">
        <v>0</v>
      </c>
      <c r="O119" s="12">
        <v>1</v>
      </c>
      <c r="P119" s="12">
        <v>0</v>
      </c>
      <c r="Q119" s="12">
        <v>0</v>
      </c>
      <c r="R119" s="12">
        <v>0</v>
      </c>
    </row>
    <row r="120" spans="1:19" x14ac:dyDescent="0.25">
      <c r="A120" s="13">
        <v>45855.469571759262</v>
      </c>
      <c r="B120" t="s">
        <v>354</v>
      </c>
      <c r="C120" t="s">
        <v>360</v>
      </c>
      <c r="D120" t="s">
        <v>10</v>
      </c>
      <c r="E120" t="s">
        <v>11</v>
      </c>
      <c r="F120" t="s">
        <v>12</v>
      </c>
      <c r="G120">
        <v>10.5</v>
      </c>
      <c r="H120" s="12">
        <v>1</v>
      </c>
      <c r="I120" s="12">
        <v>0</v>
      </c>
      <c r="J120" s="12">
        <v>1</v>
      </c>
      <c r="K120" s="12">
        <v>0</v>
      </c>
      <c r="L120" s="12">
        <v>0</v>
      </c>
      <c r="M120" s="12">
        <v>0</v>
      </c>
      <c r="N120" s="12">
        <v>0</v>
      </c>
      <c r="O120" s="12">
        <v>0</v>
      </c>
      <c r="P120" s="12">
        <v>0</v>
      </c>
      <c r="Q120" s="12">
        <v>0</v>
      </c>
      <c r="R120" s="12">
        <v>0</v>
      </c>
    </row>
    <row r="121" spans="1:19" x14ac:dyDescent="0.25">
      <c r="A121" s="13">
        <v>45855.469756944447</v>
      </c>
      <c r="B121" t="s">
        <v>354</v>
      </c>
      <c r="C121" t="s">
        <v>360</v>
      </c>
      <c r="D121" t="s">
        <v>10</v>
      </c>
      <c r="E121" t="s">
        <v>11</v>
      </c>
      <c r="F121" t="s">
        <v>14</v>
      </c>
      <c r="G121">
        <v>0.5</v>
      </c>
      <c r="H121" s="12">
        <v>0</v>
      </c>
      <c r="I121" s="12">
        <v>0</v>
      </c>
      <c r="J121" s="12">
        <v>0</v>
      </c>
      <c r="K121" s="12">
        <v>0</v>
      </c>
      <c r="L121" s="12">
        <v>0</v>
      </c>
      <c r="M121" s="12">
        <v>0</v>
      </c>
      <c r="N121" s="12">
        <v>0</v>
      </c>
      <c r="O121" s="12">
        <v>1</v>
      </c>
      <c r="P121" s="12">
        <v>0</v>
      </c>
      <c r="Q121" s="12">
        <v>0</v>
      </c>
      <c r="R121" s="12">
        <v>0</v>
      </c>
    </row>
    <row r="122" spans="1:19" x14ac:dyDescent="0.25">
      <c r="A122" s="13">
        <v>45855.471458333333</v>
      </c>
      <c r="B122" t="s">
        <v>354</v>
      </c>
      <c r="C122" t="s">
        <v>360</v>
      </c>
      <c r="D122" t="s">
        <v>20</v>
      </c>
      <c r="E122" t="s">
        <v>11</v>
      </c>
      <c r="F122" t="s">
        <v>15</v>
      </c>
      <c r="G122">
        <v>3</v>
      </c>
      <c r="H122" s="12">
        <v>0</v>
      </c>
      <c r="I122" s="12">
        <v>0</v>
      </c>
      <c r="J122" s="12">
        <v>0</v>
      </c>
      <c r="K122" s="12">
        <v>0</v>
      </c>
      <c r="L122" s="12">
        <v>0</v>
      </c>
      <c r="M122" s="12">
        <v>0</v>
      </c>
      <c r="N122" s="12">
        <v>0</v>
      </c>
      <c r="O122" s="12">
        <v>0</v>
      </c>
      <c r="P122" s="12">
        <v>0</v>
      </c>
      <c r="Q122" s="12">
        <v>0</v>
      </c>
      <c r="R122" s="12">
        <v>1</v>
      </c>
    </row>
    <row r="123" spans="1:19" x14ac:dyDescent="0.25">
      <c r="A123" s="13">
        <v>45855.603032407409</v>
      </c>
      <c r="B123" t="s">
        <v>348</v>
      </c>
      <c r="C123" t="s">
        <v>360</v>
      </c>
      <c r="D123" t="s">
        <v>10</v>
      </c>
      <c r="E123" t="s">
        <v>11</v>
      </c>
      <c r="F123" t="s">
        <v>15</v>
      </c>
      <c r="G123">
        <v>3</v>
      </c>
      <c r="H123" s="12">
        <v>0</v>
      </c>
      <c r="I123" s="12">
        <v>0</v>
      </c>
      <c r="J123" s="12">
        <v>0</v>
      </c>
      <c r="K123" s="12">
        <v>0</v>
      </c>
      <c r="L123" s="12">
        <v>0</v>
      </c>
      <c r="M123" s="12">
        <v>0</v>
      </c>
      <c r="N123" s="12">
        <v>0</v>
      </c>
      <c r="O123" s="12">
        <v>1</v>
      </c>
      <c r="P123" s="12">
        <v>0</v>
      </c>
      <c r="Q123" s="12">
        <v>0</v>
      </c>
      <c r="R123" s="12">
        <v>0</v>
      </c>
    </row>
    <row r="124" spans="1:19" x14ac:dyDescent="0.25">
      <c r="A124" s="13">
        <v>45855.708310185182</v>
      </c>
      <c r="B124" t="s">
        <v>353</v>
      </c>
      <c r="C124" t="s">
        <v>360</v>
      </c>
      <c r="D124" t="s">
        <v>10</v>
      </c>
      <c r="E124" t="s">
        <v>11</v>
      </c>
      <c r="F124" t="s">
        <v>15</v>
      </c>
      <c r="G124">
        <v>3</v>
      </c>
      <c r="H124" s="12">
        <v>0</v>
      </c>
      <c r="I124" s="12">
        <v>1</v>
      </c>
      <c r="J124" s="12">
        <v>1</v>
      </c>
      <c r="K124" s="12">
        <v>0</v>
      </c>
      <c r="L124" s="12">
        <v>0</v>
      </c>
      <c r="M124" s="12">
        <v>0</v>
      </c>
      <c r="N124" s="12">
        <v>0</v>
      </c>
      <c r="O124" s="12">
        <v>0</v>
      </c>
      <c r="P124" s="12">
        <v>0</v>
      </c>
      <c r="Q124" s="12">
        <v>0</v>
      </c>
      <c r="R124" s="12">
        <v>0</v>
      </c>
      <c r="S124" t="s">
        <v>41</v>
      </c>
    </row>
    <row r="125" spans="1:19" x14ac:dyDescent="0.25">
      <c r="A125" s="13">
        <v>45856.503912037035</v>
      </c>
      <c r="B125" t="s">
        <v>350</v>
      </c>
      <c r="C125" t="s">
        <v>361</v>
      </c>
      <c r="D125" t="s">
        <v>10</v>
      </c>
      <c r="E125" t="s">
        <v>11</v>
      </c>
      <c r="F125" t="s">
        <v>12</v>
      </c>
      <c r="G125">
        <v>10.5</v>
      </c>
      <c r="H125" s="12">
        <v>0</v>
      </c>
      <c r="I125" s="12">
        <v>0</v>
      </c>
      <c r="J125" s="12">
        <v>0</v>
      </c>
      <c r="K125" s="12">
        <v>0</v>
      </c>
      <c r="L125" s="12">
        <v>1</v>
      </c>
      <c r="M125" s="12">
        <v>0</v>
      </c>
      <c r="N125" s="12">
        <v>0</v>
      </c>
      <c r="O125" s="12">
        <v>0</v>
      </c>
      <c r="P125" s="12">
        <v>0</v>
      </c>
      <c r="Q125" s="12">
        <v>0</v>
      </c>
      <c r="R125" s="12">
        <v>0</v>
      </c>
    </row>
    <row r="126" spans="1:19" x14ac:dyDescent="0.25">
      <c r="A126" s="13">
        <v>45856.50440972222</v>
      </c>
      <c r="B126" t="s">
        <v>350</v>
      </c>
      <c r="C126" t="s">
        <v>361</v>
      </c>
      <c r="D126" t="s">
        <v>10</v>
      </c>
      <c r="E126" t="s">
        <v>11</v>
      </c>
      <c r="F126" t="s">
        <v>12</v>
      </c>
      <c r="G126">
        <v>10.5</v>
      </c>
      <c r="H126" s="12">
        <v>0</v>
      </c>
      <c r="I126" s="12">
        <v>0</v>
      </c>
      <c r="J126" s="12">
        <v>0</v>
      </c>
      <c r="K126" s="12">
        <v>0</v>
      </c>
      <c r="L126" s="12">
        <v>0</v>
      </c>
      <c r="M126" s="12">
        <v>0</v>
      </c>
      <c r="N126" s="12">
        <v>1</v>
      </c>
      <c r="O126" s="12">
        <v>0</v>
      </c>
      <c r="P126" s="12">
        <v>0</v>
      </c>
      <c r="Q126" s="12">
        <v>0</v>
      </c>
      <c r="R126" s="12">
        <v>0</v>
      </c>
      <c r="S126" t="s">
        <v>42</v>
      </c>
    </row>
    <row r="127" spans="1:19" x14ac:dyDescent="0.25">
      <c r="A127" s="13">
        <v>45856.536423611113</v>
      </c>
      <c r="B127" t="s">
        <v>350</v>
      </c>
      <c r="C127" t="s">
        <v>361</v>
      </c>
      <c r="D127" t="s">
        <v>10</v>
      </c>
      <c r="E127" t="s">
        <v>11</v>
      </c>
      <c r="F127" t="s">
        <v>18</v>
      </c>
      <c r="G127">
        <v>20</v>
      </c>
      <c r="H127" s="12">
        <v>0</v>
      </c>
      <c r="I127" s="12">
        <v>0</v>
      </c>
      <c r="J127" s="12">
        <v>0</v>
      </c>
      <c r="K127" s="12">
        <v>0</v>
      </c>
      <c r="L127" s="12">
        <v>0</v>
      </c>
      <c r="M127" s="12">
        <v>0</v>
      </c>
      <c r="N127" s="12">
        <v>1</v>
      </c>
      <c r="O127" s="12">
        <v>0</v>
      </c>
      <c r="P127" s="12">
        <v>0</v>
      </c>
      <c r="Q127" s="12">
        <v>0</v>
      </c>
      <c r="R127" s="12">
        <v>0</v>
      </c>
      <c r="S127" t="s">
        <v>43</v>
      </c>
    </row>
    <row r="128" spans="1:19" x14ac:dyDescent="0.25">
      <c r="A128" s="13">
        <v>45856.626319444447</v>
      </c>
      <c r="B128" t="s">
        <v>349</v>
      </c>
      <c r="C128" t="s">
        <v>361</v>
      </c>
      <c r="D128" t="s">
        <v>10</v>
      </c>
      <c r="E128" t="s">
        <v>11</v>
      </c>
      <c r="F128" t="s">
        <v>15</v>
      </c>
      <c r="G128">
        <v>3</v>
      </c>
      <c r="H128" s="12">
        <v>0</v>
      </c>
      <c r="I128" s="12">
        <v>0</v>
      </c>
      <c r="J128" s="12">
        <v>0</v>
      </c>
      <c r="K128" s="12">
        <v>0</v>
      </c>
      <c r="L128" s="12">
        <v>0</v>
      </c>
      <c r="M128" s="12">
        <v>0</v>
      </c>
      <c r="N128" s="12">
        <v>0</v>
      </c>
      <c r="O128" s="12">
        <v>0</v>
      </c>
      <c r="P128" s="12">
        <v>0</v>
      </c>
      <c r="Q128" s="12">
        <v>0</v>
      </c>
      <c r="R128" s="12">
        <v>1</v>
      </c>
      <c r="S128" t="s">
        <v>44</v>
      </c>
    </row>
    <row r="129" spans="1:19" x14ac:dyDescent="0.25">
      <c r="A129" s="13">
        <v>45856.626817129632</v>
      </c>
      <c r="B129" t="s">
        <v>349</v>
      </c>
      <c r="C129" t="s">
        <v>361</v>
      </c>
      <c r="D129" t="s">
        <v>10</v>
      </c>
      <c r="E129" t="s">
        <v>11</v>
      </c>
      <c r="F129" t="s">
        <v>14</v>
      </c>
      <c r="G129">
        <v>0.5</v>
      </c>
      <c r="H129" s="12">
        <v>1</v>
      </c>
      <c r="I129" s="12">
        <v>0</v>
      </c>
      <c r="J129" s="12">
        <v>0</v>
      </c>
      <c r="K129" s="12">
        <v>1</v>
      </c>
      <c r="L129" s="12">
        <v>0</v>
      </c>
      <c r="M129" s="12">
        <v>0</v>
      </c>
      <c r="N129" s="12">
        <v>0</v>
      </c>
      <c r="O129" s="12">
        <v>0</v>
      </c>
      <c r="P129" s="12">
        <v>0</v>
      </c>
      <c r="Q129" s="12">
        <v>0</v>
      </c>
      <c r="R129" s="12">
        <v>0</v>
      </c>
      <c r="S129" t="s">
        <v>45</v>
      </c>
    </row>
    <row r="130" spans="1:19" x14ac:dyDescent="0.25">
      <c r="A130" s="13">
        <v>45856.643761574072</v>
      </c>
      <c r="B130" t="s">
        <v>349</v>
      </c>
      <c r="C130" t="s">
        <v>361</v>
      </c>
      <c r="D130" t="s">
        <v>10</v>
      </c>
      <c r="E130" t="s">
        <v>11</v>
      </c>
      <c r="F130" t="s">
        <v>12</v>
      </c>
      <c r="G130">
        <v>10.5</v>
      </c>
      <c r="H130" s="12">
        <v>0</v>
      </c>
      <c r="I130" s="12">
        <v>0</v>
      </c>
      <c r="J130" s="12">
        <v>0</v>
      </c>
      <c r="K130" s="12">
        <v>0</v>
      </c>
      <c r="L130" s="12">
        <v>0</v>
      </c>
      <c r="M130" s="12">
        <v>0</v>
      </c>
      <c r="N130" s="12">
        <v>0</v>
      </c>
      <c r="O130" s="12">
        <v>0</v>
      </c>
      <c r="P130" s="12">
        <v>1</v>
      </c>
      <c r="Q130" s="12">
        <v>0</v>
      </c>
      <c r="R130" s="12">
        <v>0</v>
      </c>
      <c r="S130" t="s">
        <v>46</v>
      </c>
    </row>
    <row r="131" spans="1:19" x14ac:dyDescent="0.25">
      <c r="A131" s="13">
        <v>45856.644097222219</v>
      </c>
      <c r="B131" t="s">
        <v>349</v>
      </c>
      <c r="C131" t="s">
        <v>361</v>
      </c>
      <c r="D131" t="s">
        <v>10</v>
      </c>
      <c r="E131" t="s">
        <v>17</v>
      </c>
      <c r="F131" t="s">
        <v>15</v>
      </c>
      <c r="G131">
        <v>3</v>
      </c>
      <c r="H131" s="12">
        <v>0</v>
      </c>
      <c r="I131" s="12">
        <v>0</v>
      </c>
      <c r="J131" s="12">
        <v>0</v>
      </c>
      <c r="K131" s="12">
        <v>0</v>
      </c>
      <c r="L131" s="12">
        <v>0</v>
      </c>
      <c r="M131" s="12">
        <v>0</v>
      </c>
      <c r="N131" s="12">
        <v>1</v>
      </c>
      <c r="O131" s="12">
        <v>0</v>
      </c>
      <c r="P131" s="12">
        <v>0</v>
      </c>
      <c r="Q131" s="12">
        <v>0</v>
      </c>
      <c r="R131" s="12">
        <v>0</v>
      </c>
      <c r="S131" t="s">
        <v>47</v>
      </c>
    </row>
    <row r="132" spans="1:19" x14ac:dyDescent="0.25">
      <c r="A132" s="13">
        <v>45856.687349537038</v>
      </c>
      <c r="B132" t="s">
        <v>353</v>
      </c>
      <c r="C132" t="s">
        <v>361</v>
      </c>
      <c r="D132" t="s">
        <v>10</v>
      </c>
      <c r="E132" t="s">
        <v>27</v>
      </c>
      <c r="F132" t="s">
        <v>15</v>
      </c>
      <c r="G132">
        <v>3</v>
      </c>
      <c r="H132" s="12">
        <v>0</v>
      </c>
      <c r="I132" s="12">
        <v>0</v>
      </c>
      <c r="J132" s="12">
        <v>0</v>
      </c>
      <c r="K132" s="12">
        <v>0</v>
      </c>
      <c r="L132" s="12">
        <v>0</v>
      </c>
      <c r="M132" s="12">
        <v>0</v>
      </c>
      <c r="N132" s="12">
        <v>1</v>
      </c>
      <c r="O132" s="12">
        <v>0</v>
      </c>
      <c r="P132" s="12">
        <v>0</v>
      </c>
      <c r="Q132" s="12">
        <v>0</v>
      </c>
      <c r="R132" s="12">
        <v>0</v>
      </c>
      <c r="S132" t="s">
        <v>48</v>
      </c>
    </row>
    <row r="133" spans="1:19" x14ac:dyDescent="0.25">
      <c r="A133" s="13">
        <v>45857.469606481478</v>
      </c>
      <c r="B133" t="s">
        <v>354</v>
      </c>
      <c r="C133" t="s">
        <v>362</v>
      </c>
      <c r="D133" t="s">
        <v>10</v>
      </c>
      <c r="E133" t="s">
        <v>17</v>
      </c>
      <c r="F133" t="s">
        <v>12</v>
      </c>
      <c r="G133">
        <v>10.5</v>
      </c>
      <c r="H133" s="12">
        <v>0</v>
      </c>
      <c r="I133" s="12">
        <v>0</v>
      </c>
      <c r="J133" s="12">
        <v>1</v>
      </c>
      <c r="K133" s="12">
        <v>0</v>
      </c>
      <c r="L133" s="12">
        <v>1</v>
      </c>
      <c r="M133" s="12">
        <v>0</v>
      </c>
      <c r="N133" s="12">
        <v>0</v>
      </c>
      <c r="O133" s="12">
        <v>0</v>
      </c>
      <c r="P133" s="12">
        <v>0</v>
      </c>
      <c r="Q133" s="12">
        <v>0</v>
      </c>
      <c r="R133" s="12">
        <v>0</v>
      </c>
    </row>
    <row r="134" spans="1:19" x14ac:dyDescent="0.25">
      <c r="A134" s="13">
        <v>45860.515173611115</v>
      </c>
      <c r="B134" t="s">
        <v>350</v>
      </c>
      <c r="C134" t="s">
        <v>358</v>
      </c>
      <c r="D134" t="s">
        <v>10</v>
      </c>
      <c r="E134" t="s">
        <v>11</v>
      </c>
      <c r="F134" t="s">
        <v>15</v>
      </c>
      <c r="G134">
        <v>3</v>
      </c>
      <c r="H134" s="12">
        <v>0</v>
      </c>
      <c r="I134" s="12">
        <v>0</v>
      </c>
      <c r="J134" s="12">
        <v>0</v>
      </c>
      <c r="K134" s="12">
        <v>0</v>
      </c>
      <c r="L134" s="12">
        <v>0</v>
      </c>
      <c r="M134" s="12">
        <v>0</v>
      </c>
      <c r="N134" s="12">
        <v>0</v>
      </c>
      <c r="O134" s="12">
        <v>0</v>
      </c>
      <c r="P134" s="12">
        <v>1</v>
      </c>
      <c r="Q134" s="12">
        <v>0</v>
      </c>
      <c r="R134" s="12">
        <v>0</v>
      </c>
    </row>
    <row r="135" spans="1:19" x14ac:dyDescent="0.25">
      <c r="A135" s="13">
        <v>45860.515335648146</v>
      </c>
      <c r="B135" t="s">
        <v>350</v>
      </c>
      <c r="C135" t="s">
        <v>358</v>
      </c>
      <c r="D135" t="s">
        <v>10</v>
      </c>
      <c r="E135" t="s">
        <v>11</v>
      </c>
      <c r="F135" t="s">
        <v>15</v>
      </c>
      <c r="G135">
        <v>3</v>
      </c>
      <c r="H135" s="12">
        <v>0</v>
      </c>
      <c r="I135" s="12">
        <v>0</v>
      </c>
      <c r="J135" s="12">
        <v>0</v>
      </c>
      <c r="K135" s="12">
        <v>0</v>
      </c>
      <c r="L135" s="12">
        <v>0</v>
      </c>
      <c r="M135" s="12">
        <v>0</v>
      </c>
      <c r="N135" s="12">
        <v>0</v>
      </c>
      <c r="O135" s="12">
        <v>0</v>
      </c>
      <c r="P135" s="12">
        <v>0</v>
      </c>
      <c r="Q135" s="12">
        <v>1</v>
      </c>
      <c r="R135" s="12">
        <v>0</v>
      </c>
    </row>
    <row r="136" spans="1:19" x14ac:dyDescent="0.25">
      <c r="A136" s="13">
        <v>45860.542638888888</v>
      </c>
      <c r="B136" t="s">
        <v>351</v>
      </c>
      <c r="C136" t="s">
        <v>358</v>
      </c>
      <c r="D136" t="s">
        <v>10</v>
      </c>
      <c r="E136" t="s">
        <v>11</v>
      </c>
      <c r="F136" t="s">
        <v>12</v>
      </c>
      <c r="G136">
        <v>10.5</v>
      </c>
      <c r="H136" s="12">
        <v>0</v>
      </c>
      <c r="I136" s="12">
        <v>1</v>
      </c>
      <c r="J136" s="12">
        <v>1</v>
      </c>
      <c r="K136" s="12">
        <v>0</v>
      </c>
      <c r="L136" s="12">
        <v>0</v>
      </c>
      <c r="M136" s="12">
        <v>0</v>
      </c>
      <c r="N136" s="12">
        <v>0</v>
      </c>
      <c r="O136" s="12">
        <v>0</v>
      </c>
      <c r="P136" s="12">
        <v>0</v>
      </c>
      <c r="Q136" s="12">
        <v>0</v>
      </c>
      <c r="R136" s="12">
        <v>0</v>
      </c>
    </row>
    <row r="137" spans="1:19" x14ac:dyDescent="0.25">
      <c r="A137" s="13">
        <v>45860.594328703701</v>
      </c>
      <c r="B137" t="s">
        <v>348</v>
      </c>
      <c r="C137" t="s">
        <v>358</v>
      </c>
      <c r="D137" t="s">
        <v>10</v>
      </c>
      <c r="E137" t="s">
        <v>11</v>
      </c>
      <c r="F137" t="s">
        <v>14</v>
      </c>
      <c r="G137">
        <v>0.5</v>
      </c>
      <c r="H137" s="12">
        <v>0</v>
      </c>
      <c r="I137" s="12">
        <v>0</v>
      </c>
      <c r="J137" s="12">
        <v>0</v>
      </c>
      <c r="K137" s="12">
        <v>0</v>
      </c>
      <c r="L137" s="12">
        <v>0</v>
      </c>
      <c r="M137" s="12">
        <v>1</v>
      </c>
      <c r="N137" s="12">
        <v>0</v>
      </c>
      <c r="O137" s="12">
        <v>0</v>
      </c>
      <c r="P137" s="12">
        <v>0</v>
      </c>
      <c r="Q137" s="12">
        <v>0</v>
      </c>
      <c r="R137" s="12">
        <v>0</v>
      </c>
    </row>
    <row r="138" spans="1:19" x14ac:dyDescent="0.25">
      <c r="A138" s="13">
        <v>45860.594421296293</v>
      </c>
      <c r="B138" t="s">
        <v>348</v>
      </c>
      <c r="C138" t="s">
        <v>358</v>
      </c>
      <c r="D138" t="s">
        <v>10</v>
      </c>
      <c r="E138" t="s">
        <v>11</v>
      </c>
      <c r="F138" t="s">
        <v>15</v>
      </c>
      <c r="G138">
        <v>3</v>
      </c>
      <c r="H138" s="12">
        <v>0</v>
      </c>
      <c r="I138" s="12">
        <v>0</v>
      </c>
      <c r="J138" s="12">
        <v>1</v>
      </c>
      <c r="K138" s="12">
        <v>0</v>
      </c>
      <c r="L138" s="12">
        <v>0</v>
      </c>
      <c r="M138" s="12">
        <v>1</v>
      </c>
      <c r="N138" s="12">
        <v>0</v>
      </c>
      <c r="O138" s="12">
        <v>0</v>
      </c>
      <c r="P138" s="12">
        <v>0</v>
      </c>
      <c r="Q138" s="12">
        <v>0</v>
      </c>
      <c r="R138" s="12">
        <v>0</v>
      </c>
    </row>
    <row r="139" spans="1:19" x14ac:dyDescent="0.25">
      <c r="A139" s="13">
        <v>45860.594525462962</v>
      </c>
      <c r="B139" t="s">
        <v>348</v>
      </c>
      <c r="C139" t="s">
        <v>358</v>
      </c>
      <c r="D139" t="s">
        <v>10</v>
      </c>
      <c r="E139" t="s">
        <v>11</v>
      </c>
      <c r="F139" t="s">
        <v>15</v>
      </c>
      <c r="G139">
        <v>3</v>
      </c>
      <c r="H139" s="12">
        <v>0</v>
      </c>
      <c r="I139" s="12">
        <v>0</v>
      </c>
      <c r="J139" s="12">
        <v>0</v>
      </c>
      <c r="K139" s="12">
        <v>0</v>
      </c>
      <c r="L139" s="12">
        <v>1</v>
      </c>
      <c r="M139" s="12">
        <v>0</v>
      </c>
      <c r="N139" s="12">
        <v>0</v>
      </c>
      <c r="O139" s="12">
        <v>0</v>
      </c>
      <c r="P139" s="12">
        <v>0</v>
      </c>
      <c r="Q139" s="12">
        <v>0</v>
      </c>
      <c r="R139" s="12">
        <v>0</v>
      </c>
    </row>
    <row r="140" spans="1:19" x14ac:dyDescent="0.25">
      <c r="A140" s="13">
        <v>45860.613159722219</v>
      </c>
      <c r="B140" t="s">
        <v>348</v>
      </c>
      <c r="C140" t="s">
        <v>358</v>
      </c>
      <c r="D140" t="s">
        <v>10</v>
      </c>
      <c r="E140" t="s">
        <v>11</v>
      </c>
      <c r="F140" t="s">
        <v>18</v>
      </c>
      <c r="G140">
        <v>20</v>
      </c>
      <c r="H140" s="12">
        <v>0</v>
      </c>
      <c r="I140" s="12">
        <v>0</v>
      </c>
      <c r="J140" s="12">
        <v>0</v>
      </c>
      <c r="K140" s="12">
        <v>0</v>
      </c>
      <c r="L140" s="12">
        <v>0</v>
      </c>
      <c r="M140" s="12">
        <v>1</v>
      </c>
      <c r="N140" s="12">
        <v>0</v>
      </c>
      <c r="O140" s="12">
        <v>0</v>
      </c>
      <c r="P140" s="12">
        <v>0</v>
      </c>
      <c r="Q140" s="12">
        <v>0</v>
      </c>
      <c r="R140" s="12">
        <v>0</v>
      </c>
    </row>
    <row r="141" spans="1:19" x14ac:dyDescent="0.25">
      <c r="A141" s="13">
        <v>45860.72861111111</v>
      </c>
      <c r="B141" t="s">
        <v>355</v>
      </c>
      <c r="C141" t="s">
        <v>358</v>
      </c>
      <c r="D141" t="s">
        <v>10</v>
      </c>
      <c r="E141" t="s">
        <v>11</v>
      </c>
      <c r="F141" t="s">
        <v>15</v>
      </c>
      <c r="G141">
        <v>3</v>
      </c>
      <c r="H141" s="12">
        <v>0</v>
      </c>
      <c r="I141" s="12">
        <v>0</v>
      </c>
      <c r="J141" s="12">
        <v>0</v>
      </c>
      <c r="K141" s="12">
        <v>0</v>
      </c>
      <c r="L141" s="12">
        <v>1</v>
      </c>
      <c r="M141" s="12">
        <v>0</v>
      </c>
      <c r="N141" s="12">
        <v>0</v>
      </c>
      <c r="O141" s="12">
        <v>0</v>
      </c>
      <c r="P141" s="12">
        <v>0</v>
      </c>
      <c r="Q141" s="12">
        <v>0</v>
      </c>
      <c r="R141" s="12">
        <v>0</v>
      </c>
    </row>
    <row r="142" spans="1:19" x14ac:dyDescent="0.25">
      <c r="A142" s="13">
        <v>45860.728726851848</v>
      </c>
      <c r="B142" t="s">
        <v>355</v>
      </c>
      <c r="C142" t="s">
        <v>358</v>
      </c>
      <c r="D142" t="s">
        <v>10</v>
      </c>
      <c r="E142" t="s">
        <v>11</v>
      </c>
      <c r="F142" t="s">
        <v>15</v>
      </c>
      <c r="G142">
        <v>3</v>
      </c>
      <c r="H142" s="12">
        <v>0</v>
      </c>
      <c r="I142" s="12">
        <v>0</v>
      </c>
      <c r="J142" s="12">
        <v>0</v>
      </c>
      <c r="K142" s="12">
        <v>0</v>
      </c>
      <c r="L142" s="12">
        <v>1</v>
      </c>
      <c r="M142" s="12">
        <v>0</v>
      </c>
      <c r="N142" s="12">
        <v>0</v>
      </c>
      <c r="O142" s="12">
        <v>0</v>
      </c>
      <c r="P142" s="12">
        <v>0</v>
      </c>
      <c r="Q142" s="12">
        <v>0</v>
      </c>
      <c r="R142" s="12">
        <v>0</v>
      </c>
    </row>
    <row r="143" spans="1:19" x14ac:dyDescent="0.25">
      <c r="A143" s="13">
        <v>45860.728912037041</v>
      </c>
      <c r="B143" t="s">
        <v>355</v>
      </c>
      <c r="C143" t="s">
        <v>358</v>
      </c>
      <c r="D143" t="s">
        <v>10</v>
      </c>
      <c r="E143" t="s">
        <v>11</v>
      </c>
      <c r="F143" t="s">
        <v>15</v>
      </c>
      <c r="G143">
        <v>3</v>
      </c>
      <c r="H143" s="12">
        <v>1</v>
      </c>
      <c r="I143" s="12">
        <v>0</v>
      </c>
      <c r="J143" s="12">
        <v>1</v>
      </c>
      <c r="K143" s="12">
        <v>0</v>
      </c>
      <c r="L143" s="12">
        <v>0</v>
      </c>
      <c r="M143" s="12">
        <v>0</v>
      </c>
      <c r="N143" s="12">
        <v>0</v>
      </c>
      <c r="O143" s="12">
        <v>0</v>
      </c>
      <c r="P143" s="12">
        <v>0</v>
      </c>
      <c r="Q143" s="12">
        <v>0</v>
      </c>
      <c r="R143" s="12">
        <v>0</v>
      </c>
    </row>
    <row r="144" spans="1:19" x14ac:dyDescent="0.25">
      <c r="A144" s="13">
        <v>45860.729097222225</v>
      </c>
      <c r="B144" t="s">
        <v>355</v>
      </c>
      <c r="C144" t="s">
        <v>358</v>
      </c>
      <c r="D144" t="s">
        <v>10</v>
      </c>
      <c r="E144" t="s">
        <v>11</v>
      </c>
      <c r="F144" t="s">
        <v>15</v>
      </c>
      <c r="G144">
        <v>3</v>
      </c>
      <c r="H144" s="12">
        <v>0</v>
      </c>
      <c r="I144" s="12">
        <v>0</v>
      </c>
      <c r="J144" s="12">
        <v>0</v>
      </c>
      <c r="K144" s="12">
        <v>0</v>
      </c>
      <c r="L144" s="12">
        <v>0</v>
      </c>
      <c r="M144" s="12">
        <v>0</v>
      </c>
      <c r="N144" s="12">
        <v>0</v>
      </c>
      <c r="O144" s="12">
        <v>1</v>
      </c>
      <c r="P144" s="12">
        <v>0</v>
      </c>
      <c r="Q144" s="12">
        <v>0</v>
      </c>
      <c r="R144" s="12">
        <v>0</v>
      </c>
    </row>
    <row r="145" spans="1:19" x14ac:dyDescent="0.25">
      <c r="A145" s="13">
        <v>45860.72928240741</v>
      </c>
      <c r="B145" t="s">
        <v>355</v>
      </c>
      <c r="C145" t="s">
        <v>358</v>
      </c>
      <c r="D145" t="s">
        <v>10</v>
      </c>
      <c r="E145" t="s">
        <v>11</v>
      </c>
      <c r="F145" t="s">
        <v>14</v>
      </c>
      <c r="G145">
        <v>0.5</v>
      </c>
      <c r="H145" s="12">
        <v>0</v>
      </c>
      <c r="I145" s="12">
        <v>0</v>
      </c>
      <c r="J145" s="12">
        <v>0</v>
      </c>
      <c r="K145" s="12">
        <v>0</v>
      </c>
      <c r="L145" s="12">
        <v>0</v>
      </c>
      <c r="M145" s="12">
        <v>0</v>
      </c>
      <c r="N145" s="12">
        <v>0</v>
      </c>
      <c r="O145" s="12">
        <v>0</v>
      </c>
      <c r="P145" s="12">
        <v>1</v>
      </c>
      <c r="Q145" s="12">
        <v>0</v>
      </c>
      <c r="R145" s="12">
        <v>0</v>
      </c>
    </row>
    <row r="146" spans="1:19" x14ac:dyDescent="0.25">
      <c r="A146" s="13">
        <v>45860.729467592595</v>
      </c>
      <c r="B146" t="s">
        <v>355</v>
      </c>
      <c r="C146" t="s">
        <v>358</v>
      </c>
      <c r="D146" t="s">
        <v>10</v>
      </c>
      <c r="E146" t="s">
        <v>11</v>
      </c>
      <c r="F146" t="s">
        <v>14</v>
      </c>
      <c r="G146">
        <v>0.5</v>
      </c>
      <c r="H146" s="12">
        <v>0</v>
      </c>
      <c r="I146" s="12">
        <v>0</v>
      </c>
      <c r="J146" s="12">
        <v>0</v>
      </c>
      <c r="K146" s="12">
        <v>0</v>
      </c>
      <c r="L146" s="12">
        <v>0</v>
      </c>
      <c r="M146" s="12">
        <v>0</v>
      </c>
      <c r="N146" s="12">
        <v>0</v>
      </c>
      <c r="O146" s="12">
        <v>0</v>
      </c>
      <c r="P146" s="12">
        <v>0</v>
      </c>
      <c r="Q146" s="12">
        <v>1</v>
      </c>
      <c r="R146" s="12">
        <v>0</v>
      </c>
    </row>
    <row r="147" spans="1:19" x14ac:dyDescent="0.25">
      <c r="A147" s="13">
        <v>45861.452638888892</v>
      </c>
      <c r="B147" t="s">
        <v>347</v>
      </c>
      <c r="C147" t="s">
        <v>359</v>
      </c>
      <c r="D147" t="s">
        <v>10</v>
      </c>
      <c r="E147" t="s">
        <v>11</v>
      </c>
      <c r="F147" t="s">
        <v>14</v>
      </c>
      <c r="G147">
        <v>0.5</v>
      </c>
      <c r="H147" s="12">
        <v>0</v>
      </c>
      <c r="I147" s="12">
        <v>0</v>
      </c>
      <c r="J147" s="12">
        <v>0</v>
      </c>
      <c r="K147" s="12">
        <v>0</v>
      </c>
      <c r="L147" s="12">
        <v>0</v>
      </c>
      <c r="M147" s="12">
        <v>0</v>
      </c>
      <c r="N147" s="12">
        <v>0</v>
      </c>
      <c r="O147" s="12">
        <v>0</v>
      </c>
      <c r="P147" s="12">
        <v>1</v>
      </c>
      <c r="Q147" s="12">
        <v>0</v>
      </c>
      <c r="R147" s="12">
        <v>0</v>
      </c>
      <c r="S147" t="s">
        <v>49</v>
      </c>
    </row>
    <row r="148" spans="1:19" x14ac:dyDescent="0.25">
      <c r="A148" s="13">
        <v>45861.452847222223</v>
      </c>
      <c r="B148" t="s">
        <v>347</v>
      </c>
      <c r="C148" t="s">
        <v>359</v>
      </c>
      <c r="D148" t="s">
        <v>10</v>
      </c>
      <c r="E148" t="s">
        <v>11</v>
      </c>
      <c r="F148" t="s">
        <v>14</v>
      </c>
      <c r="G148">
        <v>0.5</v>
      </c>
      <c r="H148" s="12">
        <v>0</v>
      </c>
      <c r="I148" s="12">
        <v>0</v>
      </c>
      <c r="J148" s="12">
        <v>0</v>
      </c>
      <c r="K148" s="12">
        <v>0</v>
      </c>
      <c r="L148" s="12">
        <v>0</v>
      </c>
      <c r="M148" s="12">
        <v>0</v>
      </c>
      <c r="N148" s="12">
        <v>0</v>
      </c>
      <c r="O148" s="12">
        <v>0</v>
      </c>
      <c r="P148" s="12">
        <v>1</v>
      </c>
      <c r="Q148" s="12">
        <v>0</v>
      </c>
      <c r="R148" s="12">
        <v>0</v>
      </c>
      <c r="S148" t="s">
        <v>49</v>
      </c>
    </row>
    <row r="149" spans="1:19" x14ac:dyDescent="0.25">
      <c r="A149" s="13">
        <v>45862.389016203706</v>
      </c>
      <c r="B149" t="s">
        <v>352</v>
      </c>
      <c r="C149" t="s">
        <v>360</v>
      </c>
      <c r="D149" t="s">
        <v>20</v>
      </c>
      <c r="E149" t="s">
        <v>11</v>
      </c>
      <c r="F149" t="s">
        <v>15</v>
      </c>
      <c r="G149">
        <v>3</v>
      </c>
      <c r="H149" s="12">
        <v>1</v>
      </c>
      <c r="I149" s="12">
        <v>0</v>
      </c>
      <c r="J149" s="12">
        <v>0</v>
      </c>
      <c r="K149" s="12">
        <v>0</v>
      </c>
      <c r="L149" s="12">
        <v>0</v>
      </c>
      <c r="M149" s="12">
        <v>0</v>
      </c>
      <c r="N149" s="12">
        <v>0</v>
      </c>
      <c r="O149" s="12">
        <v>0</v>
      </c>
      <c r="P149" s="12">
        <v>0</v>
      </c>
      <c r="Q149" s="12">
        <v>0</v>
      </c>
      <c r="R149" s="12">
        <v>0</v>
      </c>
      <c r="S149" t="s">
        <v>50</v>
      </c>
    </row>
    <row r="150" spans="1:19" x14ac:dyDescent="0.25">
      <c r="A150" s="13">
        <v>45862.522256944445</v>
      </c>
      <c r="B150" t="s">
        <v>350</v>
      </c>
      <c r="C150" t="s">
        <v>360</v>
      </c>
      <c r="D150" t="s">
        <v>10</v>
      </c>
      <c r="E150" t="s">
        <v>11</v>
      </c>
      <c r="F150" t="s">
        <v>18</v>
      </c>
      <c r="G150">
        <v>20</v>
      </c>
      <c r="H150" s="12">
        <v>0</v>
      </c>
      <c r="I150" s="12">
        <v>0</v>
      </c>
      <c r="J150" s="12">
        <v>0</v>
      </c>
      <c r="K150" s="12">
        <v>0</v>
      </c>
      <c r="L150" s="12">
        <v>1</v>
      </c>
      <c r="M150" s="12">
        <v>0</v>
      </c>
      <c r="N150" s="12">
        <v>0</v>
      </c>
      <c r="O150" s="12">
        <v>0</v>
      </c>
      <c r="P150" s="12">
        <v>0</v>
      </c>
      <c r="Q150" s="12">
        <v>0</v>
      </c>
      <c r="R150" s="12">
        <v>0</v>
      </c>
    </row>
    <row r="151" spans="1:19" x14ac:dyDescent="0.25">
      <c r="A151" s="13">
        <v>45862.554050925923</v>
      </c>
      <c r="B151" t="s">
        <v>351</v>
      </c>
      <c r="C151" t="s">
        <v>360</v>
      </c>
      <c r="D151" t="s">
        <v>10</v>
      </c>
      <c r="E151" t="s">
        <v>11</v>
      </c>
      <c r="F151" t="s">
        <v>12</v>
      </c>
      <c r="G151">
        <v>10.5</v>
      </c>
      <c r="H151" s="12">
        <v>0</v>
      </c>
      <c r="I151" s="12">
        <v>0</v>
      </c>
      <c r="J151" s="12">
        <v>0</v>
      </c>
      <c r="K151" s="12">
        <v>0</v>
      </c>
      <c r="L151" s="12">
        <v>0</v>
      </c>
      <c r="M151" s="12">
        <v>0</v>
      </c>
      <c r="N151" s="12">
        <v>0</v>
      </c>
      <c r="O151" s="12">
        <v>0</v>
      </c>
      <c r="P151" s="12">
        <v>1</v>
      </c>
      <c r="Q151" s="12">
        <v>0</v>
      </c>
      <c r="R151" s="12">
        <v>0</v>
      </c>
      <c r="S151" t="s">
        <v>51</v>
      </c>
    </row>
    <row r="152" spans="1:19" x14ac:dyDescent="0.25">
      <c r="A152" s="13">
        <v>45862.571655092594</v>
      </c>
      <c r="B152" t="s">
        <v>351</v>
      </c>
      <c r="C152" t="s">
        <v>360</v>
      </c>
      <c r="D152" t="s">
        <v>10</v>
      </c>
      <c r="E152" t="s">
        <v>11</v>
      </c>
      <c r="F152" t="s">
        <v>14</v>
      </c>
      <c r="G152">
        <v>0.5</v>
      </c>
      <c r="H152" s="12">
        <v>0</v>
      </c>
      <c r="I152" s="12">
        <v>0</v>
      </c>
      <c r="J152" s="12">
        <v>0</v>
      </c>
      <c r="K152" s="12">
        <v>0</v>
      </c>
      <c r="L152" s="12">
        <v>0</v>
      </c>
      <c r="M152" s="12">
        <v>0</v>
      </c>
      <c r="N152" s="12">
        <v>0</v>
      </c>
      <c r="O152" s="12">
        <v>0</v>
      </c>
      <c r="P152" s="12">
        <v>0</v>
      </c>
      <c r="Q152" s="12">
        <v>1</v>
      </c>
      <c r="R152" s="12">
        <v>0</v>
      </c>
      <c r="S152" t="s">
        <v>52</v>
      </c>
    </row>
    <row r="153" spans="1:19" x14ac:dyDescent="0.25">
      <c r="A153" s="13">
        <v>45862.581250000003</v>
      </c>
      <c r="B153" t="s">
        <v>351</v>
      </c>
      <c r="C153" t="s">
        <v>360</v>
      </c>
      <c r="D153" t="s">
        <v>10</v>
      </c>
      <c r="E153" t="s">
        <v>11</v>
      </c>
      <c r="F153" t="s">
        <v>14</v>
      </c>
      <c r="G153">
        <v>0.5</v>
      </c>
      <c r="H153" s="12">
        <v>0</v>
      </c>
      <c r="I153" s="12">
        <v>0</v>
      </c>
      <c r="J153" s="12">
        <v>0</v>
      </c>
      <c r="K153" s="12">
        <v>0</v>
      </c>
      <c r="L153" s="12">
        <v>0</v>
      </c>
      <c r="M153" s="12">
        <v>0</v>
      </c>
      <c r="N153" s="12">
        <v>0</v>
      </c>
      <c r="O153" s="12">
        <v>0</v>
      </c>
      <c r="P153" s="12">
        <v>0</v>
      </c>
      <c r="Q153" s="12">
        <v>1</v>
      </c>
      <c r="R153" s="12">
        <v>0</v>
      </c>
    </row>
    <row r="154" spans="1:19" x14ac:dyDescent="0.25">
      <c r="A154" s="13">
        <v>45863.517430555556</v>
      </c>
      <c r="B154" t="s">
        <v>350</v>
      </c>
      <c r="C154" t="s">
        <v>361</v>
      </c>
      <c r="D154" t="s">
        <v>10</v>
      </c>
      <c r="E154" t="s">
        <v>11</v>
      </c>
      <c r="F154" t="s">
        <v>15</v>
      </c>
      <c r="G154">
        <v>3</v>
      </c>
      <c r="H154" s="12">
        <v>0</v>
      </c>
      <c r="I154" s="12">
        <v>0</v>
      </c>
      <c r="J154" s="12">
        <v>0</v>
      </c>
      <c r="K154" s="12">
        <v>0</v>
      </c>
      <c r="L154" s="12">
        <v>0</v>
      </c>
      <c r="M154" s="12">
        <v>0</v>
      </c>
      <c r="N154" s="12">
        <v>1</v>
      </c>
      <c r="O154" s="12">
        <v>0</v>
      </c>
      <c r="P154" s="12">
        <v>0</v>
      </c>
      <c r="Q154" s="12">
        <v>0</v>
      </c>
      <c r="R154" s="12">
        <v>0</v>
      </c>
    </row>
    <row r="155" spans="1:19" x14ac:dyDescent="0.25">
      <c r="A155" s="13">
        <v>45863.517523148148</v>
      </c>
      <c r="B155" t="s">
        <v>350</v>
      </c>
      <c r="C155" t="s">
        <v>361</v>
      </c>
      <c r="D155" t="s">
        <v>10</v>
      </c>
      <c r="E155" t="s">
        <v>11</v>
      </c>
      <c r="F155" t="s">
        <v>15</v>
      </c>
      <c r="G155">
        <v>3</v>
      </c>
      <c r="H155" s="12">
        <v>0</v>
      </c>
      <c r="I155" s="12">
        <v>0</v>
      </c>
      <c r="J155" s="12">
        <v>0</v>
      </c>
      <c r="K155" s="12">
        <v>0</v>
      </c>
      <c r="L155" s="12">
        <v>0</v>
      </c>
      <c r="M155" s="12">
        <v>0</v>
      </c>
      <c r="N155" s="12">
        <v>1</v>
      </c>
      <c r="O155" s="12">
        <v>0</v>
      </c>
      <c r="P155" s="12">
        <v>0</v>
      </c>
      <c r="Q155" s="12">
        <v>0</v>
      </c>
      <c r="R155" s="12">
        <v>0</v>
      </c>
    </row>
    <row r="156" spans="1:19" x14ac:dyDescent="0.25">
      <c r="A156" s="13">
        <v>45863.542650462965</v>
      </c>
      <c r="B156" t="s">
        <v>351</v>
      </c>
      <c r="C156" t="s">
        <v>361</v>
      </c>
      <c r="D156" t="s">
        <v>10</v>
      </c>
      <c r="E156" t="s">
        <v>11</v>
      </c>
      <c r="F156" t="s">
        <v>14</v>
      </c>
      <c r="G156">
        <v>0.5</v>
      </c>
      <c r="H156" s="12">
        <v>0</v>
      </c>
      <c r="I156" s="12">
        <v>0</v>
      </c>
      <c r="J156" s="12">
        <v>0</v>
      </c>
      <c r="K156" s="12">
        <v>0</v>
      </c>
      <c r="L156" s="12">
        <v>0</v>
      </c>
      <c r="M156" s="12">
        <v>0</v>
      </c>
      <c r="N156" s="12">
        <v>0</v>
      </c>
      <c r="O156" s="12">
        <v>0</v>
      </c>
      <c r="P156" s="12">
        <v>1</v>
      </c>
      <c r="Q156" s="12">
        <v>0</v>
      </c>
      <c r="R156" s="12">
        <v>0</v>
      </c>
    </row>
    <row r="157" spans="1:19" x14ac:dyDescent="0.25">
      <c r="A157" s="13">
        <v>45863.542858796296</v>
      </c>
      <c r="B157" t="s">
        <v>351</v>
      </c>
      <c r="C157" t="s">
        <v>361</v>
      </c>
      <c r="D157" t="s">
        <v>10</v>
      </c>
      <c r="E157" t="s">
        <v>11</v>
      </c>
      <c r="F157" t="s">
        <v>18</v>
      </c>
      <c r="G157">
        <v>20</v>
      </c>
      <c r="H157" s="12">
        <v>0</v>
      </c>
      <c r="I157" s="12">
        <v>0</v>
      </c>
      <c r="J157" s="12">
        <v>0</v>
      </c>
      <c r="K157" s="12">
        <v>0</v>
      </c>
      <c r="L157" s="12">
        <v>1</v>
      </c>
      <c r="M157" s="12">
        <v>0</v>
      </c>
      <c r="N157" s="12">
        <v>0</v>
      </c>
      <c r="O157" s="12">
        <v>0</v>
      </c>
      <c r="P157" s="12">
        <v>1</v>
      </c>
      <c r="Q157" s="12">
        <v>0</v>
      </c>
      <c r="R157" s="12">
        <v>0</v>
      </c>
    </row>
    <row r="158" spans="1:19" x14ac:dyDescent="0.25">
      <c r="A158" s="13">
        <v>45863.606921296298</v>
      </c>
      <c r="B158" t="s">
        <v>348</v>
      </c>
      <c r="C158" t="s">
        <v>361</v>
      </c>
      <c r="D158" t="s">
        <v>10</v>
      </c>
      <c r="E158" t="s">
        <v>11</v>
      </c>
      <c r="F158" t="s">
        <v>18</v>
      </c>
      <c r="G158">
        <v>20</v>
      </c>
      <c r="H158" s="12">
        <v>1</v>
      </c>
      <c r="I158" s="12">
        <v>0</v>
      </c>
      <c r="J158" s="12">
        <v>1</v>
      </c>
      <c r="K158" s="12">
        <v>0</v>
      </c>
      <c r="L158" s="12">
        <v>1</v>
      </c>
      <c r="M158" s="12">
        <v>1</v>
      </c>
      <c r="N158" s="12">
        <v>0</v>
      </c>
      <c r="O158" s="12">
        <v>0</v>
      </c>
      <c r="P158" s="12">
        <v>1</v>
      </c>
      <c r="Q158" s="12">
        <v>0</v>
      </c>
      <c r="R158" s="12">
        <v>0</v>
      </c>
    </row>
    <row r="159" spans="1:19" x14ac:dyDescent="0.25">
      <c r="A159" s="13">
        <v>45863.60796296296</v>
      </c>
      <c r="B159" t="s">
        <v>348</v>
      </c>
      <c r="C159" t="s">
        <v>361</v>
      </c>
      <c r="D159" t="s">
        <v>10</v>
      </c>
      <c r="E159" t="s">
        <v>11</v>
      </c>
      <c r="F159" t="s">
        <v>12</v>
      </c>
      <c r="G159">
        <v>10.5</v>
      </c>
      <c r="H159" s="12">
        <v>1</v>
      </c>
      <c r="I159" s="12">
        <v>0</v>
      </c>
      <c r="J159" s="12">
        <v>1</v>
      </c>
      <c r="K159" s="12">
        <v>0</v>
      </c>
      <c r="L159" s="12">
        <v>0</v>
      </c>
      <c r="M159" s="12">
        <v>0</v>
      </c>
      <c r="N159" s="12">
        <v>0</v>
      </c>
      <c r="O159" s="12">
        <v>0</v>
      </c>
      <c r="P159" s="12">
        <v>0</v>
      </c>
      <c r="Q159" s="12">
        <v>0</v>
      </c>
      <c r="R159" s="12">
        <v>0</v>
      </c>
      <c r="S159" t="s">
        <v>53</v>
      </c>
    </row>
    <row r="160" spans="1:19" x14ac:dyDescent="0.25">
      <c r="A160" s="13">
        <v>45863.608113425929</v>
      </c>
      <c r="B160" t="s">
        <v>348</v>
      </c>
      <c r="C160" t="s">
        <v>361</v>
      </c>
      <c r="D160" t="s">
        <v>10</v>
      </c>
      <c r="E160" t="s">
        <v>11</v>
      </c>
      <c r="F160" t="s">
        <v>14</v>
      </c>
      <c r="G160">
        <v>0.5</v>
      </c>
      <c r="H160" s="12">
        <v>0</v>
      </c>
      <c r="I160" s="12">
        <v>0</v>
      </c>
      <c r="J160" s="12">
        <v>0</v>
      </c>
      <c r="K160" s="12">
        <v>0</v>
      </c>
      <c r="L160" s="12">
        <v>0</v>
      </c>
      <c r="M160" s="12">
        <v>0</v>
      </c>
      <c r="N160" s="12">
        <v>0</v>
      </c>
      <c r="O160" s="12">
        <v>0</v>
      </c>
      <c r="P160" s="12">
        <v>0</v>
      </c>
      <c r="Q160" s="12">
        <v>1</v>
      </c>
      <c r="R160" s="12">
        <v>0</v>
      </c>
    </row>
    <row r="161" spans="1:19" x14ac:dyDescent="0.25">
      <c r="A161" s="13">
        <v>45863.608344907407</v>
      </c>
      <c r="B161" t="s">
        <v>348</v>
      </c>
      <c r="C161" t="s">
        <v>361</v>
      </c>
      <c r="D161" t="s">
        <v>10</v>
      </c>
      <c r="E161" t="s">
        <v>11</v>
      </c>
      <c r="F161" t="s">
        <v>15</v>
      </c>
      <c r="G161">
        <v>3</v>
      </c>
      <c r="H161" s="12">
        <v>1</v>
      </c>
      <c r="I161" s="12">
        <v>0</v>
      </c>
      <c r="J161" s="12">
        <v>1</v>
      </c>
      <c r="K161" s="12">
        <v>0</v>
      </c>
      <c r="L161" s="12">
        <v>0</v>
      </c>
      <c r="M161" s="12">
        <v>0</v>
      </c>
      <c r="N161" s="12">
        <v>0</v>
      </c>
      <c r="O161" s="12">
        <v>0</v>
      </c>
      <c r="P161" s="12">
        <v>0</v>
      </c>
      <c r="Q161" s="12">
        <v>0</v>
      </c>
      <c r="R161" s="12">
        <v>0</v>
      </c>
    </row>
    <row r="162" spans="1:19" x14ac:dyDescent="0.25">
      <c r="A162" s="13">
        <v>45863.625648148147</v>
      </c>
      <c r="B162" t="s">
        <v>349</v>
      </c>
      <c r="C162" t="s">
        <v>361</v>
      </c>
      <c r="D162" t="s">
        <v>20</v>
      </c>
      <c r="E162" t="s">
        <v>11</v>
      </c>
      <c r="F162" t="s">
        <v>15</v>
      </c>
      <c r="G162">
        <v>3</v>
      </c>
      <c r="H162" s="12">
        <v>1</v>
      </c>
      <c r="I162" s="12">
        <v>0</v>
      </c>
      <c r="J162" s="12">
        <v>0</v>
      </c>
      <c r="K162" s="12">
        <v>0</v>
      </c>
      <c r="L162" s="12">
        <v>0</v>
      </c>
      <c r="M162" s="12">
        <v>0</v>
      </c>
      <c r="N162" s="12">
        <v>0</v>
      </c>
      <c r="O162" s="12">
        <v>0</v>
      </c>
      <c r="P162" s="12">
        <v>0</v>
      </c>
      <c r="Q162" s="12">
        <v>0</v>
      </c>
      <c r="R162" s="12">
        <v>0</v>
      </c>
    </row>
    <row r="163" spans="1:19" x14ac:dyDescent="0.25">
      <c r="A163" s="13">
        <v>45863.675138888888</v>
      </c>
      <c r="B163" t="s">
        <v>353</v>
      </c>
      <c r="C163" t="s">
        <v>361</v>
      </c>
      <c r="D163" t="s">
        <v>20</v>
      </c>
      <c r="E163" t="s">
        <v>11</v>
      </c>
      <c r="F163" t="s">
        <v>15</v>
      </c>
      <c r="G163">
        <v>3</v>
      </c>
      <c r="H163" s="12">
        <v>0</v>
      </c>
      <c r="I163" s="12">
        <v>0</v>
      </c>
      <c r="J163" s="12">
        <v>1</v>
      </c>
      <c r="K163" s="12">
        <v>0</v>
      </c>
      <c r="L163" s="12">
        <v>0</v>
      </c>
      <c r="M163" s="12">
        <v>0</v>
      </c>
      <c r="N163" s="12">
        <v>0</v>
      </c>
      <c r="O163" s="12">
        <v>0</v>
      </c>
      <c r="P163" s="12">
        <v>0</v>
      </c>
      <c r="Q163" s="12">
        <v>0</v>
      </c>
      <c r="R163" s="12">
        <v>0</v>
      </c>
    </row>
    <row r="164" spans="1:19" x14ac:dyDescent="0.25">
      <c r="A164" s="13">
        <v>45863.675254629627</v>
      </c>
      <c r="B164" t="s">
        <v>353</v>
      </c>
      <c r="C164" t="s">
        <v>361</v>
      </c>
      <c r="D164" t="s">
        <v>10</v>
      </c>
      <c r="E164" t="s">
        <v>11</v>
      </c>
      <c r="F164" t="s">
        <v>15</v>
      </c>
      <c r="G164">
        <v>3</v>
      </c>
      <c r="H164" s="12">
        <v>0</v>
      </c>
      <c r="I164" s="12">
        <v>0</v>
      </c>
      <c r="J164" s="12">
        <v>0</v>
      </c>
      <c r="K164" s="12">
        <v>0</v>
      </c>
      <c r="L164" s="12">
        <v>1</v>
      </c>
      <c r="M164" s="12">
        <v>0</v>
      </c>
      <c r="N164" s="12">
        <v>0</v>
      </c>
      <c r="O164" s="12">
        <v>0</v>
      </c>
      <c r="P164" s="12">
        <v>0</v>
      </c>
      <c r="Q164" s="12">
        <v>0</v>
      </c>
      <c r="R164" s="12">
        <v>0</v>
      </c>
    </row>
    <row r="165" spans="1:19" x14ac:dyDescent="0.25">
      <c r="A165" s="13">
        <v>45863.737685185188</v>
      </c>
      <c r="B165" t="s">
        <v>355</v>
      </c>
      <c r="C165" t="s">
        <v>361</v>
      </c>
      <c r="D165" t="s">
        <v>10</v>
      </c>
      <c r="E165" t="s">
        <v>11</v>
      </c>
      <c r="F165" t="s">
        <v>15</v>
      </c>
      <c r="G165">
        <v>3</v>
      </c>
      <c r="H165" s="12">
        <v>0</v>
      </c>
      <c r="I165" s="12">
        <v>0</v>
      </c>
      <c r="J165" s="12">
        <v>0</v>
      </c>
      <c r="K165" s="12">
        <v>0</v>
      </c>
      <c r="L165" s="12">
        <v>1</v>
      </c>
      <c r="M165" s="12">
        <v>0</v>
      </c>
      <c r="N165" s="12">
        <v>0</v>
      </c>
      <c r="O165" s="12">
        <v>0</v>
      </c>
      <c r="P165" s="12">
        <v>0</v>
      </c>
      <c r="Q165" s="12">
        <v>0</v>
      </c>
      <c r="R165" s="12">
        <v>0</v>
      </c>
    </row>
    <row r="166" spans="1:19" x14ac:dyDescent="0.25">
      <c r="A166" s="13">
        <v>45863.737847222219</v>
      </c>
      <c r="B166" t="s">
        <v>355</v>
      </c>
      <c r="C166" t="s">
        <v>361</v>
      </c>
      <c r="D166" t="s">
        <v>10</v>
      </c>
      <c r="E166" t="s">
        <v>11</v>
      </c>
      <c r="F166" t="s">
        <v>15</v>
      </c>
      <c r="G166">
        <v>3</v>
      </c>
      <c r="H166" s="12">
        <v>0</v>
      </c>
      <c r="I166" s="12">
        <v>0</v>
      </c>
      <c r="J166" s="12">
        <v>0</v>
      </c>
      <c r="K166" s="12">
        <v>0</v>
      </c>
      <c r="L166" s="12">
        <v>0</v>
      </c>
      <c r="M166" s="12">
        <v>0</v>
      </c>
      <c r="N166" s="12">
        <v>1</v>
      </c>
      <c r="O166" s="12">
        <v>0</v>
      </c>
      <c r="P166" s="12">
        <v>0</v>
      </c>
      <c r="Q166" s="12">
        <v>0</v>
      </c>
      <c r="R166" s="12">
        <v>0</v>
      </c>
    </row>
    <row r="167" spans="1:19" x14ac:dyDescent="0.25">
      <c r="A167" s="13">
        <v>45863.737939814811</v>
      </c>
      <c r="B167" t="s">
        <v>355</v>
      </c>
      <c r="C167" t="s">
        <v>361</v>
      </c>
      <c r="D167" t="s">
        <v>10</v>
      </c>
      <c r="E167" t="s">
        <v>11</v>
      </c>
      <c r="F167" t="s">
        <v>14</v>
      </c>
      <c r="G167">
        <v>0.5</v>
      </c>
      <c r="H167" s="12">
        <v>0</v>
      </c>
      <c r="I167" s="12">
        <v>0</v>
      </c>
      <c r="J167" s="12">
        <v>0</v>
      </c>
      <c r="K167" s="12">
        <v>0</v>
      </c>
      <c r="L167" s="12">
        <v>0</v>
      </c>
      <c r="M167" s="12">
        <v>0</v>
      </c>
      <c r="N167" s="12">
        <v>0</v>
      </c>
      <c r="O167" s="12">
        <v>0</v>
      </c>
      <c r="P167" s="12">
        <v>0</v>
      </c>
      <c r="Q167" s="12">
        <v>1</v>
      </c>
      <c r="R167" s="12">
        <v>0</v>
      </c>
    </row>
    <row r="168" spans="1:19" x14ac:dyDescent="0.25">
      <c r="A168" s="13">
        <v>45863.738043981481</v>
      </c>
      <c r="B168" t="s">
        <v>355</v>
      </c>
      <c r="C168" t="s">
        <v>361</v>
      </c>
      <c r="D168" t="s">
        <v>10</v>
      </c>
      <c r="E168" t="s">
        <v>11</v>
      </c>
      <c r="F168" t="s">
        <v>14</v>
      </c>
      <c r="G168">
        <v>0.5</v>
      </c>
      <c r="H168" s="12">
        <v>0</v>
      </c>
      <c r="I168" s="12">
        <v>0</v>
      </c>
      <c r="J168" s="12">
        <v>0</v>
      </c>
      <c r="K168" s="12">
        <v>0</v>
      </c>
      <c r="L168" s="12">
        <v>0</v>
      </c>
      <c r="M168" s="12">
        <v>0</v>
      </c>
      <c r="N168" s="12">
        <v>0</v>
      </c>
      <c r="O168" s="12">
        <v>0</v>
      </c>
      <c r="P168" s="12">
        <v>1</v>
      </c>
      <c r="Q168" s="12">
        <v>0</v>
      </c>
      <c r="R168" s="12">
        <v>0</v>
      </c>
    </row>
    <row r="169" spans="1:19" x14ac:dyDescent="0.25">
      <c r="A169" s="13">
        <v>45863.738217592596</v>
      </c>
      <c r="B169" t="s">
        <v>355</v>
      </c>
      <c r="C169" t="s">
        <v>361</v>
      </c>
      <c r="D169" t="s">
        <v>10</v>
      </c>
      <c r="E169" t="s">
        <v>11</v>
      </c>
      <c r="F169" t="s">
        <v>14</v>
      </c>
      <c r="G169">
        <v>0.5</v>
      </c>
      <c r="H169" s="12">
        <v>0</v>
      </c>
      <c r="I169" s="12">
        <v>0</v>
      </c>
      <c r="J169" s="12">
        <v>0</v>
      </c>
      <c r="K169" s="12">
        <v>0</v>
      </c>
      <c r="L169" s="12">
        <v>0</v>
      </c>
      <c r="M169" s="12">
        <v>0</v>
      </c>
      <c r="N169" s="12">
        <v>0</v>
      </c>
      <c r="O169" s="12">
        <v>0</v>
      </c>
      <c r="P169" s="12">
        <v>0</v>
      </c>
      <c r="Q169" s="12">
        <v>0</v>
      </c>
      <c r="R169" s="12">
        <v>1</v>
      </c>
    </row>
    <row r="170" spans="1:19" x14ac:dyDescent="0.25">
      <c r="A170" s="13">
        <v>45864.449259259258</v>
      </c>
      <c r="B170" t="s">
        <v>347</v>
      </c>
      <c r="C170" t="s">
        <v>362</v>
      </c>
      <c r="D170" t="s">
        <v>10</v>
      </c>
      <c r="E170" t="s">
        <v>11</v>
      </c>
      <c r="F170" t="s">
        <v>18</v>
      </c>
      <c r="G170">
        <v>20</v>
      </c>
      <c r="H170" s="12">
        <v>0</v>
      </c>
      <c r="I170" s="12">
        <v>1</v>
      </c>
      <c r="J170" s="12">
        <v>1</v>
      </c>
      <c r="K170" s="12">
        <v>0</v>
      </c>
      <c r="L170" s="12">
        <v>1</v>
      </c>
      <c r="M170" s="12">
        <v>0</v>
      </c>
      <c r="N170" s="12">
        <v>0</v>
      </c>
      <c r="O170" s="12">
        <v>0</v>
      </c>
      <c r="P170" s="12">
        <v>1</v>
      </c>
      <c r="Q170" s="12">
        <v>0</v>
      </c>
      <c r="R170" s="12">
        <v>0</v>
      </c>
    </row>
    <row r="171" spans="1:19" x14ac:dyDescent="0.25">
      <c r="A171" s="13">
        <v>45864.450266203705</v>
      </c>
      <c r="B171" t="s">
        <v>347</v>
      </c>
      <c r="C171" t="s">
        <v>362</v>
      </c>
      <c r="D171" t="s">
        <v>10</v>
      </c>
      <c r="E171" t="s">
        <v>11</v>
      </c>
      <c r="F171" t="s">
        <v>14</v>
      </c>
      <c r="G171">
        <v>0.5</v>
      </c>
      <c r="H171" s="12">
        <v>0</v>
      </c>
      <c r="I171" s="12">
        <v>0</v>
      </c>
      <c r="J171" s="12">
        <v>0</v>
      </c>
      <c r="K171" s="12">
        <v>0</v>
      </c>
      <c r="L171" s="12">
        <v>0</v>
      </c>
      <c r="M171" s="12">
        <v>0</v>
      </c>
      <c r="N171" s="12">
        <v>0</v>
      </c>
      <c r="O171" s="12">
        <v>0</v>
      </c>
      <c r="P171" s="12">
        <v>1</v>
      </c>
      <c r="Q171" s="12">
        <v>0</v>
      </c>
      <c r="R171" s="12">
        <v>0</v>
      </c>
    </row>
    <row r="172" spans="1:19" x14ac:dyDescent="0.25">
      <c r="A172" s="13">
        <v>45864.450428240743</v>
      </c>
      <c r="B172" t="s">
        <v>347</v>
      </c>
      <c r="C172" t="s">
        <v>362</v>
      </c>
      <c r="D172" t="s">
        <v>10</v>
      </c>
      <c r="E172" t="s">
        <v>11</v>
      </c>
      <c r="F172" t="s">
        <v>14</v>
      </c>
      <c r="G172">
        <v>0.5</v>
      </c>
      <c r="H172" s="12">
        <v>0</v>
      </c>
      <c r="I172" s="12">
        <v>0</v>
      </c>
      <c r="J172" s="12">
        <v>0</v>
      </c>
      <c r="K172" s="12">
        <v>0</v>
      </c>
      <c r="L172" s="12">
        <v>0</v>
      </c>
      <c r="M172" s="12">
        <v>0</v>
      </c>
      <c r="N172" s="12">
        <v>0</v>
      </c>
      <c r="O172" s="12">
        <v>0</v>
      </c>
      <c r="P172" s="12">
        <v>1</v>
      </c>
      <c r="Q172" s="12">
        <v>0</v>
      </c>
      <c r="R172" s="12">
        <v>0</v>
      </c>
    </row>
    <row r="173" spans="1:19" x14ac:dyDescent="0.25">
      <c r="A173" s="13">
        <v>45867.55265046296</v>
      </c>
      <c r="B173" t="s">
        <v>351</v>
      </c>
      <c r="C173" t="s">
        <v>358</v>
      </c>
      <c r="D173" t="s">
        <v>10</v>
      </c>
      <c r="E173" t="s">
        <v>11</v>
      </c>
      <c r="F173" t="s">
        <v>14</v>
      </c>
      <c r="G173">
        <v>0.5</v>
      </c>
      <c r="H173" s="12">
        <v>0</v>
      </c>
      <c r="I173" s="12">
        <v>0</v>
      </c>
      <c r="J173" s="12">
        <v>0</v>
      </c>
      <c r="K173" s="12">
        <v>0</v>
      </c>
      <c r="L173" s="12">
        <v>0</v>
      </c>
      <c r="M173" s="12">
        <v>0</v>
      </c>
      <c r="N173" s="12">
        <v>0</v>
      </c>
      <c r="O173" s="12">
        <v>0</v>
      </c>
      <c r="P173" s="12">
        <v>0</v>
      </c>
      <c r="Q173" s="12">
        <v>0</v>
      </c>
      <c r="R173" s="12">
        <v>0</v>
      </c>
      <c r="S173" t="s">
        <v>23</v>
      </c>
    </row>
    <row r="174" spans="1:19" x14ac:dyDescent="0.25">
      <c r="A174" s="13">
        <v>45867.557280092595</v>
      </c>
      <c r="B174" t="s">
        <v>351</v>
      </c>
      <c r="C174" t="s">
        <v>358</v>
      </c>
      <c r="D174" t="s">
        <v>10</v>
      </c>
      <c r="E174" t="s">
        <v>11</v>
      </c>
      <c r="F174" t="s">
        <v>14</v>
      </c>
      <c r="G174">
        <v>0.5</v>
      </c>
      <c r="H174" s="12">
        <v>0</v>
      </c>
      <c r="I174" s="12">
        <v>0</v>
      </c>
      <c r="J174" s="12">
        <v>0</v>
      </c>
      <c r="K174" s="12">
        <v>0</v>
      </c>
      <c r="L174" s="12">
        <v>0</v>
      </c>
      <c r="M174" s="12">
        <v>0</v>
      </c>
      <c r="N174" s="12">
        <v>0</v>
      </c>
      <c r="O174" s="12">
        <v>0</v>
      </c>
      <c r="P174" s="12">
        <v>0</v>
      </c>
      <c r="Q174" s="12">
        <v>1</v>
      </c>
      <c r="R174" s="12">
        <v>0</v>
      </c>
    </row>
    <row r="175" spans="1:19" x14ac:dyDescent="0.25">
      <c r="A175" s="13">
        <v>45867.585775462961</v>
      </c>
      <c r="B175" t="s">
        <v>348</v>
      </c>
      <c r="C175" t="s">
        <v>358</v>
      </c>
      <c r="D175" t="s">
        <v>10</v>
      </c>
      <c r="E175" t="s">
        <v>11</v>
      </c>
      <c r="F175" t="s">
        <v>15</v>
      </c>
      <c r="G175">
        <v>3</v>
      </c>
      <c r="H175" s="12">
        <v>0</v>
      </c>
      <c r="I175" s="12">
        <v>0</v>
      </c>
      <c r="J175" s="12">
        <v>0</v>
      </c>
      <c r="K175" s="12">
        <v>0</v>
      </c>
      <c r="L175" s="12">
        <v>0</v>
      </c>
      <c r="M175" s="12">
        <v>1</v>
      </c>
      <c r="N175" s="12">
        <v>0</v>
      </c>
      <c r="O175" s="12">
        <v>0</v>
      </c>
      <c r="P175" s="12">
        <v>0</v>
      </c>
      <c r="Q175" s="12">
        <v>0</v>
      </c>
      <c r="R175" s="12">
        <v>0</v>
      </c>
    </row>
    <row r="176" spans="1:19" x14ac:dyDescent="0.25">
      <c r="A176" s="13">
        <v>45867.585844907408</v>
      </c>
      <c r="B176" t="s">
        <v>348</v>
      </c>
      <c r="C176" t="s">
        <v>358</v>
      </c>
      <c r="D176" t="s">
        <v>10</v>
      </c>
      <c r="E176" t="s">
        <v>11</v>
      </c>
      <c r="F176" t="s">
        <v>15</v>
      </c>
      <c r="G176">
        <v>3</v>
      </c>
      <c r="H176" s="12">
        <v>1</v>
      </c>
      <c r="I176" s="12">
        <v>0</v>
      </c>
      <c r="J176" s="12">
        <v>0</v>
      </c>
      <c r="K176" s="12">
        <v>0</v>
      </c>
      <c r="L176" s="12">
        <v>0</v>
      </c>
      <c r="M176" s="12">
        <v>0</v>
      </c>
      <c r="N176" s="12">
        <v>0</v>
      </c>
      <c r="O176" s="12">
        <v>0</v>
      </c>
      <c r="P176" s="12">
        <v>0</v>
      </c>
      <c r="Q176" s="12">
        <v>0</v>
      </c>
      <c r="R176" s="12">
        <v>0</v>
      </c>
    </row>
    <row r="177" spans="1:19" x14ac:dyDescent="0.25">
      <c r="A177" s="13">
        <v>45867.612881944442</v>
      </c>
      <c r="B177" t="s">
        <v>348</v>
      </c>
      <c r="C177" t="s">
        <v>358</v>
      </c>
      <c r="D177" t="s">
        <v>10</v>
      </c>
      <c r="E177" t="s">
        <v>11</v>
      </c>
      <c r="F177" t="s">
        <v>15</v>
      </c>
      <c r="G177">
        <v>3</v>
      </c>
      <c r="H177" s="12">
        <v>0</v>
      </c>
      <c r="I177" s="12">
        <v>0</v>
      </c>
      <c r="J177" s="12">
        <v>0</v>
      </c>
      <c r="K177" s="12">
        <v>0</v>
      </c>
      <c r="L177" s="12">
        <v>0</v>
      </c>
      <c r="M177" s="12">
        <v>0</v>
      </c>
      <c r="N177" s="12">
        <v>1</v>
      </c>
      <c r="O177" s="12">
        <v>0</v>
      </c>
      <c r="P177" s="12">
        <v>0</v>
      </c>
      <c r="Q177" s="12">
        <v>0</v>
      </c>
      <c r="R177" s="12">
        <v>0</v>
      </c>
    </row>
    <row r="178" spans="1:19" x14ac:dyDescent="0.25">
      <c r="A178" s="13">
        <v>45868.460266203707</v>
      </c>
      <c r="B178" t="s">
        <v>354</v>
      </c>
      <c r="C178" t="s">
        <v>359</v>
      </c>
      <c r="D178" t="s">
        <v>10</v>
      </c>
      <c r="E178" t="s">
        <v>11</v>
      </c>
      <c r="F178" t="s">
        <v>14</v>
      </c>
      <c r="G178">
        <v>0.5</v>
      </c>
      <c r="H178" s="12">
        <v>0</v>
      </c>
      <c r="I178" s="12">
        <v>0</v>
      </c>
      <c r="J178" s="12">
        <v>0</v>
      </c>
      <c r="K178" s="12">
        <v>0</v>
      </c>
      <c r="L178" s="12">
        <v>0</v>
      </c>
      <c r="M178" s="12">
        <v>0</v>
      </c>
      <c r="N178" s="12">
        <v>0</v>
      </c>
      <c r="O178" s="12">
        <v>0</v>
      </c>
      <c r="P178" s="12">
        <v>0</v>
      </c>
      <c r="Q178" s="12">
        <v>0</v>
      </c>
      <c r="R178" s="12">
        <v>1</v>
      </c>
      <c r="S178" t="s">
        <v>54</v>
      </c>
    </row>
    <row r="179" spans="1:19" x14ac:dyDescent="0.25">
      <c r="A179" s="13">
        <v>45868.530289351853</v>
      </c>
      <c r="B179" t="s">
        <v>350</v>
      </c>
      <c r="C179" t="s">
        <v>359</v>
      </c>
      <c r="D179" t="s">
        <v>10</v>
      </c>
      <c r="E179" t="s">
        <v>11</v>
      </c>
      <c r="F179" t="s">
        <v>12</v>
      </c>
      <c r="G179">
        <v>10.5</v>
      </c>
      <c r="H179" s="12">
        <v>1</v>
      </c>
      <c r="I179" s="12">
        <v>0</v>
      </c>
      <c r="J179" s="12">
        <v>1</v>
      </c>
      <c r="K179" s="12">
        <v>0</v>
      </c>
      <c r="L179" s="12">
        <v>0</v>
      </c>
      <c r="M179" s="12">
        <v>0</v>
      </c>
      <c r="N179" s="12">
        <v>0</v>
      </c>
      <c r="O179" s="12">
        <v>0</v>
      </c>
      <c r="P179" s="12">
        <v>0</v>
      </c>
      <c r="Q179" s="12">
        <v>0</v>
      </c>
      <c r="R179" s="12">
        <v>0</v>
      </c>
    </row>
    <row r="180" spans="1:19" x14ac:dyDescent="0.25">
      <c r="A180" s="13">
        <v>45868.530497685184</v>
      </c>
      <c r="B180" t="s">
        <v>350</v>
      </c>
      <c r="C180" t="s">
        <v>359</v>
      </c>
      <c r="D180" t="s">
        <v>10</v>
      </c>
      <c r="E180" t="s">
        <v>11</v>
      </c>
      <c r="F180" t="s">
        <v>12</v>
      </c>
      <c r="G180">
        <v>10.5</v>
      </c>
      <c r="H180" s="12">
        <v>0</v>
      </c>
      <c r="I180" s="12">
        <v>1</v>
      </c>
      <c r="J180" s="12">
        <v>1</v>
      </c>
      <c r="K180" s="12">
        <v>1</v>
      </c>
      <c r="L180" s="12">
        <v>0</v>
      </c>
      <c r="M180" s="12">
        <v>0</v>
      </c>
      <c r="N180" s="12">
        <v>0</v>
      </c>
      <c r="O180" s="12">
        <v>0</v>
      </c>
      <c r="P180" s="12">
        <v>0</v>
      </c>
      <c r="Q180" s="12">
        <v>0</v>
      </c>
      <c r="R180" s="12">
        <v>0</v>
      </c>
    </row>
    <row r="181" spans="1:19" x14ac:dyDescent="0.25">
      <c r="A181" s="13">
        <v>45868.530717592592</v>
      </c>
      <c r="B181" t="s">
        <v>350</v>
      </c>
      <c r="C181" t="s">
        <v>359</v>
      </c>
      <c r="D181" t="s">
        <v>10</v>
      </c>
      <c r="E181" t="s">
        <v>11</v>
      </c>
      <c r="F181" t="s">
        <v>15</v>
      </c>
      <c r="G181">
        <v>3</v>
      </c>
      <c r="H181" s="12">
        <v>0</v>
      </c>
      <c r="I181" s="12">
        <v>0</v>
      </c>
      <c r="J181" s="12">
        <v>0</v>
      </c>
      <c r="K181" s="12">
        <v>0</v>
      </c>
      <c r="L181" s="12">
        <v>0</v>
      </c>
      <c r="M181" s="12">
        <v>0</v>
      </c>
      <c r="N181" s="12">
        <v>0</v>
      </c>
      <c r="O181" s="12">
        <v>0</v>
      </c>
      <c r="P181" s="12">
        <v>0</v>
      </c>
      <c r="Q181" s="12">
        <v>0</v>
      </c>
      <c r="R181" s="12">
        <v>1</v>
      </c>
    </row>
    <row r="182" spans="1:19" x14ac:dyDescent="0.25">
      <c r="A182" s="13">
        <v>45868.544606481482</v>
      </c>
      <c r="B182" t="s">
        <v>351</v>
      </c>
      <c r="C182" t="s">
        <v>359</v>
      </c>
      <c r="D182" t="s">
        <v>10</v>
      </c>
      <c r="E182" t="s">
        <v>11</v>
      </c>
      <c r="F182" t="s">
        <v>12</v>
      </c>
      <c r="G182">
        <v>10.5</v>
      </c>
      <c r="H182" s="12">
        <v>1</v>
      </c>
      <c r="I182" s="12">
        <v>0</v>
      </c>
      <c r="J182" s="12">
        <v>1</v>
      </c>
      <c r="K182" s="12">
        <v>0</v>
      </c>
      <c r="L182" s="12">
        <v>0</v>
      </c>
      <c r="M182" s="12">
        <v>0</v>
      </c>
      <c r="N182" s="12">
        <v>0</v>
      </c>
      <c r="O182" s="12">
        <v>0</v>
      </c>
      <c r="P182" s="12">
        <v>0</v>
      </c>
      <c r="Q182" s="12">
        <v>0</v>
      </c>
      <c r="R182" s="12">
        <v>0</v>
      </c>
    </row>
    <row r="183" spans="1:19" x14ac:dyDescent="0.25">
      <c r="A183" s="13">
        <v>45868.557326388887</v>
      </c>
      <c r="B183" t="s">
        <v>351</v>
      </c>
      <c r="C183" t="s">
        <v>359</v>
      </c>
      <c r="D183" t="s">
        <v>10</v>
      </c>
      <c r="E183" t="s">
        <v>11</v>
      </c>
      <c r="F183" t="s">
        <v>12</v>
      </c>
      <c r="G183">
        <v>10.5</v>
      </c>
      <c r="H183" s="12">
        <v>1</v>
      </c>
      <c r="I183" s="12">
        <v>0</v>
      </c>
      <c r="J183" s="12">
        <v>0</v>
      </c>
      <c r="K183" s="12">
        <v>0</v>
      </c>
      <c r="L183" s="12">
        <v>0</v>
      </c>
      <c r="M183" s="12">
        <v>1</v>
      </c>
      <c r="N183" s="12">
        <v>0</v>
      </c>
      <c r="O183" s="12">
        <v>0</v>
      </c>
      <c r="P183" s="12">
        <v>0</v>
      </c>
      <c r="Q183" s="12">
        <v>0</v>
      </c>
      <c r="R183" s="12">
        <v>0</v>
      </c>
    </row>
    <row r="184" spans="1:19" x14ac:dyDescent="0.25">
      <c r="A184" s="13">
        <v>45868.744814814818</v>
      </c>
      <c r="B184" t="s">
        <v>355</v>
      </c>
      <c r="C184" t="s">
        <v>359</v>
      </c>
      <c r="D184" t="s">
        <v>10</v>
      </c>
      <c r="E184" t="s">
        <v>11</v>
      </c>
      <c r="F184" t="s">
        <v>15</v>
      </c>
      <c r="G184">
        <v>3</v>
      </c>
      <c r="H184" s="12">
        <v>0</v>
      </c>
      <c r="I184" s="12">
        <v>0</v>
      </c>
      <c r="J184" s="12">
        <v>0</v>
      </c>
      <c r="K184" s="12">
        <v>0</v>
      </c>
      <c r="L184" s="12">
        <v>1</v>
      </c>
      <c r="M184" s="12">
        <v>0</v>
      </c>
      <c r="N184" s="12">
        <v>0</v>
      </c>
      <c r="O184" s="12">
        <v>0</v>
      </c>
      <c r="P184" s="12">
        <v>0</v>
      </c>
      <c r="Q184" s="12">
        <v>0</v>
      </c>
      <c r="R184" s="12">
        <v>0</v>
      </c>
    </row>
    <row r="185" spans="1:19" x14ac:dyDescent="0.25">
      <c r="A185" s="13">
        <v>45868.74795138889</v>
      </c>
      <c r="B185" t="s">
        <v>355</v>
      </c>
      <c r="C185" t="s">
        <v>359</v>
      </c>
      <c r="D185" t="s">
        <v>10</v>
      </c>
      <c r="E185" t="s">
        <v>11</v>
      </c>
      <c r="F185" t="s">
        <v>14</v>
      </c>
      <c r="G185">
        <v>0.5</v>
      </c>
      <c r="H185" s="12">
        <v>0</v>
      </c>
      <c r="I185" s="12">
        <v>0</v>
      </c>
      <c r="J185" s="12">
        <v>0</v>
      </c>
      <c r="K185" s="12">
        <v>0</v>
      </c>
      <c r="L185" s="12">
        <v>0</v>
      </c>
      <c r="M185" s="12">
        <v>0</v>
      </c>
      <c r="N185" s="12">
        <v>0</v>
      </c>
      <c r="O185" s="12">
        <v>0</v>
      </c>
      <c r="P185" s="12">
        <v>0</v>
      </c>
      <c r="Q185" s="12">
        <v>1</v>
      </c>
      <c r="R185" s="12">
        <v>0</v>
      </c>
    </row>
    <row r="186" spans="1:19" x14ac:dyDescent="0.25">
      <c r="A186" s="13">
        <v>45868.748182870368</v>
      </c>
      <c r="B186" t="s">
        <v>355</v>
      </c>
      <c r="C186" t="s">
        <v>359</v>
      </c>
      <c r="D186" t="s">
        <v>10</v>
      </c>
      <c r="E186" t="s">
        <v>11</v>
      </c>
      <c r="F186" t="s">
        <v>15</v>
      </c>
      <c r="G186">
        <v>3</v>
      </c>
      <c r="H186" s="12">
        <v>0</v>
      </c>
      <c r="I186" s="12">
        <v>0</v>
      </c>
      <c r="J186" s="12">
        <v>0</v>
      </c>
      <c r="K186" s="12">
        <v>0</v>
      </c>
      <c r="L186" s="12">
        <v>0</v>
      </c>
      <c r="M186" s="12">
        <v>1</v>
      </c>
      <c r="N186" s="12">
        <v>0</v>
      </c>
      <c r="O186" s="12">
        <v>0</v>
      </c>
      <c r="P186" s="12">
        <v>0</v>
      </c>
      <c r="Q186" s="12">
        <v>0</v>
      </c>
      <c r="R186" s="12">
        <v>0</v>
      </c>
    </row>
    <row r="187" spans="1:19" x14ac:dyDescent="0.25">
      <c r="A187" s="13">
        <v>45868.748298611114</v>
      </c>
      <c r="B187" t="s">
        <v>355</v>
      </c>
      <c r="C187" t="s">
        <v>359</v>
      </c>
      <c r="D187" t="s">
        <v>10</v>
      </c>
      <c r="E187" t="s">
        <v>11</v>
      </c>
      <c r="F187" t="s">
        <v>14</v>
      </c>
      <c r="G187">
        <v>0.5</v>
      </c>
      <c r="H187" s="12">
        <v>0</v>
      </c>
      <c r="I187" s="12">
        <v>0</v>
      </c>
      <c r="J187" s="12">
        <v>0</v>
      </c>
      <c r="K187" s="12">
        <v>0</v>
      </c>
      <c r="L187" s="12">
        <v>0</v>
      </c>
      <c r="M187" s="12">
        <v>0</v>
      </c>
      <c r="N187" s="12">
        <v>0</v>
      </c>
      <c r="O187" s="12">
        <v>0</v>
      </c>
      <c r="P187" s="12">
        <v>0</v>
      </c>
      <c r="Q187" s="12">
        <v>1</v>
      </c>
      <c r="R187" s="12">
        <v>0</v>
      </c>
    </row>
    <row r="188" spans="1:19" x14ac:dyDescent="0.25">
      <c r="A188" s="13">
        <v>45868.748530092591</v>
      </c>
      <c r="B188" t="s">
        <v>355</v>
      </c>
      <c r="C188" t="s">
        <v>359</v>
      </c>
      <c r="D188" t="s">
        <v>10</v>
      </c>
      <c r="E188" t="s">
        <v>11</v>
      </c>
      <c r="F188" t="s">
        <v>14</v>
      </c>
      <c r="G188">
        <v>0.5</v>
      </c>
      <c r="H188" s="12">
        <v>0</v>
      </c>
      <c r="I188" s="12">
        <v>0</v>
      </c>
      <c r="J188" s="12">
        <v>0</v>
      </c>
      <c r="K188" s="12">
        <v>0</v>
      </c>
      <c r="L188" s="12">
        <v>0</v>
      </c>
      <c r="M188" s="12">
        <v>0</v>
      </c>
      <c r="N188" s="12">
        <v>0</v>
      </c>
      <c r="O188" s="12">
        <v>1</v>
      </c>
      <c r="P188" s="12">
        <v>0</v>
      </c>
      <c r="Q188" s="12">
        <v>0</v>
      </c>
      <c r="R188" s="12">
        <v>0</v>
      </c>
    </row>
    <row r="189" spans="1:19" x14ac:dyDescent="0.25">
      <c r="A189" s="13">
        <v>45868.749097222222</v>
      </c>
      <c r="B189" t="s">
        <v>355</v>
      </c>
      <c r="C189" t="s">
        <v>359</v>
      </c>
      <c r="D189" t="s">
        <v>10</v>
      </c>
      <c r="E189" t="s">
        <v>11</v>
      </c>
      <c r="F189" t="s">
        <v>14</v>
      </c>
      <c r="G189">
        <v>0.5</v>
      </c>
      <c r="H189" s="12">
        <v>0</v>
      </c>
      <c r="I189" s="12">
        <v>0</v>
      </c>
      <c r="J189" s="12">
        <v>0</v>
      </c>
      <c r="K189" s="12">
        <v>0</v>
      </c>
      <c r="L189" s="12">
        <v>0</v>
      </c>
      <c r="M189" s="12">
        <v>0</v>
      </c>
      <c r="N189" s="12">
        <v>0</v>
      </c>
      <c r="O189" s="12">
        <v>0</v>
      </c>
      <c r="P189" s="12">
        <v>1</v>
      </c>
      <c r="Q189" s="12">
        <v>0</v>
      </c>
      <c r="R189" s="12">
        <v>0</v>
      </c>
    </row>
    <row r="190" spans="1:19" x14ac:dyDescent="0.25">
      <c r="A190" s="13">
        <v>45869.544999999998</v>
      </c>
      <c r="B190" t="s">
        <v>351</v>
      </c>
      <c r="C190" t="s">
        <v>360</v>
      </c>
      <c r="D190" t="s">
        <v>10</v>
      </c>
      <c r="E190" t="s">
        <v>11</v>
      </c>
      <c r="F190" t="s">
        <v>15</v>
      </c>
      <c r="G190">
        <v>3</v>
      </c>
      <c r="H190" s="12">
        <v>0</v>
      </c>
      <c r="I190" s="12">
        <v>1</v>
      </c>
      <c r="J190" s="12">
        <v>1</v>
      </c>
      <c r="K190" s="12">
        <v>0</v>
      </c>
      <c r="L190" s="12">
        <v>0</v>
      </c>
      <c r="M190" s="12">
        <v>0</v>
      </c>
      <c r="N190" s="12">
        <v>0</v>
      </c>
      <c r="O190" s="12">
        <v>0</v>
      </c>
      <c r="P190" s="12">
        <v>0</v>
      </c>
      <c r="Q190" s="12">
        <v>0</v>
      </c>
      <c r="R190" s="12">
        <v>0</v>
      </c>
    </row>
    <row r="191" spans="1:19" x14ac:dyDescent="0.25">
      <c r="A191" s="13">
        <v>45869.60052083333</v>
      </c>
      <c r="B191" t="s">
        <v>348</v>
      </c>
      <c r="C191" t="s">
        <v>360</v>
      </c>
      <c r="D191" t="s">
        <v>10</v>
      </c>
      <c r="E191" t="s">
        <v>11</v>
      </c>
      <c r="F191" t="s">
        <v>15</v>
      </c>
      <c r="G191">
        <v>3</v>
      </c>
      <c r="H191" s="12">
        <v>0</v>
      </c>
      <c r="I191" s="12">
        <v>0</v>
      </c>
      <c r="J191" s="12">
        <v>0</v>
      </c>
      <c r="K191" s="12">
        <v>0</v>
      </c>
      <c r="L191" s="12">
        <v>0</v>
      </c>
      <c r="M191" s="12">
        <v>0</v>
      </c>
      <c r="N191" s="12">
        <v>0</v>
      </c>
      <c r="O191" s="12">
        <v>0</v>
      </c>
      <c r="P191" s="12">
        <v>0</v>
      </c>
      <c r="Q191" s="12">
        <v>0</v>
      </c>
      <c r="R191" s="12">
        <v>1</v>
      </c>
      <c r="S191" t="s">
        <v>55</v>
      </c>
    </row>
    <row r="192" spans="1:19" x14ac:dyDescent="0.25">
      <c r="A192" s="13">
        <v>45869.600694444445</v>
      </c>
      <c r="B192" t="s">
        <v>348</v>
      </c>
      <c r="C192" t="s">
        <v>360</v>
      </c>
      <c r="D192" t="s">
        <v>10</v>
      </c>
      <c r="E192" t="s">
        <v>11</v>
      </c>
      <c r="F192" t="s">
        <v>12</v>
      </c>
      <c r="G192">
        <v>10.5</v>
      </c>
      <c r="H192" s="12">
        <v>1</v>
      </c>
      <c r="I192" s="12">
        <v>0</v>
      </c>
      <c r="J192" s="12">
        <v>1</v>
      </c>
      <c r="K192" s="12">
        <v>0</v>
      </c>
      <c r="L192" s="12">
        <v>0</v>
      </c>
      <c r="M192" s="12">
        <v>1</v>
      </c>
      <c r="N192" s="12">
        <v>0</v>
      </c>
      <c r="O192" s="12">
        <v>0</v>
      </c>
      <c r="P192" s="12">
        <v>0</v>
      </c>
      <c r="Q192" s="12">
        <v>0</v>
      </c>
      <c r="R192" s="12">
        <v>0</v>
      </c>
    </row>
    <row r="193" spans="1:19" x14ac:dyDescent="0.25">
      <c r="A193" s="13">
        <v>45869.616226851853</v>
      </c>
      <c r="B193" t="s">
        <v>348</v>
      </c>
      <c r="C193" t="s">
        <v>360</v>
      </c>
      <c r="D193" t="s">
        <v>10</v>
      </c>
      <c r="E193" t="s">
        <v>11</v>
      </c>
      <c r="F193" t="s">
        <v>14</v>
      </c>
      <c r="G193">
        <v>0.5</v>
      </c>
      <c r="H193" s="12">
        <v>0</v>
      </c>
      <c r="I193" s="12">
        <v>0</v>
      </c>
      <c r="J193" s="12">
        <v>0</v>
      </c>
      <c r="K193" s="12">
        <v>0</v>
      </c>
      <c r="L193" s="12">
        <v>0</v>
      </c>
      <c r="M193" s="12">
        <v>0</v>
      </c>
      <c r="N193" s="12">
        <v>0</v>
      </c>
      <c r="O193" s="12">
        <v>0</v>
      </c>
      <c r="P193" s="12">
        <v>0</v>
      </c>
      <c r="Q193" s="12">
        <v>1</v>
      </c>
      <c r="R193" s="12">
        <v>0</v>
      </c>
      <c r="S193" t="s">
        <v>56</v>
      </c>
    </row>
    <row r="194" spans="1:19" x14ac:dyDescent="0.25">
      <c r="A194" s="13">
        <v>45874.430798611109</v>
      </c>
      <c r="B194" t="s">
        <v>347</v>
      </c>
      <c r="C194" t="s">
        <v>358</v>
      </c>
      <c r="D194" t="s">
        <v>10</v>
      </c>
      <c r="E194" t="s">
        <v>11</v>
      </c>
      <c r="F194" t="s">
        <v>14</v>
      </c>
      <c r="G194">
        <v>0.5</v>
      </c>
      <c r="H194" s="12">
        <v>0</v>
      </c>
      <c r="I194" s="12">
        <v>0</v>
      </c>
      <c r="J194" s="12">
        <v>0</v>
      </c>
      <c r="K194" s="12">
        <v>0</v>
      </c>
      <c r="L194" s="12">
        <v>0</v>
      </c>
      <c r="M194" s="12">
        <v>0</v>
      </c>
      <c r="N194" s="12">
        <v>0</v>
      </c>
      <c r="O194" s="12">
        <v>0</v>
      </c>
      <c r="P194" s="12">
        <v>0</v>
      </c>
      <c r="Q194" s="12">
        <v>1</v>
      </c>
      <c r="R194" s="12">
        <v>0</v>
      </c>
    </row>
    <row r="195" spans="1:19" x14ac:dyDescent="0.25">
      <c r="A195" s="13">
        <v>45874.430937500001</v>
      </c>
      <c r="B195" t="s">
        <v>347</v>
      </c>
      <c r="C195" t="s">
        <v>358</v>
      </c>
      <c r="D195" t="s">
        <v>10</v>
      </c>
      <c r="E195" t="s">
        <v>11</v>
      </c>
      <c r="F195" t="s">
        <v>12</v>
      </c>
      <c r="G195">
        <v>10.5</v>
      </c>
      <c r="H195" s="12">
        <v>0</v>
      </c>
      <c r="I195" s="12">
        <v>0</v>
      </c>
      <c r="J195" s="12">
        <v>0</v>
      </c>
      <c r="K195" s="12">
        <v>0</v>
      </c>
      <c r="L195" s="12">
        <v>0</v>
      </c>
      <c r="M195" s="12">
        <v>0</v>
      </c>
      <c r="N195" s="12">
        <v>0</v>
      </c>
      <c r="O195" s="12">
        <v>1</v>
      </c>
      <c r="P195" s="12">
        <v>0</v>
      </c>
      <c r="Q195" s="12">
        <v>0</v>
      </c>
      <c r="R195" s="12">
        <v>0</v>
      </c>
    </row>
    <row r="196" spans="1:19" x14ac:dyDescent="0.25">
      <c r="A196" s="13">
        <v>45874.465381944443</v>
      </c>
      <c r="B196" t="s">
        <v>354</v>
      </c>
      <c r="C196" t="s">
        <v>358</v>
      </c>
      <c r="D196" t="s">
        <v>10</v>
      </c>
      <c r="E196" t="s">
        <v>11</v>
      </c>
      <c r="F196" t="s">
        <v>12</v>
      </c>
      <c r="G196">
        <v>10.5</v>
      </c>
      <c r="H196" s="12">
        <v>0</v>
      </c>
      <c r="I196" s="12">
        <v>1</v>
      </c>
      <c r="J196" s="12">
        <v>1</v>
      </c>
      <c r="K196" s="12">
        <v>1</v>
      </c>
      <c r="L196" s="12">
        <v>0</v>
      </c>
      <c r="M196" s="12">
        <v>0</v>
      </c>
      <c r="N196" s="12">
        <v>0</v>
      </c>
      <c r="O196" s="12">
        <v>0</v>
      </c>
      <c r="P196" s="12">
        <v>0</v>
      </c>
      <c r="Q196" s="12">
        <v>0</v>
      </c>
      <c r="R196" s="12">
        <v>0</v>
      </c>
      <c r="S196" t="s">
        <v>57</v>
      </c>
    </row>
    <row r="197" spans="1:19" x14ac:dyDescent="0.25">
      <c r="A197" s="13">
        <v>45874.466724537036</v>
      </c>
      <c r="B197" t="s">
        <v>354</v>
      </c>
      <c r="C197" t="s">
        <v>358</v>
      </c>
      <c r="D197" t="s">
        <v>10</v>
      </c>
      <c r="E197" t="s">
        <v>11</v>
      </c>
      <c r="F197" t="s">
        <v>18</v>
      </c>
      <c r="G197">
        <v>20</v>
      </c>
      <c r="H197" s="12">
        <v>1</v>
      </c>
      <c r="I197" s="12">
        <v>0</v>
      </c>
      <c r="J197" s="12">
        <v>0</v>
      </c>
      <c r="K197" s="12">
        <v>0</v>
      </c>
      <c r="L197" s="12">
        <v>0</v>
      </c>
      <c r="M197" s="12">
        <v>0</v>
      </c>
      <c r="N197" s="12">
        <v>0</v>
      </c>
      <c r="O197" s="12">
        <v>0</v>
      </c>
      <c r="P197" s="12">
        <v>0</v>
      </c>
      <c r="Q197" s="12">
        <v>1</v>
      </c>
      <c r="R197" s="12">
        <v>0</v>
      </c>
      <c r="S197" t="s">
        <v>58</v>
      </c>
    </row>
    <row r="198" spans="1:19" x14ac:dyDescent="0.25">
      <c r="A198" s="13">
        <v>45874.48</v>
      </c>
      <c r="B198" t="s">
        <v>354</v>
      </c>
      <c r="C198" t="s">
        <v>358</v>
      </c>
      <c r="D198" t="s">
        <v>20</v>
      </c>
      <c r="E198" t="s">
        <v>11</v>
      </c>
      <c r="F198" t="s">
        <v>15</v>
      </c>
      <c r="G198">
        <v>3</v>
      </c>
      <c r="H198" s="12">
        <v>0</v>
      </c>
      <c r="I198" s="12">
        <v>0</v>
      </c>
      <c r="J198" s="12">
        <v>0</v>
      </c>
      <c r="K198" s="12">
        <v>0</v>
      </c>
      <c r="L198" s="12">
        <v>0</v>
      </c>
      <c r="M198" s="12">
        <v>0</v>
      </c>
      <c r="N198" s="12">
        <v>0</v>
      </c>
      <c r="O198" s="12">
        <v>0</v>
      </c>
      <c r="P198" s="12">
        <v>1</v>
      </c>
      <c r="Q198" s="12">
        <v>0</v>
      </c>
      <c r="R198" s="12">
        <v>0</v>
      </c>
    </row>
    <row r="199" spans="1:19" x14ac:dyDescent="0.25">
      <c r="A199" s="13">
        <v>45874.502800925926</v>
      </c>
      <c r="B199" t="s">
        <v>350</v>
      </c>
      <c r="C199" t="s">
        <v>358</v>
      </c>
      <c r="D199" t="s">
        <v>20</v>
      </c>
      <c r="E199" t="s">
        <v>11</v>
      </c>
      <c r="F199" t="s">
        <v>15</v>
      </c>
      <c r="G199">
        <v>3</v>
      </c>
      <c r="H199" s="12">
        <v>0</v>
      </c>
      <c r="I199" s="12">
        <v>1</v>
      </c>
      <c r="J199" s="12">
        <v>0</v>
      </c>
      <c r="K199" s="12">
        <v>0</v>
      </c>
      <c r="L199" s="12">
        <v>0</v>
      </c>
      <c r="M199" s="12">
        <v>0</v>
      </c>
      <c r="N199" s="12">
        <v>0</v>
      </c>
      <c r="O199" s="12">
        <v>0</v>
      </c>
      <c r="P199" s="12">
        <v>0</v>
      </c>
      <c r="Q199" s="12">
        <v>1</v>
      </c>
      <c r="R199" s="12">
        <v>0</v>
      </c>
      <c r="S199" t="s">
        <v>59</v>
      </c>
    </row>
    <row r="200" spans="1:19" x14ac:dyDescent="0.25">
      <c r="A200" s="13">
        <v>45874.525243055556</v>
      </c>
      <c r="B200" t="s">
        <v>350</v>
      </c>
      <c r="C200" t="s">
        <v>358</v>
      </c>
      <c r="D200" t="s">
        <v>10</v>
      </c>
      <c r="E200" t="s">
        <v>27</v>
      </c>
      <c r="F200" t="s">
        <v>12</v>
      </c>
      <c r="G200">
        <v>10.5</v>
      </c>
      <c r="H200" s="12">
        <v>0</v>
      </c>
      <c r="I200" s="12">
        <v>0</v>
      </c>
      <c r="J200" s="12">
        <v>0</v>
      </c>
      <c r="K200" s="12">
        <v>0</v>
      </c>
      <c r="L200" s="12">
        <v>0</v>
      </c>
      <c r="M200" s="12">
        <v>0</v>
      </c>
      <c r="N200" s="12">
        <v>0</v>
      </c>
      <c r="O200" s="12">
        <v>0</v>
      </c>
      <c r="P200" s="12">
        <v>0</v>
      </c>
      <c r="Q200" s="12">
        <v>0</v>
      </c>
      <c r="R200" s="12">
        <v>1</v>
      </c>
      <c r="S200" t="s">
        <v>60</v>
      </c>
    </row>
    <row r="201" spans="1:19" x14ac:dyDescent="0.25">
      <c r="A201" s="13">
        <v>45874.535046296296</v>
      </c>
      <c r="B201" t="s">
        <v>350</v>
      </c>
      <c r="C201" t="s">
        <v>358</v>
      </c>
      <c r="D201" t="s">
        <v>10</v>
      </c>
      <c r="E201" t="s">
        <v>11</v>
      </c>
      <c r="F201" t="s">
        <v>18</v>
      </c>
      <c r="G201">
        <v>20</v>
      </c>
      <c r="H201" s="12">
        <v>0</v>
      </c>
      <c r="I201" s="12">
        <v>0</v>
      </c>
      <c r="J201" s="12">
        <v>0</v>
      </c>
      <c r="K201" s="12">
        <v>0</v>
      </c>
      <c r="L201" s="12">
        <v>1</v>
      </c>
      <c r="M201" s="12">
        <v>0</v>
      </c>
      <c r="N201" s="12">
        <v>0</v>
      </c>
      <c r="O201" s="12">
        <v>0</v>
      </c>
      <c r="P201" s="12">
        <v>0</v>
      </c>
      <c r="Q201" s="12">
        <v>0</v>
      </c>
      <c r="R201" s="12">
        <v>0</v>
      </c>
      <c r="S201" t="s">
        <v>61</v>
      </c>
    </row>
    <row r="202" spans="1:19" x14ac:dyDescent="0.25">
      <c r="A202" s="13">
        <v>45874.535358796296</v>
      </c>
      <c r="B202" t="s">
        <v>350</v>
      </c>
      <c r="C202" t="s">
        <v>358</v>
      </c>
      <c r="D202" t="s">
        <v>10</v>
      </c>
      <c r="E202" t="s">
        <v>11</v>
      </c>
      <c r="F202" t="s">
        <v>14</v>
      </c>
      <c r="G202">
        <v>0.5</v>
      </c>
      <c r="H202" s="12">
        <v>0</v>
      </c>
      <c r="I202" s="12">
        <v>0</v>
      </c>
      <c r="J202" s="12">
        <v>0</v>
      </c>
      <c r="K202" s="12">
        <v>0</v>
      </c>
      <c r="L202" s="12">
        <v>0</v>
      </c>
      <c r="M202" s="12">
        <v>0</v>
      </c>
      <c r="N202" s="12">
        <v>0</v>
      </c>
      <c r="O202" s="12">
        <v>0</v>
      </c>
      <c r="P202" s="12">
        <v>0</v>
      </c>
      <c r="Q202" s="12">
        <v>1</v>
      </c>
      <c r="R202" s="12">
        <v>0</v>
      </c>
    </row>
    <row r="203" spans="1:19" x14ac:dyDescent="0.25">
      <c r="A203" s="13">
        <v>45874.552175925928</v>
      </c>
      <c r="B203" t="s">
        <v>351</v>
      </c>
      <c r="C203" t="s">
        <v>358</v>
      </c>
      <c r="D203" t="s">
        <v>10</v>
      </c>
      <c r="E203" t="s">
        <v>11</v>
      </c>
      <c r="F203" t="s">
        <v>15</v>
      </c>
      <c r="G203">
        <v>3</v>
      </c>
      <c r="H203" s="12">
        <v>0</v>
      </c>
      <c r="I203" s="12">
        <v>0</v>
      </c>
      <c r="J203" s="12">
        <v>0</v>
      </c>
      <c r="K203" s="12">
        <v>0</v>
      </c>
      <c r="L203" s="12">
        <v>1</v>
      </c>
      <c r="M203" s="12">
        <v>0</v>
      </c>
      <c r="N203" s="12">
        <v>0</v>
      </c>
      <c r="O203" s="12">
        <v>0</v>
      </c>
      <c r="P203" s="12">
        <v>0</v>
      </c>
      <c r="Q203" s="12">
        <v>0</v>
      </c>
      <c r="R203" s="12">
        <v>0</v>
      </c>
    </row>
    <row r="204" spans="1:19" x14ac:dyDescent="0.25">
      <c r="A204" s="13">
        <v>45874.552222222221</v>
      </c>
      <c r="B204" t="s">
        <v>351</v>
      </c>
      <c r="C204" t="s">
        <v>358</v>
      </c>
      <c r="D204" t="s">
        <v>10</v>
      </c>
      <c r="E204" t="s">
        <v>11</v>
      </c>
      <c r="F204" t="s">
        <v>15</v>
      </c>
      <c r="G204">
        <v>3</v>
      </c>
      <c r="H204" s="12">
        <v>0</v>
      </c>
      <c r="I204" s="12">
        <v>0</v>
      </c>
      <c r="J204" s="12">
        <v>0</v>
      </c>
      <c r="K204" s="12">
        <v>0</v>
      </c>
      <c r="L204" s="12">
        <v>1</v>
      </c>
      <c r="M204" s="12">
        <v>0</v>
      </c>
      <c r="N204" s="12">
        <v>0</v>
      </c>
      <c r="O204" s="12">
        <v>0</v>
      </c>
      <c r="P204" s="12">
        <v>0</v>
      </c>
      <c r="Q204" s="12">
        <v>0</v>
      </c>
      <c r="R204" s="12">
        <v>0</v>
      </c>
    </row>
    <row r="205" spans="1:19" x14ac:dyDescent="0.25">
      <c r="A205" s="13">
        <v>45874.558263888888</v>
      </c>
      <c r="B205" t="s">
        <v>351</v>
      </c>
      <c r="C205" t="s">
        <v>358</v>
      </c>
      <c r="D205" t="s">
        <v>10</v>
      </c>
      <c r="E205" t="s">
        <v>11</v>
      </c>
      <c r="F205" t="s">
        <v>15</v>
      </c>
      <c r="G205">
        <v>3</v>
      </c>
      <c r="H205" s="12">
        <v>0</v>
      </c>
      <c r="I205" s="12">
        <v>0</v>
      </c>
      <c r="J205" s="12">
        <v>0</v>
      </c>
      <c r="K205" s="12">
        <v>0</v>
      </c>
      <c r="L205" s="12">
        <v>0</v>
      </c>
      <c r="M205" s="12">
        <v>0</v>
      </c>
      <c r="N205" s="12">
        <v>0</v>
      </c>
      <c r="O205" s="12">
        <v>0</v>
      </c>
      <c r="P205" s="12">
        <v>0</v>
      </c>
      <c r="Q205" s="12">
        <v>0</v>
      </c>
      <c r="R205" s="12">
        <v>0</v>
      </c>
    </row>
    <row r="206" spans="1:19" x14ac:dyDescent="0.25">
      <c r="A206" s="13">
        <v>45874.55841435185</v>
      </c>
      <c r="B206" t="s">
        <v>351</v>
      </c>
      <c r="C206" t="s">
        <v>358</v>
      </c>
      <c r="D206" t="s">
        <v>10</v>
      </c>
      <c r="E206" t="s">
        <v>11</v>
      </c>
      <c r="F206" t="s">
        <v>14</v>
      </c>
      <c r="G206">
        <v>0.5</v>
      </c>
      <c r="H206" s="12">
        <v>0</v>
      </c>
      <c r="I206" s="12">
        <v>0</v>
      </c>
      <c r="J206" s="12">
        <v>0</v>
      </c>
      <c r="K206" s="12">
        <v>0</v>
      </c>
      <c r="L206" s="12">
        <v>0</v>
      </c>
      <c r="M206" s="12">
        <v>0</v>
      </c>
      <c r="N206" s="12">
        <v>0</v>
      </c>
      <c r="O206" s="12">
        <v>0</v>
      </c>
      <c r="P206" s="12">
        <v>0</v>
      </c>
      <c r="Q206" s="12">
        <v>0</v>
      </c>
      <c r="R206" s="12">
        <v>1</v>
      </c>
      <c r="S206" t="s">
        <v>62</v>
      </c>
    </row>
    <row r="207" spans="1:19" x14ac:dyDescent="0.25">
      <c r="A207" s="13">
        <v>45874.558472222219</v>
      </c>
      <c r="B207" t="s">
        <v>351</v>
      </c>
      <c r="C207" t="s">
        <v>358</v>
      </c>
      <c r="D207" t="s">
        <v>10</v>
      </c>
      <c r="E207" t="s">
        <v>11</v>
      </c>
      <c r="F207" t="s">
        <v>14</v>
      </c>
      <c r="G207">
        <v>0.5</v>
      </c>
      <c r="H207" s="12">
        <v>0</v>
      </c>
      <c r="I207" s="12">
        <v>0</v>
      </c>
      <c r="J207" s="12">
        <v>0</v>
      </c>
      <c r="K207" s="12">
        <v>0</v>
      </c>
      <c r="L207" s="12">
        <v>0</v>
      </c>
      <c r="M207" s="12">
        <v>1</v>
      </c>
      <c r="N207" s="12">
        <v>0</v>
      </c>
      <c r="O207" s="12">
        <v>0</v>
      </c>
      <c r="P207" s="12">
        <v>0</v>
      </c>
      <c r="Q207" s="12">
        <v>0</v>
      </c>
      <c r="R207" s="12">
        <v>0</v>
      </c>
    </row>
    <row r="208" spans="1:19" x14ac:dyDescent="0.25">
      <c r="A208" s="13">
        <v>45874.570393518516</v>
      </c>
      <c r="B208" t="s">
        <v>351</v>
      </c>
      <c r="C208" t="s">
        <v>358</v>
      </c>
      <c r="D208" t="s">
        <v>10</v>
      </c>
      <c r="E208" t="s">
        <v>11</v>
      </c>
      <c r="F208" t="s">
        <v>14</v>
      </c>
      <c r="G208">
        <v>0.5</v>
      </c>
      <c r="H208" s="12">
        <v>0</v>
      </c>
      <c r="I208" s="12">
        <v>0</v>
      </c>
      <c r="J208" s="12">
        <v>0</v>
      </c>
      <c r="K208" s="12">
        <v>0</v>
      </c>
      <c r="L208" s="12">
        <v>0</v>
      </c>
      <c r="M208" s="12">
        <v>0</v>
      </c>
      <c r="N208" s="12">
        <v>0</v>
      </c>
      <c r="O208" s="12">
        <v>0</v>
      </c>
      <c r="P208" s="12">
        <v>0</v>
      </c>
      <c r="Q208" s="12">
        <v>0</v>
      </c>
      <c r="R208" s="12">
        <v>0</v>
      </c>
      <c r="S208" t="s">
        <v>63</v>
      </c>
    </row>
    <row r="209" spans="1:19" x14ac:dyDescent="0.25">
      <c r="A209" s="13">
        <v>45874.576041666667</v>
      </c>
      <c r="B209" t="s">
        <v>351</v>
      </c>
      <c r="C209" t="s">
        <v>358</v>
      </c>
      <c r="D209" t="s">
        <v>10</v>
      </c>
      <c r="E209" t="s">
        <v>11</v>
      </c>
      <c r="F209" t="s">
        <v>14</v>
      </c>
      <c r="G209">
        <v>0.5</v>
      </c>
      <c r="H209" s="12">
        <v>0</v>
      </c>
      <c r="I209" s="12">
        <v>0</v>
      </c>
      <c r="J209" s="12">
        <v>0</v>
      </c>
      <c r="K209" s="12">
        <v>0</v>
      </c>
      <c r="L209" s="12">
        <v>0</v>
      </c>
      <c r="M209" s="12">
        <v>0</v>
      </c>
      <c r="N209" s="12">
        <v>0</v>
      </c>
      <c r="O209" s="12">
        <v>0</v>
      </c>
      <c r="P209" s="12">
        <v>0</v>
      </c>
      <c r="Q209" s="12">
        <v>0</v>
      </c>
      <c r="R209" s="12">
        <v>1</v>
      </c>
      <c r="S209" t="s">
        <v>64</v>
      </c>
    </row>
    <row r="210" spans="1:19" x14ac:dyDescent="0.25">
      <c r="A210" s="13">
        <v>45874.590370370373</v>
      </c>
      <c r="B210" t="s">
        <v>348</v>
      </c>
      <c r="C210" t="s">
        <v>358</v>
      </c>
      <c r="D210" t="s">
        <v>10</v>
      </c>
      <c r="E210" t="s">
        <v>11</v>
      </c>
      <c r="F210" t="s">
        <v>15</v>
      </c>
      <c r="G210">
        <v>3</v>
      </c>
      <c r="H210" s="12">
        <v>0</v>
      </c>
      <c r="I210" s="12">
        <v>0</v>
      </c>
      <c r="J210" s="12">
        <v>0</v>
      </c>
      <c r="K210" s="12">
        <v>0</v>
      </c>
      <c r="L210" s="12">
        <v>0</v>
      </c>
      <c r="M210" s="12">
        <v>0</v>
      </c>
      <c r="N210" s="12">
        <v>0</v>
      </c>
      <c r="O210" s="12">
        <v>0</v>
      </c>
      <c r="P210" s="12">
        <v>0</v>
      </c>
      <c r="Q210" s="12">
        <v>0</v>
      </c>
      <c r="R210" s="12">
        <v>1</v>
      </c>
      <c r="S210" t="s">
        <v>65</v>
      </c>
    </row>
    <row r="211" spans="1:19" x14ac:dyDescent="0.25">
      <c r="A211" s="13">
        <v>45874.616770833331</v>
      </c>
      <c r="B211" t="s">
        <v>348</v>
      </c>
      <c r="C211" t="s">
        <v>358</v>
      </c>
      <c r="D211" t="s">
        <v>10</v>
      </c>
      <c r="E211" t="s">
        <v>11</v>
      </c>
      <c r="F211" t="s">
        <v>18</v>
      </c>
      <c r="G211">
        <v>20</v>
      </c>
      <c r="H211" s="12">
        <v>1</v>
      </c>
      <c r="I211" s="12">
        <v>0</v>
      </c>
      <c r="J211" s="12">
        <v>1</v>
      </c>
      <c r="K211" s="12">
        <v>0</v>
      </c>
      <c r="L211" s="12">
        <v>0</v>
      </c>
      <c r="M211" s="12">
        <v>0</v>
      </c>
      <c r="N211" s="12">
        <v>0</v>
      </c>
      <c r="O211" s="12">
        <v>0</v>
      </c>
      <c r="P211" s="12">
        <v>0</v>
      </c>
      <c r="Q211" s="12">
        <v>0</v>
      </c>
      <c r="R211" s="12">
        <v>1</v>
      </c>
      <c r="S211" t="s">
        <v>66</v>
      </c>
    </row>
    <row r="212" spans="1:19" x14ac:dyDescent="0.25">
      <c r="A212" s="13">
        <v>45874.62023148148</v>
      </c>
      <c r="B212" t="s">
        <v>348</v>
      </c>
      <c r="C212" t="s">
        <v>358</v>
      </c>
      <c r="D212" t="s">
        <v>10</v>
      </c>
      <c r="E212" t="s">
        <v>11</v>
      </c>
      <c r="F212" t="s">
        <v>12</v>
      </c>
      <c r="G212">
        <v>10.5</v>
      </c>
      <c r="H212" s="12">
        <v>0</v>
      </c>
      <c r="I212" s="12">
        <v>0</v>
      </c>
      <c r="J212" s="12">
        <v>0</v>
      </c>
      <c r="K212" s="12">
        <v>0</v>
      </c>
      <c r="L212" s="12">
        <v>1</v>
      </c>
      <c r="M212" s="12">
        <v>0</v>
      </c>
      <c r="N212" s="12">
        <v>0</v>
      </c>
      <c r="O212" s="12">
        <v>0</v>
      </c>
      <c r="P212" s="12">
        <v>0</v>
      </c>
      <c r="Q212" s="12">
        <v>0</v>
      </c>
      <c r="R212" s="12">
        <v>0</v>
      </c>
    </row>
    <row r="213" spans="1:19" x14ac:dyDescent="0.25">
      <c r="A213" s="13">
        <v>45874.743773148148</v>
      </c>
      <c r="B213" t="s">
        <v>355</v>
      </c>
      <c r="C213" t="s">
        <v>358</v>
      </c>
      <c r="D213" t="s">
        <v>10</v>
      </c>
      <c r="E213" t="s">
        <v>11</v>
      </c>
      <c r="F213" t="s">
        <v>15</v>
      </c>
      <c r="G213">
        <v>3</v>
      </c>
      <c r="H213" s="12">
        <v>0</v>
      </c>
      <c r="I213" s="12">
        <v>0</v>
      </c>
      <c r="J213" s="12">
        <v>0</v>
      </c>
      <c r="K213" s="12">
        <v>0</v>
      </c>
      <c r="L213" s="12">
        <v>1</v>
      </c>
      <c r="M213" s="12">
        <v>0</v>
      </c>
      <c r="N213" s="12">
        <v>0</v>
      </c>
      <c r="O213" s="12">
        <v>0</v>
      </c>
      <c r="P213" s="12">
        <v>0</v>
      </c>
      <c r="Q213" s="12">
        <v>0</v>
      </c>
      <c r="R213" s="12">
        <v>0</v>
      </c>
    </row>
    <row r="214" spans="1:19" x14ac:dyDescent="0.25">
      <c r="A214" s="13">
        <v>45874.743842592594</v>
      </c>
      <c r="B214" t="s">
        <v>355</v>
      </c>
      <c r="C214" t="s">
        <v>358</v>
      </c>
      <c r="D214" t="s">
        <v>10</v>
      </c>
      <c r="E214" t="s">
        <v>11</v>
      </c>
      <c r="F214" t="s">
        <v>15</v>
      </c>
      <c r="G214">
        <v>3</v>
      </c>
      <c r="H214" s="12">
        <v>0</v>
      </c>
      <c r="I214" s="12">
        <v>0</v>
      </c>
      <c r="J214" s="12">
        <v>0</v>
      </c>
      <c r="K214" s="12">
        <v>0</v>
      </c>
      <c r="L214" s="12">
        <v>1</v>
      </c>
      <c r="M214" s="12">
        <v>0</v>
      </c>
      <c r="N214" s="12">
        <v>0</v>
      </c>
      <c r="O214" s="12">
        <v>0</v>
      </c>
      <c r="P214" s="12">
        <v>0</v>
      </c>
      <c r="Q214" s="12">
        <v>0</v>
      </c>
      <c r="R214" s="12">
        <v>0</v>
      </c>
    </row>
    <row r="215" spans="1:19" x14ac:dyDescent="0.25">
      <c r="A215" s="13">
        <v>45874.743981481479</v>
      </c>
      <c r="B215" t="s">
        <v>355</v>
      </c>
      <c r="C215" t="s">
        <v>358</v>
      </c>
      <c r="D215" t="s">
        <v>10</v>
      </c>
      <c r="E215" t="s">
        <v>11</v>
      </c>
      <c r="F215" t="s">
        <v>15</v>
      </c>
      <c r="G215">
        <v>3</v>
      </c>
      <c r="H215" s="12">
        <v>1</v>
      </c>
      <c r="I215" s="12">
        <v>0</v>
      </c>
      <c r="J215" s="12">
        <v>1</v>
      </c>
      <c r="K215" s="12">
        <v>0</v>
      </c>
      <c r="L215" s="12">
        <v>0</v>
      </c>
      <c r="M215" s="12">
        <v>0</v>
      </c>
      <c r="N215" s="12">
        <v>0</v>
      </c>
      <c r="O215" s="12">
        <v>0</v>
      </c>
      <c r="P215" s="12">
        <v>0</v>
      </c>
      <c r="Q215" s="12">
        <v>0</v>
      </c>
      <c r="R215" s="12">
        <v>0</v>
      </c>
    </row>
    <row r="216" spans="1:19" x14ac:dyDescent="0.25">
      <c r="A216" s="13">
        <v>45874.744108796294</v>
      </c>
      <c r="B216" t="s">
        <v>355</v>
      </c>
      <c r="C216" t="s">
        <v>358</v>
      </c>
      <c r="D216" t="s">
        <v>10</v>
      </c>
      <c r="E216" t="s">
        <v>11</v>
      </c>
      <c r="F216" t="s">
        <v>15</v>
      </c>
      <c r="G216">
        <v>3</v>
      </c>
      <c r="H216" s="12">
        <v>0</v>
      </c>
      <c r="I216" s="12">
        <v>0</v>
      </c>
      <c r="J216" s="12">
        <v>0</v>
      </c>
      <c r="K216" s="12">
        <v>0</v>
      </c>
      <c r="L216" s="12">
        <v>0</v>
      </c>
      <c r="M216" s="12">
        <v>0</v>
      </c>
      <c r="N216" s="12">
        <v>0</v>
      </c>
      <c r="O216" s="12">
        <v>0</v>
      </c>
      <c r="P216" s="12">
        <v>1</v>
      </c>
      <c r="Q216" s="12">
        <v>0</v>
      </c>
      <c r="R216" s="12">
        <v>0</v>
      </c>
    </row>
    <row r="217" spans="1:19" x14ac:dyDescent="0.25">
      <c r="A217" s="13">
        <v>45874.744212962964</v>
      </c>
      <c r="B217" t="s">
        <v>355</v>
      </c>
      <c r="C217" t="s">
        <v>358</v>
      </c>
      <c r="D217" t="s">
        <v>10</v>
      </c>
      <c r="E217" t="s">
        <v>11</v>
      </c>
      <c r="F217" t="s">
        <v>15</v>
      </c>
      <c r="G217">
        <v>3</v>
      </c>
      <c r="H217" s="12">
        <v>0</v>
      </c>
      <c r="I217" s="12">
        <v>0</v>
      </c>
      <c r="J217" s="12">
        <v>0</v>
      </c>
      <c r="K217" s="12">
        <v>0</v>
      </c>
      <c r="L217" s="12">
        <v>0</v>
      </c>
      <c r="M217" s="12">
        <v>0</v>
      </c>
      <c r="N217" s="12">
        <v>1</v>
      </c>
      <c r="O217" s="12">
        <v>0</v>
      </c>
      <c r="P217" s="12">
        <v>0</v>
      </c>
      <c r="Q217" s="12">
        <v>0</v>
      </c>
      <c r="R217" s="12">
        <v>0</v>
      </c>
    </row>
    <row r="218" spans="1:19" x14ac:dyDescent="0.25">
      <c r="A218" s="13">
        <v>45874.744409722225</v>
      </c>
      <c r="B218" t="s">
        <v>355</v>
      </c>
      <c r="C218" t="s">
        <v>358</v>
      </c>
      <c r="D218" t="s">
        <v>10</v>
      </c>
      <c r="E218" t="s">
        <v>11</v>
      </c>
      <c r="F218" t="s">
        <v>14</v>
      </c>
      <c r="G218">
        <v>0.5</v>
      </c>
      <c r="H218" s="12">
        <v>0</v>
      </c>
      <c r="I218" s="12">
        <v>0</v>
      </c>
      <c r="J218" s="12">
        <v>0</v>
      </c>
      <c r="K218" s="12">
        <v>0</v>
      </c>
      <c r="L218" s="12">
        <v>0</v>
      </c>
      <c r="M218" s="12">
        <v>0</v>
      </c>
      <c r="N218" s="12">
        <v>0</v>
      </c>
      <c r="O218" s="12">
        <v>0</v>
      </c>
      <c r="P218" s="12">
        <v>0</v>
      </c>
      <c r="Q218" s="12">
        <v>1</v>
      </c>
      <c r="R218" s="12">
        <v>0</v>
      </c>
    </row>
    <row r="219" spans="1:19" x14ac:dyDescent="0.25">
      <c r="A219" s="13">
        <v>45875.414363425924</v>
      </c>
      <c r="B219" t="s">
        <v>352</v>
      </c>
      <c r="C219" t="s">
        <v>359</v>
      </c>
      <c r="D219" t="s">
        <v>20</v>
      </c>
      <c r="E219" t="s">
        <v>11</v>
      </c>
      <c r="F219" t="s">
        <v>15</v>
      </c>
      <c r="G219">
        <v>3</v>
      </c>
      <c r="H219" s="12">
        <v>0</v>
      </c>
      <c r="I219" s="12">
        <v>0</v>
      </c>
      <c r="J219" s="12">
        <v>0</v>
      </c>
      <c r="K219" s="12">
        <v>0</v>
      </c>
      <c r="L219" s="12">
        <v>0</v>
      </c>
      <c r="M219" s="12">
        <v>0</v>
      </c>
      <c r="N219" s="12">
        <v>0</v>
      </c>
      <c r="O219" s="12">
        <v>0</v>
      </c>
      <c r="P219" s="12">
        <v>0</v>
      </c>
      <c r="Q219" s="12">
        <v>0</v>
      </c>
      <c r="R219" s="12">
        <v>1</v>
      </c>
      <c r="S219" t="s">
        <v>67</v>
      </c>
    </row>
    <row r="220" spans="1:19" x14ac:dyDescent="0.25">
      <c r="A220" s="13">
        <v>45875.425682870373</v>
      </c>
      <c r="B220" t="s">
        <v>347</v>
      </c>
      <c r="C220" t="s">
        <v>359</v>
      </c>
      <c r="D220" t="s">
        <v>10</v>
      </c>
      <c r="E220" t="s">
        <v>11</v>
      </c>
      <c r="F220" t="s">
        <v>15</v>
      </c>
      <c r="G220">
        <v>3</v>
      </c>
      <c r="H220" s="12">
        <v>0</v>
      </c>
      <c r="I220" s="12">
        <v>0</v>
      </c>
      <c r="J220" s="12">
        <v>0</v>
      </c>
      <c r="K220" s="12">
        <v>0</v>
      </c>
      <c r="L220" s="12">
        <v>0</v>
      </c>
      <c r="M220" s="12">
        <v>0</v>
      </c>
      <c r="N220" s="12">
        <v>1</v>
      </c>
      <c r="O220" s="12">
        <v>0</v>
      </c>
      <c r="P220" s="12">
        <v>0</v>
      </c>
      <c r="Q220" s="12">
        <v>0</v>
      </c>
      <c r="R220" s="12">
        <v>0</v>
      </c>
    </row>
    <row r="221" spans="1:19" x14ac:dyDescent="0.25">
      <c r="A221" s="13">
        <v>45875.500324074077</v>
      </c>
      <c r="B221" t="s">
        <v>350</v>
      </c>
      <c r="C221" t="s">
        <v>359</v>
      </c>
      <c r="D221" t="s">
        <v>10</v>
      </c>
      <c r="E221" t="s">
        <v>11</v>
      </c>
      <c r="F221" t="s">
        <v>15</v>
      </c>
      <c r="G221">
        <v>3</v>
      </c>
      <c r="H221" s="12">
        <v>0</v>
      </c>
      <c r="I221" s="12">
        <v>0</v>
      </c>
      <c r="J221" s="12">
        <v>0</v>
      </c>
      <c r="K221" s="12">
        <v>0</v>
      </c>
      <c r="L221" s="12">
        <v>0</v>
      </c>
      <c r="M221" s="12">
        <v>0</v>
      </c>
      <c r="N221" s="12">
        <v>1</v>
      </c>
      <c r="O221" s="12">
        <v>0</v>
      </c>
      <c r="P221" s="12">
        <v>0</v>
      </c>
      <c r="Q221" s="12">
        <v>0</v>
      </c>
      <c r="R221" s="12">
        <v>0</v>
      </c>
    </row>
    <row r="222" spans="1:19" x14ac:dyDescent="0.25">
      <c r="A222" s="13">
        <v>45875.681307870371</v>
      </c>
      <c r="B222" t="s">
        <v>353</v>
      </c>
      <c r="C222" t="s">
        <v>359</v>
      </c>
      <c r="D222" t="s">
        <v>10</v>
      </c>
      <c r="E222" t="s">
        <v>11</v>
      </c>
      <c r="F222" t="s">
        <v>15</v>
      </c>
      <c r="G222">
        <v>3</v>
      </c>
      <c r="H222" s="12">
        <v>0</v>
      </c>
      <c r="I222" s="12">
        <v>0</v>
      </c>
      <c r="J222" s="12">
        <v>0</v>
      </c>
      <c r="K222" s="12">
        <v>0</v>
      </c>
      <c r="L222" s="12">
        <v>0</v>
      </c>
      <c r="M222" s="12">
        <v>0</v>
      </c>
      <c r="N222" s="12">
        <v>1</v>
      </c>
      <c r="O222" s="12">
        <v>0</v>
      </c>
      <c r="P222" s="12">
        <v>0</v>
      </c>
      <c r="Q222" s="12">
        <v>0</v>
      </c>
      <c r="R222" s="12">
        <v>0</v>
      </c>
    </row>
    <row r="223" spans="1:19" x14ac:dyDescent="0.25">
      <c r="A223" s="13">
        <v>45875.681423611109</v>
      </c>
      <c r="B223" t="s">
        <v>353</v>
      </c>
      <c r="C223" t="s">
        <v>359</v>
      </c>
      <c r="D223" t="s">
        <v>10</v>
      </c>
      <c r="E223" t="s">
        <v>11</v>
      </c>
      <c r="F223" t="s">
        <v>14</v>
      </c>
      <c r="G223">
        <v>0.5</v>
      </c>
      <c r="H223" s="12">
        <v>0</v>
      </c>
      <c r="I223" s="12">
        <v>0</v>
      </c>
      <c r="J223" s="12">
        <v>0</v>
      </c>
      <c r="K223" s="12">
        <v>0</v>
      </c>
      <c r="L223" s="12">
        <v>0</v>
      </c>
      <c r="M223" s="12">
        <v>0</v>
      </c>
      <c r="N223" s="12">
        <v>0</v>
      </c>
      <c r="O223" s="12">
        <v>0</v>
      </c>
      <c r="P223" s="12">
        <v>0</v>
      </c>
      <c r="Q223" s="12">
        <v>1</v>
      </c>
      <c r="R223" s="12">
        <v>0</v>
      </c>
    </row>
    <row r="224" spans="1:19" x14ac:dyDescent="0.25">
      <c r="A224" s="13">
        <v>45875.681585648148</v>
      </c>
      <c r="B224" t="s">
        <v>353</v>
      </c>
      <c r="C224" t="s">
        <v>359</v>
      </c>
      <c r="D224" t="s">
        <v>10</v>
      </c>
      <c r="E224" t="s">
        <v>11</v>
      </c>
      <c r="F224" t="s">
        <v>14</v>
      </c>
      <c r="G224">
        <v>0.5</v>
      </c>
      <c r="H224" s="12">
        <v>0</v>
      </c>
      <c r="I224" s="12">
        <v>0</v>
      </c>
      <c r="J224" s="12">
        <v>0</v>
      </c>
      <c r="K224" s="12">
        <v>0</v>
      </c>
      <c r="L224" s="12">
        <v>0</v>
      </c>
      <c r="M224" s="12">
        <v>0</v>
      </c>
      <c r="N224" s="12">
        <v>0</v>
      </c>
      <c r="O224" s="12">
        <v>0</v>
      </c>
      <c r="P224" s="12">
        <v>1</v>
      </c>
      <c r="Q224" s="12">
        <v>0</v>
      </c>
      <c r="R224" s="12">
        <v>0</v>
      </c>
    </row>
    <row r="225" spans="1:19" x14ac:dyDescent="0.25">
      <c r="A225" s="13">
        <v>45875.681712962964</v>
      </c>
      <c r="B225" t="s">
        <v>353</v>
      </c>
      <c r="C225" t="s">
        <v>359</v>
      </c>
      <c r="D225" t="s">
        <v>20</v>
      </c>
      <c r="E225" t="s">
        <v>11</v>
      </c>
      <c r="F225" t="s">
        <v>14</v>
      </c>
      <c r="G225">
        <v>0.5</v>
      </c>
      <c r="H225" s="12">
        <v>0</v>
      </c>
      <c r="I225" s="12">
        <v>0</v>
      </c>
      <c r="J225" s="12">
        <v>0</v>
      </c>
      <c r="K225" s="12">
        <v>0</v>
      </c>
      <c r="L225" s="12">
        <v>0</v>
      </c>
      <c r="M225" s="12">
        <v>0</v>
      </c>
      <c r="N225" s="12">
        <v>0</v>
      </c>
      <c r="O225" s="12">
        <v>0</v>
      </c>
      <c r="P225" s="12">
        <v>1</v>
      </c>
      <c r="Q225" s="12">
        <v>0</v>
      </c>
      <c r="R225" s="12">
        <v>0</v>
      </c>
    </row>
    <row r="226" spans="1:19" x14ac:dyDescent="0.25">
      <c r="A226" s="13">
        <v>45875.681863425925</v>
      </c>
      <c r="B226" t="s">
        <v>353</v>
      </c>
      <c r="C226" t="s">
        <v>359</v>
      </c>
      <c r="D226" t="s">
        <v>10</v>
      </c>
      <c r="E226" t="s">
        <v>11</v>
      </c>
      <c r="F226" t="s">
        <v>14</v>
      </c>
      <c r="G226">
        <v>0.5</v>
      </c>
      <c r="H226" s="12">
        <v>0</v>
      </c>
      <c r="I226" s="12">
        <v>0</v>
      </c>
      <c r="J226" s="12">
        <v>0</v>
      </c>
      <c r="K226" s="12">
        <v>0</v>
      </c>
      <c r="L226" s="12">
        <v>0</v>
      </c>
      <c r="M226" s="12">
        <v>0</v>
      </c>
      <c r="N226" s="12">
        <v>0</v>
      </c>
      <c r="O226" s="12">
        <v>0</v>
      </c>
      <c r="P226" s="12">
        <v>1</v>
      </c>
      <c r="Q226" s="12">
        <v>0</v>
      </c>
      <c r="R226" s="12">
        <v>0</v>
      </c>
    </row>
    <row r="227" spans="1:19" x14ac:dyDescent="0.25">
      <c r="A227" s="13">
        <v>45875.732152777775</v>
      </c>
      <c r="B227" t="s">
        <v>355</v>
      </c>
      <c r="C227" t="s">
        <v>359</v>
      </c>
      <c r="D227" t="s">
        <v>10</v>
      </c>
      <c r="E227" t="s">
        <v>11</v>
      </c>
      <c r="F227" t="s">
        <v>14</v>
      </c>
      <c r="G227">
        <v>0.5</v>
      </c>
      <c r="H227" s="12">
        <v>0</v>
      </c>
      <c r="I227" s="12">
        <v>0</v>
      </c>
      <c r="J227" s="12">
        <v>0</v>
      </c>
      <c r="K227" s="12">
        <v>0</v>
      </c>
      <c r="L227" s="12">
        <v>0</v>
      </c>
      <c r="M227" s="12">
        <v>0</v>
      </c>
      <c r="N227" s="12">
        <v>0</v>
      </c>
      <c r="O227" s="12">
        <v>0</v>
      </c>
      <c r="P227" s="12">
        <v>0</v>
      </c>
      <c r="Q227" s="12">
        <v>1</v>
      </c>
      <c r="R227" s="12">
        <v>0</v>
      </c>
    </row>
    <row r="228" spans="1:19" x14ac:dyDescent="0.25">
      <c r="A228" s="13">
        <v>45875.732233796298</v>
      </c>
      <c r="B228" t="s">
        <v>355</v>
      </c>
      <c r="C228" t="s">
        <v>359</v>
      </c>
      <c r="D228" t="s">
        <v>10</v>
      </c>
      <c r="E228" t="s">
        <v>11</v>
      </c>
      <c r="F228" t="s">
        <v>14</v>
      </c>
      <c r="G228">
        <v>0.5</v>
      </c>
      <c r="H228" s="12">
        <v>0</v>
      </c>
      <c r="I228" s="12">
        <v>0</v>
      </c>
      <c r="J228" s="12">
        <v>0</v>
      </c>
      <c r="K228" s="12">
        <v>0</v>
      </c>
      <c r="L228" s="12">
        <v>0</v>
      </c>
      <c r="M228" s="12">
        <v>0</v>
      </c>
      <c r="N228" s="12">
        <v>0</v>
      </c>
      <c r="O228" s="12">
        <v>0</v>
      </c>
      <c r="P228" s="12">
        <v>0</v>
      </c>
      <c r="Q228" s="12">
        <v>1</v>
      </c>
      <c r="R228" s="12">
        <v>0</v>
      </c>
    </row>
    <row r="229" spans="1:19" x14ac:dyDescent="0.25">
      <c r="A229" s="13">
        <v>45876.542094907411</v>
      </c>
      <c r="B229" t="s">
        <v>351</v>
      </c>
      <c r="C229" t="s">
        <v>360</v>
      </c>
      <c r="D229" t="s">
        <v>10</v>
      </c>
      <c r="E229" t="s">
        <v>11</v>
      </c>
      <c r="F229" t="s">
        <v>18</v>
      </c>
      <c r="G229">
        <v>20</v>
      </c>
      <c r="H229" s="12">
        <v>0</v>
      </c>
      <c r="I229" s="12">
        <v>0</v>
      </c>
      <c r="J229" s="12">
        <v>0</v>
      </c>
      <c r="K229" s="12">
        <v>0</v>
      </c>
      <c r="L229" s="12">
        <v>1</v>
      </c>
      <c r="M229" s="12">
        <v>0</v>
      </c>
      <c r="N229" s="12">
        <v>0</v>
      </c>
      <c r="O229" s="12">
        <v>0</v>
      </c>
      <c r="P229" s="12">
        <v>0</v>
      </c>
      <c r="Q229" s="12">
        <v>0</v>
      </c>
      <c r="R229" s="12">
        <v>0</v>
      </c>
    </row>
    <row r="230" spans="1:19" x14ac:dyDescent="0.25">
      <c r="A230" s="13">
        <v>45876.599629629629</v>
      </c>
      <c r="B230" t="s">
        <v>348</v>
      </c>
      <c r="C230" t="s">
        <v>360</v>
      </c>
      <c r="D230" t="s">
        <v>10</v>
      </c>
      <c r="E230" t="s">
        <v>11</v>
      </c>
      <c r="F230" t="s">
        <v>12</v>
      </c>
      <c r="G230">
        <v>10.5</v>
      </c>
      <c r="H230" s="12">
        <v>0</v>
      </c>
      <c r="I230" s="12">
        <v>1</v>
      </c>
      <c r="J230" s="12">
        <v>0</v>
      </c>
      <c r="K230" s="12">
        <v>1</v>
      </c>
      <c r="L230" s="12">
        <v>0</v>
      </c>
      <c r="M230" s="12">
        <v>0</v>
      </c>
      <c r="N230" s="12">
        <v>0</v>
      </c>
      <c r="O230" s="12">
        <v>0</v>
      </c>
      <c r="P230" s="12">
        <v>0</v>
      </c>
      <c r="Q230" s="12">
        <v>0</v>
      </c>
      <c r="R230" s="12">
        <v>0</v>
      </c>
    </row>
    <row r="231" spans="1:19" x14ac:dyDescent="0.25">
      <c r="A231" s="13">
        <v>45876.599872685183</v>
      </c>
      <c r="B231" t="s">
        <v>348</v>
      </c>
      <c r="C231" t="s">
        <v>360</v>
      </c>
      <c r="D231" t="s">
        <v>10</v>
      </c>
      <c r="E231" t="s">
        <v>11</v>
      </c>
      <c r="F231" t="s">
        <v>18</v>
      </c>
      <c r="G231">
        <v>20</v>
      </c>
      <c r="H231" s="12">
        <v>0</v>
      </c>
      <c r="I231" s="12">
        <v>0</v>
      </c>
      <c r="J231" s="12">
        <v>0</v>
      </c>
      <c r="K231" s="12">
        <v>0</v>
      </c>
      <c r="L231" s="12">
        <v>1</v>
      </c>
      <c r="M231" s="12">
        <v>0</v>
      </c>
      <c r="N231" s="12">
        <v>0</v>
      </c>
      <c r="O231" s="12">
        <v>0</v>
      </c>
      <c r="P231" s="12">
        <v>0</v>
      </c>
      <c r="Q231" s="12">
        <v>0</v>
      </c>
      <c r="R231" s="12">
        <v>0</v>
      </c>
    </row>
    <row r="232" spans="1:19" x14ac:dyDescent="0.25">
      <c r="A232" s="13">
        <v>45876.624479166669</v>
      </c>
      <c r="B232" t="s">
        <v>348</v>
      </c>
      <c r="C232" t="s">
        <v>360</v>
      </c>
      <c r="D232" t="s">
        <v>10</v>
      </c>
      <c r="E232" t="s">
        <v>11</v>
      </c>
      <c r="F232" t="s">
        <v>12</v>
      </c>
      <c r="G232">
        <v>10.5</v>
      </c>
      <c r="H232" s="12">
        <v>0</v>
      </c>
      <c r="I232" s="12">
        <v>0</v>
      </c>
      <c r="J232" s="12">
        <v>0</v>
      </c>
      <c r="K232" s="12">
        <v>0</v>
      </c>
      <c r="L232" s="12">
        <v>0</v>
      </c>
      <c r="M232" s="12">
        <v>0</v>
      </c>
      <c r="N232" s="12">
        <v>0</v>
      </c>
      <c r="O232" s="12">
        <v>0</v>
      </c>
      <c r="P232" s="12">
        <v>0</v>
      </c>
      <c r="Q232" s="12">
        <v>0</v>
      </c>
      <c r="R232" s="12">
        <v>0</v>
      </c>
      <c r="S232" t="s">
        <v>68</v>
      </c>
    </row>
    <row r="233" spans="1:19" x14ac:dyDescent="0.25">
      <c r="A233" s="13">
        <v>45877.496712962966</v>
      </c>
      <c r="B233" t="s">
        <v>354</v>
      </c>
      <c r="C233" t="s">
        <v>361</v>
      </c>
      <c r="D233" t="s">
        <v>10</v>
      </c>
      <c r="E233" t="s">
        <v>11</v>
      </c>
      <c r="F233" t="s">
        <v>18</v>
      </c>
      <c r="G233">
        <v>20</v>
      </c>
      <c r="H233" s="12">
        <v>0</v>
      </c>
      <c r="I233" s="12">
        <v>0</v>
      </c>
      <c r="J233" s="12">
        <v>0</v>
      </c>
      <c r="K233" s="12">
        <v>0</v>
      </c>
      <c r="L233" s="12">
        <v>1</v>
      </c>
      <c r="M233" s="12">
        <v>0</v>
      </c>
      <c r="N233" s="12">
        <v>0</v>
      </c>
      <c r="O233" s="12">
        <v>0</v>
      </c>
      <c r="P233" s="12">
        <v>1</v>
      </c>
      <c r="Q233" s="12">
        <v>0</v>
      </c>
      <c r="R233" s="12">
        <v>0</v>
      </c>
    </row>
    <row r="234" spans="1:19" x14ac:dyDescent="0.25">
      <c r="A234" s="13">
        <v>45877.496840277781</v>
      </c>
      <c r="B234" t="s">
        <v>354</v>
      </c>
      <c r="C234" t="s">
        <v>361</v>
      </c>
      <c r="D234" t="s">
        <v>10</v>
      </c>
      <c r="E234" t="s">
        <v>11</v>
      </c>
      <c r="F234" t="s">
        <v>12</v>
      </c>
      <c r="G234">
        <v>10.5</v>
      </c>
      <c r="H234" s="12">
        <v>0</v>
      </c>
      <c r="I234" s="12">
        <v>0</v>
      </c>
      <c r="J234" s="12">
        <v>0</v>
      </c>
      <c r="K234" s="12">
        <v>0</v>
      </c>
      <c r="L234" s="12">
        <v>0</v>
      </c>
      <c r="M234" s="12">
        <v>0</v>
      </c>
      <c r="N234" s="12">
        <v>0</v>
      </c>
      <c r="O234" s="12">
        <v>1</v>
      </c>
      <c r="P234" s="12">
        <v>0</v>
      </c>
      <c r="Q234" s="12">
        <v>0</v>
      </c>
      <c r="R234" s="12">
        <v>0</v>
      </c>
    </row>
    <row r="235" spans="1:19" x14ac:dyDescent="0.25">
      <c r="A235" s="13">
        <v>45877.496979166666</v>
      </c>
      <c r="B235" t="s">
        <v>354</v>
      </c>
      <c r="C235" t="s">
        <v>361</v>
      </c>
      <c r="D235" t="s">
        <v>10</v>
      </c>
      <c r="E235" t="s">
        <v>11</v>
      </c>
      <c r="F235" t="s">
        <v>14</v>
      </c>
      <c r="G235">
        <v>0.5</v>
      </c>
      <c r="H235" s="12">
        <v>1</v>
      </c>
      <c r="I235" s="12">
        <v>0</v>
      </c>
      <c r="J235" s="12">
        <v>0</v>
      </c>
      <c r="K235" s="12">
        <v>0</v>
      </c>
      <c r="L235" s="12">
        <v>0</v>
      </c>
      <c r="M235" s="12">
        <v>0</v>
      </c>
      <c r="N235" s="12">
        <v>0</v>
      </c>
      <c r="O235" s="12">
        <v>0</v>
      </c>
      <c r="P235" s="12">
        <v>0</v>
      </c>
      <c r="Q235" s="12">
        <v>0</v>
      </c>
      <c r="R235" s="12">
        <v>0</v>
      </c>
    </row>
    <row r="236" spans="1:19" x14ac:dyDescent="0.25">
      <c r="A236" s="13">
        <v>45877.544791666667</v>
      </c>
      <c r="B236" t="s">
        <v>351</v>
      </c>
      <c r="C236" t="s">
        <v>361</v>
      </c>
      <c r="D236" t="s">
        <v>10</v>
      </c>
      <c r="E236" t="s">
        <v>11</v>
      </c>
      <c r="F236" t="s">
        <v>18</v>
      </c>
      <c r="G236">
        <v>20</v>
      </c>
      <c r="H236" s="12">
        <v>0</v>
      </c>
      <c r="I236" s="12">
        <v>0</v>
      </c>
      <c r="J236" s="12">
        <v>0</v>
      </c>
      <c r="K236" s="12">
        <v>0</v>
      </c>
      <c r="L236" s="12">
        <v>1</v>
      </c>
      <c r="M236" s="12">
        <v>0</v>
      </c>
      <c r="N236" s="12">
        <v>0</v>
      </c>
      <c r="O236" s="12">
        <v>0</v>
      </c>
      <c r="P236" s="12">
        <v>0</v>
      </c>
      <c r="Q236" s="12">
        <v>0</v>
      </c>
      <c r="R236" s="12">
        <v>0</v>
      </c>
    </row>
    <row r="237" spans="1:19" x14ac:dyDescent="0.25">
      <c r="A237" s="13">
        <v>45877.5780787037</v>
      </c>
      <c r="B237" t="s">
        <v>351</v>
      </c>
      <c r="C237" t="s">
        <v>361</v>
      </c>
      <c r="D237" t="s">
        <v>10</v>
      </c>
      <c r="E237" t="s">
        <v>11</v>
      </c>
      <c r="F237" t="s">
        <v>18</v>
      </c>
      <c r="G237">
        <v>20</v>
      </c>
      <c r="H237" s="12">
        <v>1</v>
      </c>
      <c r="I237" s="12">
        <v>0</v>
      </c>
      <c r="J237" s="12">
        <v>1</v>
      </c>
      <c r="K237" s="12">
        <v>0</v>
      </c>
      <c r="L237" s="12">
        <v>1</v>
      </c>
      <c r="M237" s="12">
        <v>0</v>
      </c>
      <c r="N237" s="12">
        <v>0</v>
      </c>
      <c r="O237" s="12">
        <v>0</v>
      </c>
      <c r="P237" s="12">
        <v>0</v>
      </c>
      <c r="Q237" s="12">
        <v>0</v>
      </c>
      <c r="R237" s="12">
        <v>0</v>
      </c>
    </row>
    <row r="238" spans="1:19" x14ac:dyDescent="0.25">
      <c r="A238" s="13">
        <v>45877.578333333331</v>
      </c>
      <c r="B238" t="s">
        <v>351</v>
      </c>
      <c r="C238" t="s">
        <v>361</v>
      </c>
      <c r="D238" t="s">
        <v>10</v>
      </c>
      <c r="E238" t="s">
        <v>11</v>
      </c>
      <c r="F238" t="s">
        <v>18</v>
      </c>
      <c r="G238">
        <v>20</v>
      </c>
      <c r="H238" s="12">
        <v>1</v>
      </c>
      <c r="I238" s="12">
        <v>0</v>
      </c>
      <c r="J238" s="12">
        <v>1</v>
      </c>
      <c r="K238" s="12">
        <v>0</v>
      </c>
      <c r="L238" s="12">
        <v>0</v>
      </c>
      <c r="M238" s="12">
        <v>0</v>
      </c>
      <c r="N238" s="12">
        <v>0</v>
      </c>
      <c r="O238" s="12">
        <v>0</v>
      </c>
      <c r="P238" s="12">
        <v>0</v>
      </c>
      <c r="Q238" s="12">
        <v>0</v>
      </c>
      <c r="R238" s="12">
        <v>0</v>
      </c>
    </row>
    <row r="239" spans="1:19" x14ac:dyDescent="0.25">
      <c r="A239" s="13">
        <v>45877.604548611111</v>
      </c>
      <c r="B239" t="s">
        <v>348</v>
      </c>
      <c r="C239" t="s">
        <v>361</v>
      </c>
      <c r="D239" t="s">
        <v>10</v>
      </c>
      <c r="E239" t="s">
        <v>11</v>
      </c>
      <c r="F239" t="s">
        <v>15</v>
      </c>
      <c r="G239">
        <v>3</v>
      </c>
      <c r="H239" s="12">
        <v>0</v>
      </c>
      <c r="I239" s="12">
        <v>0</v>
      </c>
      <c r="J239" s="12">
        <v>0</v>
      </c>
      <c r="K239" s="12">
        <v>0</v>
      </c>
      <c r="L239" s="12">
        <v>0</v>
      </c>
      <c r="M239" s="12">
        <v>0</v>
      </c>
      <c r="N239" s="12">
        <v>0</v>
      </c>
      <c r="O239" s="12">
        <v>0</v>
      </c>
      <c r="P239" s="12">
        <v>1</v>
      </c>
      <c r="Q239" s="12">
        <v>0</v>
      </c>
      <c r="R239" s="12">
        <v>0</v>
      </c>
    </row>
    <row r="240" spans="1:19" x14ac:dyDescent="0.25">
      <c r="A240" s="13">
        <v>45877.604791666665</v>
      </c>
      <c r="B240" t="s">
        <v>348</v>
      </c>
      <c r="C240" t="s">
        <v>361</v>
      </c>
      <c r="D240" t="s">
        <v>10</v>
      </c>
      <c r="E240" t="s">
        <v>17</v>
      </c>
      <c r="F240" t="s">
        <v>15</v>
      </c>
      <c r="G240">
        <v>3</v>
      </c>
      <c r="H240" s="12">
        <v>0</v>
      </c>
      <c r="I240" s="12">
        <v>0</v>
      </c>
      <c r="J240" s="12">
        <v>0</v>
      </c>
      <c r="K240" s="12">
        <v>0</v>
      </c>
      <c r="L240" s="12">
        <v>0</v>
      </c>
      <c r="M240" s="12">
        <v>0</v>
      </c>
      <c r="N240" s="12">
        <v>0</v>
      </c>
      <c r="O240" s="12">
        <v>0</v>
      </c>
      <c r="P240" s="12">
        <v>1</v>
      </c>
      <c r="Q240" s="12">
        <v>0</v>
      </c>
      <c r="R240" s="12">
        <v>0</v>
      </c>
    </row>
    <row r="241" spans="1:19" x14ac:dyDescent="0.25">
      <c r="A241" s="13">
        <v>45878.407071759262</v>
      </c>
      <c r="B241" t="s">
        <v>352</v>
      </c>
      <c r="C241" t="s">
        <v>362</v>
      </c>
      <c r="D241" t="s">
        <v>10</v>
      </c>
      <c r="E241" t="s">
        <v>11</v>
      </c>
      <c r="F241" t="s">
        <v>15</v>
      </c>
      <c r="G241">
        <v>3</v>
      </c>
      <c r="H241" s="12">
        <v>0</v>
      </c>
      <c r="I241" s="12">
        <v>0</v>
      </c>
      <c r="J241" s="12">
        <v>0</v>
      </c>
      <c r="K241" s="12">
        <v>0</v>
      </c>
      <c r="L241" s="12">
        <v>0</v>
      </c>
      <c r="M241" s="12">
        <v>0</v>
      </c>
      <c r="N241" s="12">
        <v>0</v>
      </c>
      <c r="O241" s="12">
        <v>1</v>
      </c>
      <c r="P241" s="12">
        <v>0</v>
      </c>
      <c r="Q241" s="12">
        <v>0</v>
      </c>
      <c r="R241" s="12">
        <v>0</v>
      </c>
      <c r="S241" t="s">
        <v>69</v>
      </c>
    </row>
    <row r="242" spans="1:19" x14ac:dyDescent="0.25">
      <c r="A242" s="13">
        <v>45878.40766203704</v>
      </c>
      <c r="B242" t="s">
        <v>352</v>
      </c>
      <c r="C242" t="s">
        <v>362</v>
      </c>
      <c r="D242" t="s">
        <v>10</v>
      </c>
      <c r="E242" t="s">
        <v>11</v>
      </c>
      <c r="F242" t="s">
        <v>15</v>
      </c>
      <c r="G242">
        <v>3</v>
      </c>
      <c r="H242" s="12">
        <v>0</v>
      </c>
      <c r="I242" s="12">
        <v>1</v>
      </c>
      <c r="J242" s="12">
        <v>1</v>
      </c>
      <c r="K242" s="12">
        <v>0</v>
      </c>
      <c r="L242" s="12">
        <v>0</v>
      </c>
      <c r="M242" s="12">
        <v>0</v>
      </c>
      <c r="N242" s="12">
        <v>0</v>
      </c>
      <c r="O242" s="12">
        <v>0</v>
      </c>
      <c r="P242" s="12">
        <v>0</v>
      </c>
      <c r="Q242" s="12">
        <v>0</v>
      </c>
      <c r="R242" s="12">
        <v>0</v>
      </c>
    </row>
    <row r="243" spans="1:19" x14ac:dyDescent="0.25">
      <c r="A243" s="13">
        <v>45878.48164351852</v>
      </c>
      <c r="B243" t="s">
        <v>354</v>
      </c>
      <c r="C243" t="s">
        <v>362</v>
      </c>
      <c r="D243" t="s">
        <v>10</v>
      </c>
      <c r="E243" t="s">
        <v>11</v>
      </c>
      <c r="F243" t="s">
        <v>12</v>
      </c>
      <c r="G243">
        <v>10.5</v>
      </c>
      <c r="H243" s="12">
        <v>0</v>
      </c>
      <c r="I243" s="12">
        <v>0</v>
      </c>
      <c r="J243" s="12">
        <v>0</v>
      </c>
      <c r="K243" s="12">
        <v>0</v>
      </c>
      <c r="L243" s="12">
        <v>0</v>
      </c>
      <c r="M243" s="12">
        <v>0</v>
      </c>
      <c r="N243" s="12">
        <v>0</v>
      </c>
      <c r="O243" s="12">
        <v>1</v>
      </c>
      <c r="P243" s="12">
        <v>0</v>
      </c>
      <c r="Q243" s="12">
        <v>0</v>
      </c>
      <c r="R243" s="12">
        <v>0</v>
      </c>
      <c r="S243" t="s">
        <v>70</v>
      </c>
    </row>
    <row r="244" spans="1:19" x14ac:dyDescent="0.25">
      <c r="A244" s="13">
        <v>45880.496527777781</v>
      </c>
      <c r="B244" t="s">
        <v>354</v>
      </c>
      <c r="C244" t="s">
        <v>363</v>
      </c>
      <c r="D244" t="s">
        <v>20</v>
      </c>
      <c r="E244" t="s">
        <v>11</v>
      </c>
      <c r="F244" t="s">
        <v>15</v>
      </c>
      <c r="G244">
        <v>3</v>
      </c>
      <c r="H244" s="12">
        <v>0</v>
      </c>
      <c r="I244" s="12">
        <v>0</v>
      </c>
      <c r="J244" s="12">
        <v>0</v>
      </c>
      <c r="K244" s="12">
        <v>0</v>
      </c>
      <c r="L244" s="12">
        <v>0</v>
      </c>
      <c r="M244" s="12">
        <v>0</v>
      </c>
      <c r="N244" s="12">
        <v>0</v>
      </c>
      <c r="O244" s="12">
        <v>0</v>
      </c>
      <c r="P244" s="12">
        <v>0</v>
      </c>
      <c r="Q244" s="12">
        <v>1</v>
      </c>
      <c r="R244" s="12">
        <v>0</v>
      </c>
    </row>
    <row r="245" spans="1:19" x14ac:dyDescent="0.25">
      <c r="A245" s="13">
        <v>45880.496979166666</v>
      </c>
      <c r="B245" t="s">
        <v>354</v>
      </c>
      <c r="C245" t="s">
        <v>363</v>
      </c>
      <c r="D245" t="s">
        <v>20</v>
      </c>
      <c r="E245" t="s">
        <v>11</v>
      </c>
      <c r="F245" t="s">
        <v>15</v>
      </c>
      <c r="G245">
        <v>3</v>
      </c>
      <c r="H245" s="12">
        <v>0</v>
      </c>
      <c r="I245" s="12">
        <v>0</v>
      </c>
      <c r="J245" s="12">
        <v>0</v>
      </c>
      <c r="K245" s="12">
        <v>0</v>
      </c>
      <c r="L245" s="12">
        <v>0</v>
      </c>
      <c r="M245" s="12">
        <v>0</v>
      </c>
      <c r="N245" s="12">
        <v>0</v>
      </c>
      <c r="O245" s="12">
        <v>0</v>
      </c>
      <c r="P245" s="12">
        <v>0</v>
      </c>
      <c r="Q245" s="12">
        <v>1</v>
      </c>
      <c r="R245" s="12">
        <v>0</v>
      </c>
      <c r="S245" t="s">
        <v>71</v>
      </c>
    </row>
    <row r="246" spans="1:19" x14ac:dyDescent="0.25">
      <c r="A246" s="13">
        <v>45880.499456018515</v>
      </c>
      <c r="B246" t="s">
        <v>354</v>
      </c>
      <c r="C246" t="s">
        <v>363</v>
      </c>
      <c r="D246" t="s">
        <v>10</v>
      </c>
      <c r="E246" t="s">
        <v>11</v>
      </c>
      <c r="F246" t="s">
        <v>15</v>
      </c>
      <c r="G246">
        <v>3</v>
      </c>
      <c r="H246" s="12">
        <v>0</v>
      </c>
      <c r="I246" s="12">
        <v>0</v>
      </c>
      <c r="J246" s="12">
        <v>0</v>
      </c>
      <c r="K246" s="12">
        <v>0</v>
      </c>
      <c r="L246" s="12">
        <v>1</v>
      </c>
      <c r="M246" s="12">
        <v>0</v>
      </c>
      <c r="N246" s="12">
        <v>0</v>
      </c>
      <c r="O246" s="12">
        <v>0</v>
      </c>
      <c r="P246" s="12">
        <v>0</v>
      </c>
      <c r="Q246" s="12">
        <v>0</v>
      </c>
      <c r="R246" s="12">
        <v>0</v>
      </c>
    </row>
    <row r="247" spans="1:19" x14ac:dyDescent="0.25">
      <c r="A247" s="13">
        <v>45880.55678240741</v>
      </c>
      <c r="B247" t="s">
        <v>351</v>
      </c>
      <c r="C247" t="s">
        <v>363</v>
      </c>
      <c r="D247" t="s">
        <v>10</v>
      </c>
      <c r="E247" t="s">
        <v>17</v>
      </c>
      <c r="F247" t="s">
        <v>15</v>
      </c>
      <c r="G247">
        <v>3</v>
      </c>
      <c r="H247" s="12">
        <v>0</v>
      </c>
      <c r="I247" s="12">
        <v>0</v>
      </c>
      <c r="J247" s="12">
        <v>0</v>
      </c>
      <c r="K247" s="12">
        <v>0</v>
      </c>
      <c r="L247" s="12">
        <v>0</v>
      </c>
      <c r="M247" s="12">
        <v>0</v>
      </c>
      <c r="N247" s="12">
        <v>0</v>
      </c>
      <c r="O247" s="12">
        <v>1</v>
      </c>
      <c r="P247" s="12">
        <v>0</v>
      </c>
      <c r="Q247" s="12">
        <v>0</v>
      </c>
      <c r="R247" s="12">
        <v>0</v>
      </c>
    </row>
    <row r="248" spans="1:19" x14ac:dyDescent="0.25">
      <c r="A248" s="13">
        <v>45880.556944444441</v>
      </c>
      <c r="B248" t="s">
        <v>351</v>
      </c>
      <c r="C248" t="s">
        <v>363</v>
      </c>
      <c r="D248" t="s">
        <v>10</v>
      </c>
      <c r="E248" t="s">
        <v>11</v>
      </c>
      <c r="F248" t="s">
        <v>12</v>
      </c>
      <c r="G248">
        <v>10.5</v>
      </c>
      <c r="H248" s="12">
        <v>0</v>
      </c>
      <c r="I248" s="12">
        <v>0</v>
      </c>
      <c r="J248" s="12">
        <v>0</v>
      </c>
      <c r="K248" s="12">
        <v>0</v>
      </c>
      <c r="L248" s="12">
        <v>1</v>
      </c>
      <c r="M248" s="12">
        <v>0</v>
      </c>
      <c r="N248" s="12">
        <v>0</v>
      </c>
      <c r="O248" s="12">
        <v>0</v>
      </c>
      <c r="P248" s="12">
        <v>0</v>
      </c>
      <c r="Q248" s="12">
        <v>0</v>
      </c>
      <c r="R248" s="12">
        <v>0</v>
      </c>
    </row>
    <row r="249" spans="1:19" x14ac:dyDescent="0.25">
      <c r="A249" s="13">
        <v>45880.572245370371</v>
      </c>
      <c r="B249" t="s">
        <v>351</v>
      </c>
      <c r="C249" t="s">
        <v>363</v>
      </c>
      <c r="D249" t="s">
        <v>10</v>
      </c>
      <c r="E249" t="s">
        <v>11</v>
      </c>
      <c r="F249" t="s">
        <v>14</v>
      </c>
      <c r="G249">
        <v>0.5</v>
      </c>
      <c r="H249" s="12">
        <v>0</v>
      </c>
      <c r="I249" s="12">
        <v>0</v>
      </c>
      <c r="J249" s="12">
        <v>0</v>
      </c>
      <c r="K249" s="12">
        <v>0</v>
      </c>
      <c r="L249" s="12">
        <v>0</v>
      </c>
      <c r="M249" s="12">
        <v>0</v>
      </c>
      <c r="N249" s="12">
        <v>0</v>
      </c>
      <c r="O249" s="12">
        <v>0</v>
      </c>
      <c r="P249" s="12">
        <v>0</v>
      </c>
      <c r="Q249" s="12">
        <v>1</v>
      </c>
      <c r="R249" s="12">
        <v>0</v>
      </c>
    </row>
    <row r="250" spans="1:19" x14ac:dyDescent="0.25">
      <c r="A250" s="13">
        <v>45880.572777777779</v>
      </c>
      <c r="B250" t="s">
        <v>351</v>
      </c>
      <c r="C250" t="s">
        <v>363</v>
      </c>
      <c r="D250" t="s">
        <v>10</v>
      </c>
      <c r="E250" t="s">
        <v>17</v>
      </c>
      <c r="F250" t="s">
        <v>14</v>
      </c>
      <c r="G250">
        <v>0.5</v>
      </c>
      <c r="H250" s="12">
        <v>0</v>
      </c>
      <c r="I250" s="12">
        <v>0</v>
      </c>
      <c r="J250" s="12">
        <v>0</v>
      </c>
      <c r="K250" s="12">
        <v>0</v>
      </c>
      <c r="L250" s="12">
        <v>0</v>
      </c>
      <c r="M250" s="12">
        <v>0</v>
      </c>
      <c r="N250" s="12">
        <v>0</v>
      </c>
      <c r="O250" s="12">
        <v>1</v>
      </c>
      <c r="P250" s="12">
        <v>0</v>
      </c>
      <c r="Q250" s="12">
        <v>0</v>
      </c>
      <c r="R250" s="12">
        <v>0</v>
      </c>
    </row>
    <row r="251" spans="1:19" x14ac:dyDescent="0.25">
      <c r="A251" s="13">
        <v>45880.613310185188</v>
      </c>
      <c r="B251" t="s">
        <v>348</v>
      </c>
      <c r="C251" t="s">
        <v>363</v>
      </c>
      <c r="D251" t="s">
        <v>10</v>
      </c>
      <c r="E251" t="s">
        <v>17</v>
      </c>
      <c r="F251" t="s">
        <v>12</v>
      </c>
      <c r="G251">
        <v>10.5</v>
      </c>
      <c r="H251" s="12">
        <v>0</v>
      </c>
      <c r="I251" s="12">
        <v>0</v>
      </c>
      <c r="J251" s="12">
        <v>0</v>
      </c>
      <c r="K251" s="12">
        <v>0</v>
      </c>
      <c r="L251" s="12">
        <v>1</v>
      </c>
      <c r="M251" s="12">
        <v>0</v>
      </c>
      <c r="N251" s="12">
        <v>0</v>
      </c>
      <c r="O251" s="12">
        <v>0</v>
      </c>
      <c r="P251" s="12">
        <v>0</v>
      </c>
      <c r="Q251" s="12">
        <v>0</v>
      </c>
      <c r="R251" s="12">
        <v>0</v>
      </c>
    </row>
    <row r="252" spans="1:19" x14ac:dyDescent="0.25">
      <c r="A252" s="13">
        <v>45880.61347222222</v>
      </c>
      <c r="B252" t="s">
        <v>348</v>
      </c>
      <c r="C252" t="s">
        <v>363</v>
      </c>
      <c r="D252" t="s">
        <v>10</v>
      </c>
      <c r="E252" t="s">
        <v>11</v>
      </c>
      <c r="F252" t="s">
        <v>15</v>
      </c>
      <c r="G252">
        <v>3</v>
      </c>
      <c r="H252" s="12">
        <v>1</v>
      </c>
      <c r="I252" s="12">
        <v>0</v>
      </c>
      <c r="J252" s="12">
        <v>1</v>
      </c>
      <c r="K252" s="12">
        <v>0</v>
      </c>
      <c r="L252" s="12">
        <v>0</v>
      </c>
      <c r="M252" s="12">
        <v>0</v>
      </c>
      <c r="N252" s="12">
        <v>0</v>
      </c>
      <c r="O252" s="12">
        <v>0</v>
      </c>
      <c r="P252" s="12">
        <v>0</v>
      </c>
      <c r="Q252" s="12">
        <v>0</v>
      </c>
      <c r="R252" s="12">
        <v>0</v>
      </c>
    </row>
    <row r="253" spans="1:19" x14ac:dyDescent="0.25">
      <c r="A253" s="13">
        <v>45880.634837962964</v>
      </c>
      <c r="B253" t="s">
        <v>349</v>
      </c>
      <c r="C253" t="s">
        <v>363</v>
      </c>
      <c r="D253" t="s">
        <v>10</v>
      </c>
      <c r="E253" t="s">
        <v>11</v>
      </c>
      <c r="F253" t="s">
        <v>15</v>
      </c>
      <c r="G253">
        <v>3</v>
      </c>
      <c r="H253" s="12">
        <v>1</v>
      </c>
      <c r="I253" s="12">
        <v>0</v>
      </c>
      <c r="J253" s="12">
        <v>1</v>
      </c>
      <c r="K253" s="12">
        <v>0</v>
      </c>
      <c r="L253" s="12">
        <v>0</v>
      </c>
      <c r="M253" s="12">
        <v>0</v>
      </c>
      <c r="N253" s="12">
        <v>0</v>
      </c>
      <c r="O253" s="12">
        <v>0</v>
      </c>
      <c r="P253" s="12">
        <v>0</v>
      </c>
      <c r="Q253" s="12">
        <v>0</v>
      </c>
      <c r="R253" s="12">
        <v>0</v>
      </c>
    </row>
    <row r="254" spans="1:19" x14ac:dyDescent="0.25">
      <c r="A254" s="13">
        <v>45880.670868055553</v>
      </c>
      <c r="B254" t="s">
        <v>353</v>
      </c>
      <c r="C254" t="s">
        <v>363</v>
      </c>
      <c r="D254" t="s">
        <v>20</v>
      </c>
      <c r="E254" t="s">
        <v>11</v>
      </c>
      <c r="F254" t="s">
        <v>12</v>
      </c>
      <c r="G254">
        <v>10.5</v>
      </c>
      <c r="H254" s="12">
        <v>1</v>
      </c>
      <c r="I254" s="12">
        <v>0</v>
      </c>
      <c r="J254" s="12">
        <v>1</v>
      </c>
      <c r="K254" s="12">
        <v>1</v>
      </c>
      <c r="L254" s="12">
        <v>0</v>
      </c>
      <c r="M254" s="12">
        <v>0</v>
      </c>
      <c r="N254" s="12">
        <v>0</v>
      </c>
      <c r="O254" s="12">
        <v>0</v>
      </c>
      <c r="P254" s="12">
        <v>0</v>
      </c>
      <c r="Q254" s="12">
        <v>0</v>
      </c>
      <c r="R254" s="12">
        <v>0</v>
      </c>
    </row>
    <row r="255" spans="1:19" x14ac:dyDescent="0.25">
      <c r="A255" s="13">
        <v>45880.686990740738</v>
      </c>
      <c r="B255" t="s">
        <v>353</v>
      </c>
      <c r="C255" t="s">
        <v>363</v>
      </c>
      <c r="D255" t="s">
        <v>10</v>
      </c>
      <c r="E255" t="s">
        <v>11</v>
      </c>
      <c r="F255" t="s">
        <v>15</v>
      </c>
      <c r="G255">
        <v>3</v>
      </c>
      <c r="H255" s="12">
        <v>1</v>
      </c>
      <c r="I255" s="12">
        <v>0</v>
      </c>
      <c r="J255" s="12">
        <v>1</v>
      </c>
      <c r="K255" s="12">
        <v>0</v>
      </c>
      <c r="L255" s="12">
        <v>1</v>
      </c>
      <c r="M255" s="12">
        <v>0</v>
      </c>
      <c r="N255" s="12">
        <v>0</v>
      </c>
      <c r="O255" s="12">
        <v>0</v>
      </c>
      <c r="P255" s="12">
        <v>0</v>
      </c>
      <c r="Q255" s="12">
        <v>0</v>
      </c>
      <c r="R255" s="12">
        <v>0</v>
      </c>
    </row>
    <row r="256" spans="1:19" x14ac:dyDescent="0.25">
      <c r="A256" s="13">
        <v>45880.6871875</v>
      </c>
      <c r="B256" t="s">
        <v>353</v>
      </c>
      <c r="C256" t="s">
        <v>363</v>
      </c>
      <c r="D256" t="s">
        <v>10</v>
      </c>
      <c r="E256" t="s">
        <v>11</v>
      </c>
      <c r="F256" t="s">
        <v>14</v>
      </c>
      <c r="G256">
        <v>0.5</v>
      </c>
      <c r="H256" s="12">
        <v>0</v>
      </c>
      <c r="I256" s="12">
        <v>0</v>
      </c>
      <c r="J256" s="12">
        <v>0</v>
      </c>
      <c r="K256" s="12">
        <v>0</v>
      </c>
      <c r="L256" s="12">
        <v>0</v>
      </c>
      <c r="M256" s="12">
        <v>0</v>
      </c>
      <c r="N256" s="12">
        <v>0</v>
      </c>
      <c r="O256" s="12">
        <v>0</v>
      </c>
      <c r="P256" s="12">
        <v>0</v>
      </c>
      <c r="Q256" s="12">
        <v>1</v>
      </c>
      <c r="R256" s="12">
        <v>0</v>
      </c>
    </row>
    <row r="257" spans="1:19" x14ac:dyDescent="0.25">
      <c r="A257" s="13">
        <v>45882.499988425923</v>
      </c>
      <c r="B257" t="s">
        <v>354</v>
      </c>
      <c r="C257" t="s">
        <v>359</v>
      </c>
      <c r="D257" t="s">
        <v>10</v>
      </c>
      <c r="E257" t="s">
        <v>11</v>
      </c>
      <c r="F257" t="s">
        <v>12</v>
      </c>
      <c r="G257">
        <v>10.5</v>
      </c>
      <c r="H257" s="12">
        <v>0</v>
      </c>
      <c r="I257" s="12">
        <v>1</v>
      </c>
      <c r="J257" s="12">
        <v>0</v>
      </c>
      <c r="K257" s="12">
        <v>0</v>
      </c>
      <c r="L257" s="12">
        <v>0</v>
      </c>
      <c r="M257" s="12">
        <v>0</v>
      </c>
      <c r="N257" s="12">
        <v>0</v>
      </c>
      <c r="O257" s="12">
        <v>0</v>
      </c>
      <c r="P257" s="12">
        <v>0</v>
      </c>
      <c r="Q257" s="12">
        <v>0</v>
      </c>
      <c r="R257" s="12">
        <v>0</v>
      </c>
    </row>
    <row r="258" spans="1:19" x14ac:dyDescent="0.25">
      <c r="A258" s="13">
        <v>45882.524826388886</v>
      </c>
      <c r="B258" t="s">
        <v>350</v>
      </c>
      <c r="C258" t="s">
        <v>359</v>
      </c>
      <c r="D258" t="s">
        <v>10</v>
      </c>
      <c r="E258" t="s">
        <v>17</v>
      </c>
      <c r="F258" t="s">
        <v>18</v>
      </c>
      <c r="G258">
        <v>20</v>
      </c>
      <c r="H258" s="12">
        <v>0</v>
      </c>
      <c r="I258" s="12">
        <v>0</v>
      </c>
      <c r="J258" s="12">
        <v>0</v>
      </c>
      <c r="K258" s="12">
        <v>0</v>
      </c>
      <c r="L258" s="12">
        <v>0</v>
      </c>
      <c r="M258" s="12">
        <v>0</v>
      </c>
      <c r="N258" s="12">
        <v>0</v>
      </c>
      <c r="O258" s="12">
        <v>1</v>
      </c>
      <c r="P258" s="12">
        <v>0</v>
      </c>
      <c r="Q258" s="12">
        <v>0</v>
      </c>
      <c r="R258" s="12">
        <v>0</v>
      </c>
      <c r="S258" t="s">
        <v>72</v>
      </c>
    </row>
    <row r="259" spans="1:19" x14ac:dyDescent="0.25">
      <c r="A259" s="13">
        <v>45882.587627314817</v>
      </c>
      <c r="B259" t="s">
        <v>348</v>
      </c>
      <c r="C259" t="s">
        <v>359</v>
      </c>
      <c r="D259" t="s">
        <v>10</v>
      </c>
      <c r="E259" t="s">
        <v>17</v>
      </c>
      <c r="F259" t="s">
        <v>15</v>
      </c>
      <c r="G259">
        <v>3</v>
      </c>
      <c r="H259" s="12">
        <v>0</v>
      </c>
      <c r="I259" s="12">
        <v>0</v>
      </c>
      <c r="J259" s="12">
        <v>0</v>
      </c>
      <c r="K259" s="12">
        <v>0</v>
      </c>
      <c r="L259" s="12">
        <v>0</v>
      </c>
      <c r="M259" s="12">
        <v>0</v>
      </c>
      <c r="N259" s="12">
        <v>0</v>
      </c>
      <c r="O259" s="12">
        <v>1</v>
      </c>
      <c r="P259" s="12">
        <v>0</v>
      </c>
      <c r="Q259" s="12">
        <v>0</v>
      </c>
      <c r="R259" s="12">
        <v>0</v>
      </c>
    </row>
    <row r="260" spans="1:19" x14ac:dyDescent="0.25">
      <c r="A260" s="13">
        <v>45882.611076388886</v>
      </c>
      <c r="B260" t="s">
        <v>348</v>
      </c>
      <c r="C260" t="s">
        <v>359</v>
      </c>
      <c r="D260" t="s">
        <v>10</v>
      </c>
      <c r="E260" t="s">
        <v>17</v>
      </c>
      <c r="F260" t="s">
        <v>15</v>
      </c>
      <c r="G260">
        <v>3</v>
      </c>
      <c r="H260" s="12">
        <v>0</v>
      </c>
      <c r="I260" s="12">
        <v>0</v>
      </c>
      <c r="J260" s="12">
        <v>0</v>
      </c>
      <c r="K260" s="12">
        <v>0</v>
      </c>
      <c r="L260" s="12">
        <v>0</v>
      </c>
      <c r="M260" s="12">
        <v>0</v>
      </c>
      <c r="N260" s="12">
        <v>1</v>
      </c>
      <c r="O260" s="12">
        <v>0</v>
      </c>
      <c r="P260" s="12">
        <v>0</v>
      </c>
      <c r="Q260" s="12">
        <v>0</v>
      </c>
      <c r="R260" s="12">
        <v>0</v>
      </c>
    </row>
    <row r="261" spans="1:19" x14ac:dyDescent="0.25">
      <c r="A261" s="13">
        <v>45882.611134259256</v>
      </c>
      <c r="B261" t="s">
        <v>348</v>
      </c>
      <c r="C261" t="s">
        <v>359</v>
      </c>
      <c r="D261" t="s">
        <v>10</v>
      </c>
      <c r="E261" t="s">
        <v>17</v>
      </c>
      <c r="F261" t="s">
        <v>15</v>
      </c>
      <c r="G261">
        <v>3</v>
      </c>
      <c r="H261" s="12">
        <v>0</v>
      </c>
      <c r="I261" s="12">
        <v>0</v>
      </c>
      <c r="J261" s="12">
        <v>0</v>
      </c>
      <c r="K261" s="12">
        <v>0</v>
      </c>
      <c r="L261" s="12">
        <v>0</v>
      </c>
      <c r="M261" s="12">
        <v>0</v>
      </c>
      <c r="N261" s="12">
        <v>1</v>
      </c>
      <c r="O261" s="12">
        <v>0</v>
      </c>
      <c r="P261" s="12">
        <v>0</v>
      </c>
      <c r="Q261" s="12">
        <v>0</v>
      </c>
      <c r="R261" s="12">
        <v>0</v>
      </c>
    </row>
    <row r="262" spans="1:19" x14ac:dyDescent="0.25">
      <c r="A262" s="13">
        <v>45882.660509259258</v>
      </c>
      <c r="B262" t="s">
        <v>349</v>
      </c>
      <c r="C262" t="s">
        <v>359</v>
      </c>
      <c r="D262" t="s">
        <v>10</v>
      </c>
      <c r="E262" t="s">
        <v>11</v>
      </c>
      <c r="F262" t="s">
        <v>15</v>
      </c>
      <c r="G262">
        <v>3</v>
      </c>
      <c r="H262" s="12">
        <v>0</v>
      </c>
      <c r="I262" s="12">
        <v>0</v>
      </c>
      <c r="J262" s="12">
        <v>0</v>
      </c>
      <c r="K262" s="12">
        <v>0</v>
      </c>
      <c r="L262" s="12">
        <v>0</v>
      </c>
      <c r="M262" s="12">
        <v>0</v>
      </c>
      <c r="N262" s="12">
        <v>0</v>
      </c>
      <c r="O262" s="12">
        <v>0</v>
      </c>
      <c r="P262" s="12">
        <v>1</v>
      </c>
      <c r="Q262" s="12">
        <v>0</v>
      </c>
      <c r="R262" s="12">
        <v>0</v>
      </c>
    </row>
    <row r="263" spans="1:19" x14ac:dyDescent="0.25">
      <c r="A263" s="13">
        <v>45882.66070601852</v>
      </c>
      <c r="B263" t="s">
        <v>349</v>
      </c>
      <c r="C263" t="s">
        <v>359</v>
      </c>
      <c r="D263" t="s">
        <v>10</v>
      </c>
      <c r="E263" t="s">
        <v>11</v>
      </c>
      <c r="F263" t="s">
        <v>15</v>
      </c>
      <c r="G263">
        <v>3</v>
      </c>
      <c r="H263" s="12">
        <v>1</v>
      </c>
      <c r="I263" s="12">
        <v>0</v>
      </c>
      <c r="J263" s="12">
        <v>0</v>
      </c>
      <c r="K263" s="12">
        <v>0</v>
      </c>
      <c r="L263" s="12">
        <v>0</v>
      </c>
      <c r="M263" s="12">
        <v>0</v>
      </c>
      <c r="N263" s="12">
        <v>0</v>
      </c>
      <c r="O263" s="12">
        <v>0</v>
      </c>
      <c r="P263" s="12">
        <v>0</v>
      </c>
      <c r="Q263" s="12">
        <v>0</v>
      </c>
      <c r="R263" s="12">
        <v>0</v>
      </c>
    </row>
    <row r="264" spans="1:19" x14ac:dyDescent="0.25">
      <c r="A264" s="13">
        <v>45883.386284722219</v>
      </c>
      <c r="B264" t="s">
        <v>352</v>
      </c>
      <c r="C264" t="s">
        <v>360</v>
      </c>
      <c r="D264" t="s">
        <v>10</v>
      </c>
      <c r="E264" t="s">
        <v>11</v>
      </c>
      <c r="F264" t="s">
        <v>12</v>
      </c>
      <c r="G264">
        <v>10.5</v>
      </c>
      <c r="H264" s="12">
        <v>0</v>
      </c>
      <c r="I264" s="12">
        <v>0</v>
      </c>
      <c r="J264" s="12">
        <v>0</v>
      </c>
      <c r="K264" s="12">
        <v>0</v>
      </c>
      <c r="L264" s="12">
        <v>1</v>
      </c>
      <c r="M264" s="12">
        <v>0</v>
      </c>
      <c r="N264" s="12">
        <v>1</v>
      </c>
      <c r="O264" s="12">
        <v>0</v>
      </c>
      <c r="P264" s="12">
        <v>1</v>
      </c>
      <c r="Q264" s="12">
        <v>0</v>
      </c>
      <c r="R264" s="12">
        <v>0</v>
      </c>
    </row>
    <row r="265" spans="1:19" x14ac:dyDescent="0.25">
      <c r="A265" s="13">
        <v>45883.422199074077</v>
      </c>
      <c r="B265" t="s">
        <v>347</v>
      </c>
      <c r="C265" t="s">
        <v>360</v>
      </c>
      <c r="D265" t="s">
        <v>10</v>
      </c>
      <c r="E265" t="s">
        <v>11</v>
      </c>
      <c r="F265" t="s">
        <v>12</v>
      </c>
      <c r="G265">
        <v>10.5</v>
      </c>
      <c r="H265" s="12">
        <v>1</v>
      </c>
      <c r="I265" s="12">
        <v>0</v>
      </c>
      <c r="J265" s="12">
        <v>1</v>
      </c>
      <c r="K265" s="12">
        <v>0</v>
      </c>
      <c r="L265" s="12">
        <v>0</v>
      </c>
      <c r="M265" s="12">
        <v>0</v>
      </c>
      <c r="N265" s="12">
        <v>0</v>
      </c>
      <c r="O265" s="12">
        <v>0</v>
      </c>
      <c r="P265" s="12">
        <v>0</v>
      </c>
      <c r="Q265" s="12">
        <v>0</v>
      </c>
      <c r="R265" s="12">
        <v>0</v>
      </c>
    </row>
    <row r="266" spans="1:19" x14ac:dyDescent="0.25">
      <c r="A266" s="13">
        <v>45883.442233796297</v>
      </c>
      <c r="B266" t="s">
        <v>347</v>
      </c>
      <c r="C266" t="s">
        <v>360</v>
      </c>
      <c r="D266" t="s">
        <v>10</v>
      </c>
      <c r="E266" t="s">
        <v>11</v>
      </c>
      <c r="F266" t="s">
        <v>15</v>
      </c>
      <c r="G266">
        <v>3</v>
      </c>
      <c r="H266" s="12">
        <v>0</v>
      </c>
      <c r="I266" s="12">
        <v>0</v>
      </c>
      <c r="J266" s="12">
        <v>0</v>
      </c>
      <c r="K266" s="12">
        <v>0</v>
      </c>
      <c r="L266" s="12">
        <v>0</v>
      </c>
      <c r="M266" s="12">
        <v>1</v>
      </c>
      <c r="N266" s="12">
        <v>0</v>
      </c>
      <c r="O266" s="12">
        <v>0</v>
      </c>
      <c r="P266" s="12">
        <v>0</v>
      </c>
      <c r="Q266" s="12">
        <v>0</v>
      </c>
      <c r="R266" s="12">
        <v>0</v>
      </c>
    </row>
    <row r="267" spans="1:19" x14ac:dyDescent="0.25">
      <c r="A267" s="13">
        <v>45883.504131944443</v>
      </c>
      <c r="B267" t="s">
        <v>350</v>
      </c>
      <c r="C267" t="s">
        <v>360</v>
      </c>
      <c r="D267" t="s">
        <v>10</v>
      </c>
      <c r="E267" t="s">
        <v>11</v>
      </c>
      <c r="F267" t="s">
        <v>15</v>
      </c>
      <c r="G267">
        <v>3</v>
      </c>
      <c r="H267" s="12">
        <v>0</v>
      </c>
      <c r="I267" s="12">
        <v>0</v>
      </c>
      <c r="J267" s="12">
        <v>0</v>
      </c>
      <c r="K267" s="12">
        <v>0</v>
      </c>
      <c r="L267" s="12">
        <v>0</v>
      </c>
      <c r="M267" s="12">
        <v>0</v>
      </c>
      <c r="N267" s="12">
        <v>0</v>
      </c>
      <c r="O267" s="12">
        <v>0</v>
      </c>
      <c r="P267" s="12">
        <v>0</v>
      </c>
      <c r="Q267" s="12">
        <v>0</v>
      </c>
      <c r="R267" s="12">
        <v>1</v>
      </c>
      <c r="S267" t="s">
        <v>73</v>
      </c>
    </row>
    <row r="268" spans="1:19" x14ac:dyDescent="0.25">
      <c r="A268" s="13">
        <v>45883.535474537035</v>
      </c>
      <c r="B268" t="s">
        <v>350</v>
      </c>
      <c r="C268" t="s">
        <v>360</v>
      </c>
      <c r="D268" t="s">
        <v>10</v>
      </c>
      <c r="E268" t="s">
        <v>11</v>
      </c>
      <c r="F268" t="s">
        <v>12</v>
      </c>
      <c r="G268">
        <v>10.5</v>
      </c>
      <c r="H268" s="12">
        <v>0</v>
      </c>
      <c r="I268" s="12">
        <v>0</v>
      </c>
      <c r="J268" s="12">
        <v>0</v>
      </c>
      <c r="K268" s="12">
        <v>0</v>
      </c>
      <c r="L268" s="12">
        <v>1</v>
      </c>
      <c r="M268" s="12">
        <v>0</v>
      </c>
      <c r="N268" s="12">
        <v>0</v>
      </c>
      <c r="O268" s="12">
        <v>0</v>
      </c>
      <c r="P268" s="12">
        <v>0</v>
      </c>
      <c r="Q268" s="12">
        <v>0</v>
      </c>
      <c r="R268" s="12">
        <v>0</v>
      </c>
      <c r="S268" t="s">
        <v>74</v>
      </c>
    </row>
    <row r="269" spans="1:19" x14ac:dyDescent="0.25">
      <c r="A269" s="13">
        <v>45883.536064814813</v>
      </c>
      <c r="B269" t="s">
        <v>350</v>
      </c>
      <c r="C269" t="s">
        <v>360</v>
      </c>
      <c r="D269" t="s">
        <v>10</v>
      </c>
      <c r="E269" t="s">
        <v>11</v>
      </c>
      <c r="F269" t="s">
        <v>15</v>
      </c>
      <c r="G269">
        <v>3</v>
      </c>
      <c r="H269" s="12">
        <v>1</v>
      </c>
      <c r="I269" s="12">
        <v>0</v>
      </c>
      <c r="J269" s="12">
        <v>0</v>
      </c>
      <c r="K269" s="12">
        <v>0</v>
      </c>
      <c r="L269" s="12">
        <v>0</v>
      </c>
      <c r="M269" s="12">
        <v>0</v>
      </c>
      <c r="N269" s="12">
        <v>0</v>
      </c>
      <c r="O269" s="12">
        <v>0</v>
      </c>
      <c r="P269" s="12">
        <v>0</v>
      </c>
      <c r="Q269" s="12">
        <v>0</v>
      </c>
      <c r="R269" s="12">
        <v>0</v>
      </c>
      <c r="S269" t="s">
        <v>75</v>
      </c>
    </row>
    <row r="270" spans="1:19" x14ac:dyDescent="0.25">
      <c r="A270" s="13">
        <v>45883.584305555552</v>
      </c>
      <c r="B270" t="s">
        <v>348</v>
      </c>
      <c r="C270" t="s">
        <v>360</v>
      </c>
      <c r="D270" t="s">
        <v>10</v>
      </c>
      <c r="E270" t="s">
        <v>11</v>
      </c>
      <c r="F270" t="s">
        <v>12</v>
      </c>
      <c r="G270">
        <v>10.5</v>
      </c>
      <c r="H270" s="12">
        <v>1</v>
      </c>
      <c r="I270" s="12">
        <v>0</v>
      </c>
      <c r="J270" s="12">
        <v>1</v>
      </c>
      <c r="K270" s="12">
        <v>0</v>
      </c>
      <c r="L270" s="12">
        <v>0</v>
      </c>
      <c r="M270" s="12">
        <v>0</v>
      </c>
      <c r="N270" s="12">
        <v>0</v>
      </c>
      <c r="O270" s="12">
        <v>0</v>
      </c>
      <c r="P270" s="12">
        <v>0</v>
      </c>
      <c r="Q270" s="12">
        <v>0</v>
      </c>
      <c r="R270" s="12">
        <v>0</v>
      </c>
    </row>
    <row r="271" spans="1:19" x14ac:dyDescent="0.25">
      <c r="A271" s="13">
        <v>45883.584606481483</v>
      </c>
      <c r="B271" t="s">
        <v>348</v>
      </c>
      <c r="C271" t="s">
        <v>360</v>
      </c>
      <c r="D271" t="s">
        <v>10</v>
      </c>
      <c r="E271" t="s">
        <v>11</v>
      </c>
      <c r="F271" t="s">
        <v>12</v>
      </c>
      <c r="G271">
        <v>10.5</v>
      </c>
      <c r="H271" s="12">
        <v>0</v>
      </c>
      <c r="I271" s="12">
        <v>0</v>
      </c>
      <c r="J271" s="12">
        <v>0</v>
      </c>
      <c r="K271" s="12">
        <v>0</v>
      </c>
      <c r="L271" s="12">
        <v>0</v>
      </c>
      <c r="M271" s="12">
        <v>0</v>
      </c>
      <c r="N271" s="12">
        <v>0</v>
      </c>
      <c r="O271" s="12">
        <v>1</v>
      </c>
      <c r="P271" s="12">
        <v>0</v>
      </c>
      <c r="Q271" s="12">
        <v>0</v>
      </c>
      <c r="R271" s="12">
        <v>0</v>
      </c>
    </row>
    <row r="272" spans="1:19" x14ac:dyDescent="0.25">
      <c r="A272" s="13">
        <v>45883.594317129631</v>
      </c>
      <c r="B272" t="s">
        <v>348</v>
      </c>
      <c r="C272" t="s">
        <v>360</v>
      </c>
      <c r="D272" t="s">
        <v>10</v>
      </c>
      <c r="E272" t="s">
        <v>11</v>
      </c>
      <c r="F272" t="s">
        <v>14</v>
      </c>
      <c r="G272">
        <v>0.5</v>
      </c>
      <c r="H272" s="12">
        <v>0</v>
      </c>
      <c r="I272" s="12">
        <v>0</v>
      </c>
      <c r="J272" s="12">
        <v>0</v>
      </c>
      <c r="K272" s="12">
        <v>0</v>
      </c>
      <c r="L272" s="12">
        <v>0</v>
      </c>
      <c r="M272" s="12">
        <v>0</v>
      </c>
      <c r="N272" s="12">
        <v>0</v>
      </c>
      <c r="O272" s="12">
        <v>0</v>
      </c>
      <c r="P272" s="12">
        <v>0</v>
      </c>
      <c r="Q272" s="12">
        <v>0</v>
      </c>
      <c r="R272" s="12">
        <v>1</v>
      </c>
      <c r="S272" t="s">
        <v>76</v>
      </c>
    </row>
    <row r="273" spans="1:19" x14ac:dyDescent="0.25">
      <c r="A273" s="13">
        <v>45883.594675925924</v>
      </c>
      <c r="B273" t="s">
        <v>348</v>
      </c>
      <c r="C273" t="s">
        <v>360</v>
      </c>
      <c r="D273" t="s">
        <v>10</v>
      </c>
      <c r="E273" t="s">
        <v>11</v>
      </c>
      <c r="F273" t="s">
        <v>15</v>
      </c>
      <c r="G273">
        <v>3</v>
      </c>
      <c r="H273" s="12">
        <v>0</v>
      </c>
      <c r="I273" s="12">
        <v>0</v>
      </c>
      <c r="J273" s="12">
        <v>0</v>
      </c>
      <c r="K273" s="12">
        <v>0</v>
      </c>
      <c r="L273" s="12">
        <v>0</v>
      </c>
      <c r="M273" s="12">
        <v>0</v>
      </c>
      <c r="N273" s="12">
        <v>0</v>
      </c>
      <c r="O273" s="12">
        <v>0</v>
      </c>
      <c r="P273" s="12">
        <v>0</v>
      </c>
      <c r="Q273" s="12">
        <v>0</v>
      </c>
      <c r="R273" s="12">
        <v>1</v>
      </c>
      <c r="S273" t="s">
        <v>77</v>
      </c>
    </row>
    <row r="274" spans="1:19" x14ac:dyDescent="0.25">
      <c r="A274" s="13">
        <v>45883.6253125</v>
      </c>
      <c r="B274" t="s">
        <v>349</v>
      </c>
      <c r="C274" t="s">
        <v>360</v>
      </c>
      <c r="D274" t="s">
        <v>10</v>
      </c>
      <c r="E274" t="s">
        <v>11</v>
      </c>
      <c r="F274" t="s">
        <v>12</v>
      </c>
      <c r="G274">
        <v>10.5</v>
      </c>
      <c r="H274" s="12">
        <v>0</v>
      </c>
      <c r="I274" s="12">
        <v>0</v>
      </c>
      <c r="J274" s="12">
        <v>0</v>
      </c>
      <c r="K274" s="12">
        <v>0</v>
      </c>
      <c r="L274" s="12">
        <v>1</v>
      </c>
      <c r="M274" s="12">
        <v>0</v>
      </c>
      <c r="N274" s="12">
        <v>0</v>
      </c>
      <c r="O274" s="12">
        <v>0</v>
      </c>
      <c r="P274" s="12">
        <v>0</v>
      </c>
      <c r="Q274" s="12">
        <v>0</v>
      </c>
      <c r="R274" s="12">
        <v>0</v>
      </c>
    </row>
    <row r="275" spans="1:19" x14ac:dyDescent="0.25">
      <c r="A275" s="13">
        <v>45883.634918981479</v>
      </c>
      <c r="B275" t="s">
        <v>349</v>
      </c>
      <c r="C275" t="s">
        <v>360</v>
      </c>
      <c r="D275" t="s">
        <v>10</v>
      </c>
      <c r="E275" t="s">
        <v>11</v>
      </c>
      <c r="F275" t="s">
        <v>14</v>
      </c>
      <c r="G275">
        <v>0.5</v>
      </c>
      <c r="H275" s="12">
        <v>0</v>
      </c>
      <c r="I275" s="12">
        <v>0</v>
      </c>
      <c r="J275" s="12">
        <v>0</v>
      </c>
      <c r="K275" s="12">
        <v>0</v>
      </c>
      <c r="L275" s="12">
        <v>0</v>
      </c>
      <c r="M275" s="12">
        <v>0</v>
      </c>
      <c r="N275" s="12">
        <v>0</v>
      </c>
      <c r="O275" s="12">
        <v>0</v>
      </c>
      <c r="P275" s="12">
        <v>0</v>
      </c>
      <c r="Q275" s="12">
        <v>1</v>
      </c>
      <c r="R275" s="12">
        <v>0</v>
      </c>
    </row>
    <row r="276" spans="1:19" x14ac:dyDescent="0.25">
      <c r="A276" s="13">
        <v>45883.649618055555</v>
      </c>
      <c r="B276" t="s">
        <v>349</v>
      </c>
      <c r="C276" t="s">
        <v>360</v>
      </c>
      <c r="D276" t="s">
        <v>10</v>
      </c>
      <c r="E276" t="s">
        <v>11</v>
      </c>
      <c r="F276" t="s">
        <v>12</v>
      </c>
      <c r="G276">
        <v>10.5</v>
      </c>
      <c r="H276" s="12">
        <v>0</v>
      </c>
      <c r="I276" s="12">
        <v>1</v>
      </c>
      <c r="J276" s="12">
        <v>1</v>
      </c>
      <c r="K276" s="12">
        <v>0</v>
      </c>
      <c r="L276" s="12">
        <v>1</v>
      </c>
      <c r="M276" s="12">
        <v>0</v>
      </c>
      <c r="N276" s="12">
        <v>0</v>
      </c>
      <c r="O276" s="12">
        <v>0</v>
      </c>
      <c r="P276" s="12">
        <v>0</v>
      </c>
      <c r="Q276" s="12">
        <v>0</v>
      </c>
      <c r="R276" s="12">
        <v>0</v>
      </c>
    </row>
    <row r="277" spans="1:19" x14ac:dyDescent="0.25">
      <c r="A277" s="13">
        <v>45884.386921296296</v>
      </c>
      <c r="B277" t="s">
        <v>352</v>
      </c>
      <c r="C277" t="s">
        <v>361</v>
      </c>
      <c r="D277" t="s">
        <v>10</v>
      </c>
      <c r="E277" t="s">
        <v>11</v>
      </c>
      <c r="F277" t="s">
        <v>12</v>
      </c>
      <c r="G277">
        <v>10.5</v>
      </c>
      <c r="H277" s="12">
        <v>1</v>
      </c>
      <c r="I277" s="12">
        <v>0</v>
      </c>
      <c r="J277" s="12">
        <v>0</v>
      </c>
      <c r="K277" s="12">
        <v>1</v>
      </c>
      <c r="L277" s="12">
        <v>0</v>
      </c>
      <c r="M277" s="12">
        <v>0</v>
      </c>
      <c r="N277" s="12">
        <v>0</v>
      </c>
      <c r="O277" s="12">
        <v>0</v>
      </c>
      <c r="P277" s="12">
        <v>0</v>
      </c>
      <c r="Q277" s="12">
        <v>0</v>
      </c>
      <c r="R277" s="12">
        <v>0</v>
      </c>
      <c r="S277" t="s">
        <v>78</v>
      </c>
    </row>
    <row r="278" spans="1:19" x14ac:dyDescent="0.25">
      <c r="A278" s="13">
        <v>45884.40625</v>
      </c>
      <c r="B278" t="s">
        <v>352</v>
      </c>
      <c r="C278" t="s">
        <v>361</v>
      </c>
      <c r="D278" t="s">
        <v>10</v>
      </c>
      <c r="E278" t="s">
        <v>11</v>
      </c>
      <c r="F278" t="s">
        <v>12</v>
      </c>
      <c r="G278">
        <v>10.5</v>
      </c>
      <c r="H278" s="12">
        <v>0</v>
      </c>
      <c r="I278" s="12">
        <v>1</v>
      </c>
      <c r="J278" s="12">
        <v>0</v>
      </c>
      <c r="K278" s="12">
        <v>1</v>
      </c>
      <c r="L278" s="12">
        <v>0</v>
      </c>
      <c r="M278" s="12">
        <v>0</v>
      </c>
      <c r="N278" s="12">
        <v>1</v>
      </c>
      <c r="O278" s="12">
        <v>0</v>
      </c>
      <c r="P278" s="12">
        <v>0</v>
      </c>
      <c r="Q278" s="12">
        <v>0</v>
      </c>
      <c r="R278" s="12">
        <v>0</v>
      </c>
      <c r="S278" t="s">
        <v>79</v>
      </c>
    </row>
    <row r="279" spans="1:19" x14ac:dyDescent="0.25">
      <c r="A279" s="13">
        <v>45884.452453703707</v>
      </c>
      <c r="B279" t="s">
        <v>347</v>
      </c>
      <c r="C279" t="s">
        <v>361</v>
      </c>
      <c r="D279" t="s">
        <v>10</v>
      </c>
      <c r="E279" t="s">
        <v>11</v>
      </c>
      <c r="F279" t="s">
        <v>15</v>
      </c>
      <c r="G279">
        <v>3</v>
      </c>
      <c r="H279" s="12">
        <v>1</v>
      </c>
      <c r="I279" s="12">
        <v>0</v>
      </c>
      <c r="J279" s="12">
        <v>1</v>
      </c>
      <c r="K279" s="12">
        <v>0</v>
      </c>
      <c r="L279" s="12">
        <v>0</v>
      </c>
      <c r="M279" s="12">
        <v>0</v>
      </c>
      <c r="N279" s="12">
        <v>0</v>
      </c>
      <c r="O279" s="12">
        <v>0</v>
      </c>
      <c r="P279" s="12">
        <v>0</v>
      </c>
      <c r="Q279" s="12">
        <v>0</v>
      </c>
      <c r="R279" s="12">
        <v>0</v>
      </c>
    </row>
    <row r="280" spans="1:19" x14ac:dyDescent="0.25">
      <c r="A280" s="13">
        <v>45884.471562500003</v>
      </c>
      <c r="B280" t="s">
        <v>354</v>
      </c>
      <c r="C280" t="s">
        <v>361</v>
      </c>
      <c r="D280" t="s">
        <v>10</v>
      </c>
      <c r="E280" t="s">
        <v>11</v>
      </c>
      <c r="F280" t="s">
        <v>12</v>
      </c>
      <c r="G280">
        <v>10.5</v>
      </c>
      <c r="H280" s="12">
        <v>0</v>
      </c>
      <c r="I280" s="12">
        <v>0</v>
      </c>
      <c r="J280" s="12">
        <v>0</v>
      </c>
      <c r="K280" s="12">
        <v>0</v>
      </c>
      <c r="L280" s="12">
        <v>0</v>
      </c>
      <c r="M280" s="12">
        <v>0</v>
      </c>
      <c r="N280" s="12">
        <v>0</v>
      </c>
      <c r="O280" s="12">
        <v>0</v>
      </c>
      <c r="P280" s="12">
        <v>0</v>
      </c>
      <c r="Q280" s="12">
        <v>0</v>
      </c>
      <c r="R280" s="12">
        <v>1</v>
      </c>
      <c r="S280" t="s">
        <v>80</v>
      </c>
    </row>
    <row r="281" spans="1:19" x14ac:dyDescent="0.25">
      <c r="A281" s="13">
        <v>45884.524664351855</v>
      </c>
      <c r="B281" t="s">
        <v>350</v>
      </c>
      <c r="C281" t="s">
        <v>361</v>
      </c>
      <c r="D281" t="s">
        <v>10</v>
      </c>
      <c r="E281" t="s">
        <v>11</v>
      </c>
      <c r="F281" t="s">
        <v>12</v>
      </c>
      <c r="G281">
        <v>10.5</v>
      </c>
      <c r="H281" s="12">
        <v>0</v>
      </c>
      <c r="I281" s="12">
        <v>1</v>
      </c>
      <c r="J281" s="12">
        <v>1</v>
      </c>
      <c r="K281" s="12">
        <v>1</v>
      </c>
      <c r="L281" s="12">
        <v>0</v>
      </c>
      <c r="M281" s="12">
        <v>0</v>
      </c>
      <c r="N281" s="12">
        <v>1</v>
      </c>
      <c r="O281" s="12">
        <v>0</v>
      </c>
      <c r="P281" s="12">
        <v>1</v>
      </c>
      <c r="Q281" s="12">
        <v>0</v>
      </c>
      <c r="R281" s="12">
        <v>0</v>
      </c>
      <c r="S281" t="s">
        <v>81</v>
      </c>
    </row>
    <row r="282" spans="1:19" x14ac:dyDescent="0.25">
      <c r="A282" s="13">
        <v>45884.528553240743</v>
      </c>
      <c r="B282" t="s">
        <v>350</v>
      </c>
      <c r="C282" t="s">
        <v>361</v>
      </c>
      <c r="D282" t="s">
        <v>10</v>
      </c>
      <c r="E282" t="s">
        <v>11</v>
      </c>
      <c r="F282" t="s">
        <v>15</v>
      </c>
      <c r="G282">
        <v>3</v>
      </c>
      <c r="H282" s="12">
        <v>1</v>
      </c>
      <c r="I282" s="12">
        <v>0</v>
      </c>
      <c r="J282" s="12">
        <v>1</v>
      </c>
      <c r="K282" s="12">
        <v>0</v>
      </c>
      <c r="L282" s="12">
        <v>0</v>
      </c>
      <c r="M282" s="12">
        <v>0</v>
      </c>
      <c r="N282" s="12">
        <v>0</v>
      </c>
      <c r="O282" s="12">
        <v>0</v>
      </c>
      <c r="P282" s="12">
        <v>0</v>
      </c>
      <c r="Q282" s="12">
        <v>0</v>
      </c>
      <c r="R282" s="12">
        <v>0</v>
      </c>
      <c r="S282" t="s">
        <v>82</v>
      </c>
    </row>
    <row r="283" spans="1:19" x14ac:dyDescent="0.25">
      <c r="A283" s="13">
        <v>45884.581516203703</v>
      </c>
      <c r="B283" t="s">
        <v>351</v>
      </c>
      <c r="C283" t="s">
        <v>361</v>
      </c>
      <c r="D283" t="s">
        <v>20</v>
      </c>
      <c r="E283" t="s">
        <v>11</v>
      </c>
      <c r="F283" t="s">
        <v>12</v>
      </c>
      <c r="G283">
        <v>10.5</v>
      </c>
      <c r="H283" s="12">
        <v>0</v>
      </c>
      <c r="I283" s="12">
        <v>0</v>
      </c>
      <c r="J283" s="12">
        <v>0</v>
      </c>
      <c r="K283" s="12">
        <v>0</v>
      </c>
      <c r="L283" s="12">
        <v>0</v>
      </c>
      <c r="M283" s="12">
        <v>0</v>
      </c>
      <c r="N283" s="12">
        <v>0</v>
      </c>
      <c r="O283" s="12">
        <v>0</v>
      </c>
      <c r="P283" s="12">
        <v>0</v>
      </c>
      <c r="Q283" s="12">
        <v>0</v>
      </c>
      <c r="R283" s="12">
        <v>1</v>
      </c>
      <c r="S283" t="s">
        <v>83</v>
      </c>
    </row>
    <row r="284" spans="1:19" x14ac:dyDescent="0.25">
      <c r="A284" s="13">
        <v>45884.582060185188</v>
      </c>
      <c r="B284" t="s">
        <v>351</v>
      </c>
      <c r="C284" t="s">
        <v>361</v>
      </c>
      <c r="D284" t="s">
        <v>10</v>
      </c>
      <c r="E284" t="s">
        <v>11</v>
      </c>
      <c r="F284" t="s">
        <v>15</v>
      </c>
      <c r="G284">
        <v>3</v>
      </c>
      <c r="H284" s="12">
        <v>0</v>
      </c>
      <c r="I284" s="12">
        <v>0</v>
      </c>
      <c r="J284" s="12">
        <v>0</v>
      </c>
      <c r="K284" s="12">
        <v>0</v>
      </c>
      <c r="L284" s="12">
        <v>0</v>
      </c>
      <c r="M284" s="12">
        <v>0</v>
      </c>
      <c r="N284" s="12">
        <v>1</v>
      </c>
      <c r="O284" s="12">
        <v>0</v>
      </c>
      <c r="P284" s="12">
        <v>0</v>
      </c>
      <c r="Q284" s="12">
        <v>0</v>
      </c>
      <c r="R284" s="12">
        <v>0</v>
      </c>
    </row>
    <row r="285" spans="1:19" x14ac:dyDescent="0.25">
      <c r="A285" s="13">
        <v>45884.620370370372</v>
      </c>
      <c r="B285" t="s">
        <v>348</v>
      </c>
      <c r="C285" t="s">
        <v>361</v>
      </c>
      <c r="D285" t="s">
        <v>10</v>
      </c>
      <c r="E285" t="s">
        <v>11</v>
      </c>
      <c r="F285" t="s">
        <v>18</v>
      </c>
      <c r="G285">
        <v>20</v>
      </c>
      <c r="H285" s="12">
        <v>0</v>
      </c>
      <c r="I285" s="12">
        <v>0</v>
      </c>
      <c r="J285" s="12">
        <v>0</v>
      </c>
      <c r="K285" s="12">
        <v>0</v>
      </c>
      <c r="L285" s="12">
        <v>1</v>
      </c>
      <c r="M285" s="12">
        <v>0</v>
      </c>
      <c r="N285" s="12">
        <v>0</v>
      </c>
      <c r="O285" s="12">
        <v>0</v>
      </c>
      <c r="P285" s="12">
        <v>0</v>
      </c>
      <c r="Q285" s="12">
        <v>0</v>
      </c>
      <c r="R285" s="12">
        <v>0</v>
      </c>
      <c r="S285" t="s">
        <v>84</v>
      </c>
    </row>
    <row r="286" spans="1:19" x14ac:dyDescent="0.25">
      <c r="A286" s="13">
        <v>45884.620555555557</v>
      </c>
      <c r="B286" t="s">
        <v>348</v>
      </c>
      <c r="C286" t="s">
        <v>361</v>
      </c>
      <c r="D286" t="s">
        <v>10</v>
      </c>
      <c r="E286" t="s">
        <v>11</v>
      </c>
      <c r="F286" t="s">
        <v>12</v>
      </c>
      <c r="G286">
        <v>10.5</v>
      </c>
      <c r="H286" s="12">
        <v>0</v>
      </c>
      <c r="I286" s="12">
        <v>0</v>
      </c>
      <c r="J286" s="12">
        <v>0</v>
      </c>
      <c r="K286" s="12">
        <v>0</v>
      </c>
      <c r="L286" s="12">
        <v>1</v>
      </c>
      <c r="M286" s="12">
        <v>0</v>
      </c>
      <c r="N286" s="12">
        <v>0</v>
      </c>
      <c r="O286" s="12">
        <v>0</v>
      </c>
      <c r="P286" s="12">
        <v>0</v>
      </c>
      <c r="Q286" s="12">
        <v>0</v>
      </c>
      <c r="R286" s="12">
        <v>0</v>
      </c>
      <c r="S286" t="s">
        <v>84</v>
      </c>
    </row>
    <row r="287" spans="1:19" x14ac:dyDescent="0.25">
      <c r="A287" s="13">
        <v>45884.647002314814</v>
      </c>
      <c r="B287" t="s">
        <v>349</v>
      </c>
      <c r="C287" t="s">
        <v>361</v>
      </c>
      <c r="D287" t="s">
        <v>10</v>
      </c>
      <c r="E287" t="s">
        <v>11</v>
      </c>
      <c r="F287" t="s">
        <v>12</v>
      </c>
      <c r="G287">
        <v>10.5</v>
      </c>
      <c r="H287" s="12">
        <v>0</v>
      </c>
      <c r="I287" s="12">
        <v>0</v>
      </c>
      <c r="J287" s="12">
        <v>0</v>
      </c>
      <c r="K287" s="12">
        <v>0</v>
      </c>
      <c r="L287" s="12">
        <v>1</v>
      </c>
      <c r="M287" s="12">
        <v>0</v>
      </c>
      <c r="N287" s="12">
        <v>0</v>
      </c>
      <c r="O287" s="12">
        <v>0</v>
      </c>
      <c r="P287" s="12">
        <v>0</v>
      </c>
      <c r="Q287" s="12">
        <v>0</v>
      </c>
      <c r="R287" s="12">
        <v>0</v>
      </c>
    </row>
    <row r="288" spans="1:19" x14ac:dyDescent="0.25">
      <c r="A288" s="13">
        <v>45884.666516203702</v>
      </c>
      <c r="B288" t="s">
        <v>349</v>
      </c>
      <c r="C288" t="s">
        <v>361</v>
      </c>
      <c r="D288" t="s">
        <v>10</v>
      </c>
      <c r="E288" t="s">
        <v>11</v>
      </c>
      <c r="F288" t="s">
        <v>12</v>
      </c>
      <c r="G288">
        <v>10.5</v>
      </c>
      <c r="H288" s="12">
        <v>0</v>
      </c>
      <c r="I288" s="12">
        <v>0</v>
      </c>
      <c r="J288" s="12">
        <v>0</v>
      </c>
      <c r="K288" s="12">
        <v>0</v>
      </c>
      <c r="L288" s="12">
        <v>1</v>
      </c>
      <c r="M288" s="12">
        <v>0</v>
      </c>
      <c r="N288" s="12">
        <v>0</v>
      </c>
      <c r="O288" s="12">
        <v>0</v>
      </c>
      <c r="P288" s="12">
        <v>0</v>
      </c>
      <c r="Q288" s="12">
        <v>0</v>
      </c>
      <c r="R288" s="12">
        <v>0</v>
      </c>
    </row>
    <row r="289" spans="1:19" x14ac:dyDescent="0.25">
      <c r="A289" s="13">
        <v>45885.412557870368</v>
      </c>
      <c r="B289" t="s">
        <v>352</v>
      </c>
      <c r="C289" t="s">
        <v>362</v>
      </c>
      <c r="D289" t="s">
        <v>10</v>
      </c>
      <c r="E289" t="s">
        <v>11</v>
      </c>
      <c r="F289" t="s">
        <v>12</v>
      </c>
      <c r="G289">
        <v>10.5</v>
      </c>
      <c r="H289" s="12">
        <v>1</v>
      </c>
      <c r="I289" s="12">
        <v>0</v>
      </c>
      <c r="J289" s="12">
        <v>1</v>
      </c>
      <c r="K289" s="12">
        <v>0</v>
      </c>
      <c r="L289" s="12">
        <v>0</v>
      </c>
      <c r="M289" s="12">
        <v>0</v>
      </c>
      <c r="N289" s="12">
        <v>0</v>
      </c>
      <c r="O289" s="12">
        <v>0</v>
      </c>
      <c r="P289" s="12">
        <v>0</v>
      </c>
      <c r="Q289" s="12">
        <v>0</v>
      </c>
      <c r="R289" s="12">
        <v>0</v>
      </c>
    </row>
    <row r="290" spans="1:19" x14ac:dyDescent="0.25">
      <c r="A290" s="13">
        <v>45885.415034722224</v>
      </c>
      <c r="B290" t="s">
        <v>352</v>
      </c>
      <c r="C290" t="s">
        <v>362</v>
      </c>
      <c r="D290" t="s">
        <v>10</v>
      </c>
      <c r="E290" t="s">
        <v>11</v>
      </c>
      <c r="F290" t="s">
        <v>14</v>
      </c>
      <c r="G290">
        <v>0.5</v>
      </c>
      <c r="H290" s="12">
        <v>0</v>
      </c>
      <c r="I290" s="12">
        <v>0</v>
      </c>
      <c r="J290" s="12">
        <v>0</v>
      </c>
      <c r="K290" s="12">
        <v>0</v>
      </c>
      <c r="L290" s="12">
        <v>0</v>
      </c>
      <c r="M290" s="12">
        <v>0</v>
      </c>
      <c r="N290" s="12">
        <v>1</v>
      </c>
      <c r="O290" s="12">
        <v>0</v>
      </c>
      <c r="P290" s="12">
        <v>0</v>
      </c>
      <c r="Q290" s="12">
        <v>0</v>
      </c>
      <c r="R290" s="12">
        <v>0</v>
      </c>
    </row>
    <row r="291" spans="1:19" x14ac:dyDescent="0.25">
      <c r="A291" s="13">
        <v>45885.431875000002</v>
      </c>
      <c r="B291" t="s">
        <v>347</v>
      </c>
      <c r="C291" t="s">
        <v>362</v>
      </c>
      <c r="D291" t="s">
        <v>20</v>
      </c>
      <c r="E291" t="s">
        <v>11</v>
      </c>
      <c r="F291" t="s">
        <v>12</v>
      </c>
      <c r="G291">
        <v>10.5</v>
      </c>
      <c r="H291" s="12">
        <v>0</v>
      </c>
      <c r="I291" s="12">
        <v>1</v>
      </c>
      <c r="J291" s="12">
        <v>1</v>
      </c>
      <c r="K291" s="12">
        <v>0</v>
      </c>
      <c r="L291" s="12">
        <v>0</v>
      </c>
      <c r="M291" s="12">
        <v>0</v>
      </c>
      <c r="N291" s="12">
        <v>0</v>
      </c>
      <c r="O291" s="12">
        <v>0</v>
      </c>
      <c r="P291" s="12">
        <v>0</v>
      </c>
      <c r="Q291" s="12">
        <v>0</v>
      </c>
      <c r="R291" s="12">
        <v>0</v>
      </c>
      <c r="S291" t="s">
        <v>85</v>
      </c>
    </row>
    <row r="292" spans="1:19" x14ac:dyDescent="0.25">
      <c r="A292" s="13">
        <v>45885.432002314818</v>
      </c>
      <c r="B292" t="s">
        <v>347</v>
      </c>
      <c r="C292" t="s">
        <v>362</v>
      </c>
      <c r="D292" t="s">
        <v>10</v>
      </c>
      <c r="E292" t="s">
        <v>11</v>
      </c>
      <c r="F292" t="s">
        <v>14</v>
      </c>
      <c r="G292">
        <v>0.5</v>
      </c>
      <c r="H292" s="12">
        <v>0</v>
      </c>
      <c r="I292" s="12">
        <v>0</v>
      </c>
      <c r="J292" s="12">
        <v>0</v>
      </c>
      <c r="K292" s="12">
        <v>0</v>
      </c>
      <c r="L292" s="12">
        <v>0</v>
      </c>
      <c r="M292" s="12">
        <v>0</v>
      </c>
      <c r="N292" s="12">
        <v>0</v>
      </c>
      <c r="O292" s="12">
        <v>0</v>
      </c>
      <c r="P292" s="12">
        <v>1</v>
      </c>
      <c r="Q292" s="12">
        <v>0</v>
      </c>
      <c r="R292" s="12">
        <v>0</v>
      </c>
    </row>
    <row r="293" spans="1:19" x14ac:dyDescent="0.25">
      <c r="A293" s="13">
        <v>45885.437002314815</v>
      </c>
      <c r="B293" t="s">
        <v>347</v>
      </c>
      <c r="C293" t="s">
        <v>362</v>
      </c>
      <c r="D293" t="s">
        <v>10</v>
      </c>
      <c r="E293" t="s">
        <v>11</v>
      </c>
      <c r="F293" t="s">
        <v>14</v>
      </c>
      <c r="G293">
        <v>0.5</v>
      </c>
      <c r="H293" s="12">
        <v>0</v>
      </c>
      <c r="I293" s="12">
        <v>0</v>
      </c>
      <c r="J293" s="12">
        <v>0</v>
      </c>
      <c r="K293" s="12">
        <v>0</v>
      </c>
      <c r="L293" s="12">
        <v>0</v>
      </c>
      <c r="M293" s="12">
        <v>0</v>
      </c>
      <c r="N293" s="12">
        <v>0</v>
      </c>
      <c r="O293" s="12">
        <v>0</v>
      </c>
      <c r="P293" s="12">
        <v>0</v>
      </c>
      <c r="Q293" s="12">
        <v>0</v>
      </c>
      <c r="R293" s="12">
        <v>1</v>
      </c>
      <c r="S293" t="s">
        <v>86</v>
      </c>
    </row>
    <row r="294" spans="1:19" x14ac:dyDescent="0.25">
      <c r="A294" s="13">
        <v>45885.4372337963</v>
      </c>
      <c r="B294" t="s">
        <v>347</v>
      </c>
      <c r="C294" t="s">
        <v>362</v>
      </c>
      <c r="D294" t="s">
        <v>10</v>
      </c>
      <c r="E294" t="s">
        <v>11</v>
      </c>
      <c r="F294" t="s">
        <v>15</v>
      </c>
      <c r="G294">
        <v>3</v>
      </c>
      <c r="H294" s="12">
        <v>0</v>
      </c>
      <c r="I294" s="12">
        <v>1</v>
      </c>
      <c r="J294" s="12">
        <v>1</v>
      </c>
      <c r="K294" s="12">
        <v>0</v>
      </c>
      <c r="L294" s="12">
        <v>0</v>
      </c>
      <c r="M294" s="12">
        <v>0</v>
      </c>
      <c r="N294" s="12">
        <v>0</v>
      </c>
      <c r="O294" s="12">
        <v>0</v>
      </c>
      <c r="P294" s="12">
        <v>0</v>
      </c>
      <c r="Q294" s="12">
        <v>0</v>
      </c>
      <c r="R294" s="12">
        <v>0</v>
      </c>
      <c r="S294" t="s">
        <v>87</v>
      </c>
    </row>
    <row r="295" spans="1:19" x14ac:dyDescent="0.25">
      <c r="A295" s="13">
        <v>45885.459097222221</v>
      </c>
      <c r="B295" t="s">
        <v>354</v>
      </c>
      <c r="C295" t="s">
        <v>362</v>
      </c>
      <c r="D295" t="s">
        <v>10</v>
      </c>
      <c r="E295" t="s">
        <v>11</v>
      </c>
      <c r="F295" t="s">
        <v>18</v>
      </c>
      <c r="G295">
        <v>20</v>
      </c>
      <c r="H295" s="12">
        <v>1</v>
      </c>
      <c r="I295" s="12">
        <v>0</v>
      </c>
      <c r="J295" s="12">
        <v>0</v>
      </c>
      <c r="K295" s="12">
        <v>0</v>
      </c>
      <c r="L295" s="12">
        <v>1</v>
      </c>
      <c r="M295" s="12">
        <v>0</v>
      </c>
      <c r="N295" s="12">
        <v>0</v>
      </c>
      <c r="O295" s="12">
        <v>0</v>
      </c>
      <c r="P295" s="12">
        <v>0</v>
      </c>
      <c r="Q295" s="12">
        <v>0</v>
      </c>
      <c r="R295" s="12">
        <v>0</v>
      </c>
      <c r="S295" t="s">
        <v>88</v>
      </c>
    </row>
    <row r="296" spans="1:19" x14ac:dyDescent="0.25">
      <c r="A296" s="13">
        <v>45885.459189814814</v>
      </c>
      <c r="B296" t="s">
        <v>354</v>
      </c>
      <c r="C296" t="s">
        <v>362</v>
      </c>
      <c r="D296" t="s">
        <v>10</v>
      </c>
      <c r="E296" t="s">
        <v>11</v>
      </c>
      <c r="F296" t="s">
        <v>14</v>
      </c>
      <c r="G296">
        <v>0.5</v>
      </c>
      <c r="H296" s="12">
        <v>0</v>
      </c>
      <c r="I296" s="12">
        <v>0</v>
      </c>
      <c r="J296" s="12">
        <v>0</v>
      </c>
      <c r="K296" s="12">
        <v>0</v>
      </c>
      <c r="L296" s="12">
        <v>0</v>
      </c>
      <c r="M296" s="12">
        <v>0</v>
      </c>
      <c r="N296" s="12">
        <v>0</v>
      </c>
      <c r="O296" s="12">
        <v>1</v>
      </c>
      <c r="P296" s="12">
        <v>0</v>
      </c>
      <c r="Q296" s="12">
        <v>0</v>
      </c>
      <c r="R296" s="12">
        <v>0</v>
      </c>
      <c r="S296" t="s">
        <v>89</v>
      </c>
    </row>
    <row r="297" spans="1:19" x14ac:dyDescent="0.25">
      <c r="A297" s="13">
        <v>45885.459432870368</v>
      </c>
      <c r="B297" t="s">
        <v>354</v>
      </c>
      <c r="C297" t="s">
        <v>362</v>
      </c>
      <c r="D297" t="s">
        <v>10</v>
      </c>
      <c r="E297" t="s">
        <v>11</v>
      </c>
      <c r="F297" t="s">
        <v>15</v>
      </c>
      <c r="G297">
        <v>3</v>
      </c>
      <c r="H297" s="12">
        <v>0</v>
      </c>
      <c r="I297" s="12">
        <v>0</v>
      </c>
      <c r="J297" s="12">
        <v>0</v>
      </c>
      <c r="K297" s="12">
        <v>0</v>
      </c>
      <c r="L297" s="12">
        <v>1</v>
      </c>
      <c r="M297" s="12">
        <v>0</v>
      </c>
      <c r="N297" s="12">
        <v>0</v>
      </c>
      <c r="O297" s="12">
        <v>0</v>
      </c>
      <c r="P297" s="12">
        <v>0</v>
      </c>
      <c r="Q297" s="12">
        <v>0</v>
      </c>
      <c r="R297" s="12">
        <v>0</v>
      </c>
      <c r="S297" t="s">
        <v>90</v>
      </c>
    </row>
    <row r="298" spans="1:19" x14ac:dyDescent="0.25">
      <c r="A298" s="13">
        <v>45887.382256944446</v>
      </c>
      <c r="B298" t="s">
        <v>352</v>
      </c>
      <c r="C298" t="s">
        <v>363</v>
      </c>
      <c r="D298" t="s">
        <v>10</v>
      </c>
      <c r="E298" t="s">
        <v>11</v>
      </c>
      <c r="F298" t="s">
        <v>15</v>
      </c>
      <c r="G298">
        <v>3</v>
      </c>
      <c r="H298" s="12">
        <v>0</v>
      </c>
      <c r="I298" s="12">
        <v>0</v>
      </c>
      <c r="J298" s="12">
        <v>0</v>
      </c>
      <c r="K298" s="12">
        <v>0</v>
      </c>
      <c r="L298" s="12">
        <v>0</v>
      </c>
      <c r="M298" s="12">
        <v>0</v>
      </c>
      <c r="N298" s="12">
        <v>0</v>
      </c>
      <c r="O298" s="12">
        <v>0</v>
      </c>
      <c r="P298" s="12">
        <v>1</v>
      </c>
      <c r="Q298" s="12">
        <v>0</v>
      </c>
      <c r="R298" s="12">
        <v>0</v>
      </c>
    </row>
    <row r="299" spans="1:19" x14ac:dyDescent="0.25">
      <c r="A299" s="13">
        <v>45887.396863425929</v>
      </c>
      <c r="B299" t="s">
        <v>352</v>
      </c>
      <c r="C299" t="s">
        <v>363</v>
      </c>
      <c r="D299" t="s">
        <v>20</v>
      </c>
      <c r="E299" t="s">
        <v>11</v>
      </c>
      <c r="F299" t="s">
        <v>15</v>
      </c>
      <c r="G299">
        <v>3</v>
      </c>
      <c r="H299" s="12">
        <v>0</v>
      </c>
      <c r="I299" s="12">
        <v>0</v>
      </c>
      <c r="J299" s="12">
        <v>0</v>
      </c>
      <c r="K299" s="12">
        <v>0</v>
      </c>
      <c r="L299" s="12">
        <v>0</v>
      </c>
      <c r="M299" s="12">
        <v>0</v>
      </c>
      <c r="N299" s="12">
        <v>0</v>
      </c>
      <c r="O299" s="12">
        <v>0</v>
      </c>
      <c r="P299" s="12">
        <v>0</v>
      </c>
      <c r="Q299" s="12">
        <v>1</v>
      </c>
      <c r="R299" s="12">
        <v>0</v>
      </c>
    </row>
    <row r="300" spans="1:19" x14ac:dyDescent="0.25">
      <c r="A300" s="13">
        <v>45887.414768518516</v>
      </c>
      <c r="B300" t="s">
        <v>352</v>
      </c>
      <c r="C300" t="s">
        <v>363</v>
      </c>
      <c r="D300" t="s">
        <v>20</v>
      </c>
      <c r="E300" t="s">
        <v>11</v>
      </c>
      <c r="F300" t="s">
        <v>12</v>
      </c>
      <c r="G300">
        <v>10.5</v>
      </c>
      <c r="H300" s="12">
        <v>0</v>
      </c>
      <c r="I300" s="12">
        <v>0</v>
      </c>
      <c r="J300" s="12">
        <v>0</v>
      </c>
      <c r="K300" s="12">
        <v>0</v>
      </c>
      <c r="L300" s="12">
        <v>0</v>
      </c>
      <c r="M300" s="12">
        <v>0</v>
      </c>
      <c r="N300" s="12">
        <v>0</v>
      </c>
      <c r="O300" s="12">
        <v>0</v>
      </c>
      <c r="P300" s="12">
        <v>0</v>
      </c>
      <c r="Q300" s="12">
        <v>0</v>
      </c>
      <c r="R300" s="12">
        <v>1</v>
      </c>
      <c r="S300" t="s">
        <v>91</v>
      </c>
    </row>
    <row r="301" spans="1:19" x14ac:dyDescent="0.25">
      <c r="A301" s="13">
        <v>45887.526296296295</v>
      </c>
      <c r="B301" t="s">
        <v>350</v>
      </c>
      <c r="C301" t="s">
        <v>363</v>
      </c>
      <c r="D301" t="s">
        <v>10</v>
      </c>
      <c r="E301" t="s">
        <v>11</v>
      </c>
      <c r="F301" t="s">
        <v>15</v>
      </c>
      <c r="G301">
        <v>3</v>
      </c>
      <c r="H301" s="12">
        <v>0</v>
      </c>
      <c r="I301" s="12">
        <v>0</v>
      </c>
      <c r="J301" s="12">
        <v>0</v>
      </c>
      <c r="K301" s="12">
        <v>0</v>
      </c>
      <c r="L301" s="12">
        <v>0</v>
      </c>
      <c r="M301" s="12">
        <v>0</v>
      </c>
      <c r="N301" s="12">
        <v>0</v>
      </c>
      <c r="O301" s="12">
        <v>1</v>
      </c>
      <c r="P301" s="12">
        <v>0</v>
      </c>
      <c r="Q301" s="12">
        <v>0</v>
      </c>
      <c r="R301" s="12">
        <v>0</v>
      </c>
    </row>
    <row r="302" spans="1:19" x14ac:dyDescent="0.25">
      <c r="A302" s="13">
        <v>45887.526377314818</v>
      </c>
      <c r="B302" t="s">
        <v>350</v>
      </c>
      <c r="C302" t="s">
        <v>363</v>
      </c>
      <c r="D302" t="s">
        <v>10</v>
      </c>
      <c r="E302" t="s">
        <v>11</v>
      </c>
      <c r="F302" t="s">
        <v>15</v>
      </c>
      <c r="G302">
        <v>3</v>
      </c>
      <c r="H302" s="12">
        <v>0</v>
      </c>
      <c r="I302" s="12">
        <v>0</v>
      </c>
      <c r="J302" s="12">
        <v>0</v>
      </c>
      <c r="K302" s="12">
        <v>0</v>
      </c>
      <c r="L302" s="12">
        <v>0</v>
      </c>
      <c r="M302" s="12">
        <v>0</v>
      </c>
      <c r="N302" s="12">
        <v>0</v>
      </c>
      <c r="O302" s="12">
        <v>1</v>
      </c>
      <c r="P302" s="12">
        <v>0</v>
      </c>
      <c r="Q302" s="12">
        <v>0</v>
      </c>
      <c r="R302" s="12">
        <v>0</v>
      </c>
    </row>
    <row r="303" spans="1:19" x14ac:dyDescent="0.25">
      <c r="A303" s="13">
        <v>45887.526574074072</v>
      </c>
      <c r="B303" t="s">
        <v>350</v>
      </c>
      <c r="C303" t="s">
        <v>363</v>
      </c>
      <c r="D303" t="s">
        <v>10</v>
      </c>
      <c r="E303" t="s">
        <v>11</v>
      </c>
      <c r="F303" t="s">
        <v>14</v>
      </c>
      <c r="G303">
        <v>0.5</v>
      </c>
      <c r="H303" s="12">
        <v>0</v>
      </c>
      <c r="I303" s="12">
        <v>0</v>
      </c>
      <c r="J303" s="12">
        <v>0</v>
      </c>
      <c r="K303" s="12">
        <v>0</v>
      </c>
      <c r="L303" s="12">
        <v>0</v>
      </c>
      <c r="M303" s="12">
        <v>0</v>
      </c>
      <c r="N303" s="12">
        <v>0</v>
      </c>
      <c r="O303" s="12">
        <v>0</v>
      </c>
      <c r="P303" s="12">
        <v>0</v>
      </c>
      <c r="Q303" s="12">
        <v>1</v>
      </c>
      <c r="R303" s="12">
        <v>0</v>
      </c>
    </row>
    <row r="304" spans="1:19" x14ac:dyDescent="0.25">
      <c r="A304" s="13">
        <v>45887.5466087963</v>
      </c>
      <c r="B304" t="s">
        <v>351</v>
      </c>
      <c r="C304" t="s">
        <v>363</v>
      </c>
      <c r="D304" t="s">
        <v>10</v>
      </c>
      <c r="E304" t="s">
        <v>11</v>
      </c>
      <c r="F304" t="s">
        <v>15</v>
      </c>
      <c r="G304">
        <v>3</v>
      </c>
      <c r="H304" s="12">
        <v>0</v>
      </c>
      <c r="I304" s="12">
        <v>0</v>
      </c>
      <c r="J304" s="12">
        <v>0</v>
      </c>
      <c r="K304" s="12">
        <v>0</v>
      </c>
      <c r="L304" s="12">
        <v>0</v>
      </c>
      <c r="M304" s="12">
        <v>0</v>
      </c>
      <c r="N304" s="12">
        <v>1</v>
      </c>
      <c r="O304" s="12">
        <v>0</v>
      </c>
      <c r="P304" s="12">
        <v>0</v>
      </c>
      <c r="Q304" s="12">
        <v>0</v>
      </c>
      <c r="R304" s="12">
        <v>0</v>
      </c>
    </row>
    <row r="305" spans="1:19" x14ac:dyDescent="0.25">
      <c r="A305" s="13">
        <v>45887.546643518515</v>
      </c>
      <c r="B305" t="s">
        <v>351</v>
      </c>
      <c r="C305" t="s">
        <v>363</v>
      </c>
      <c r="D305" t="s">
        <v>10</v>
      </c>
      <c r="E305" t="s">
        <v>11</v>
      </c>
      <c r="F305" t="s">
        <v>14</v>
      </c>
      <c r="G305">
        <v>0.5</v>
      </c>
      <c r="H305" s="12">
        <v>0</v>
      </c>
      <c r="I305" s="12">
        <v>0</v>
      </c>
      <c r="J305" s="12">
        <v>0</v>
      </c>
      <c r="K305" s="12">
        <v>0</v>
      </c>
      <c r="L305" s="12">
        <v>0</v>
      </c>
      <c r="M305" s="12">
        <v>0</v>
      </c>
      <c r="N305" s="12">
        <v>0</v>
      </c>
      <c r="O305" s="12">
        <v>0</v>
      </c>
      <c r="P305" s="12">
        <v>0</v>
      </c>
      <c r="Q305" s="12">
        <v>1</v>
      </c>
      <c r="R305" s="12">
        <v>0</v>
      </c>
    </row>
    <row r="306" spans="1:19" x14ac:dyDescent="0.25">
      <c r="A306" s="13">
        <v>45887.561909722222</v>
      </c>
      <c r="B306" t="s">
        <v>351</v>
      </c>
      <c r="C306" t="s">
        <v>363</v>
      </c>
      <c r="D306" t="s">
        <v>10</v>
      </c>
      <c r="E306" t="s">
        <v>11</v>
      </c>
      <c r="F306" t="s">
        <v>15</v>
      </c>
      <c r="G306">
        <v>3</v>
      </c>
      <c r="H306" s="12">
        <v>0</v>
      </c>
      <c r="I306" s="12">
        <v>0</v>
      </c>
      <c r="J306" s="12">
        <v>0</v>
      </c>
      <c r="K306" s="12">
        <v>0</v>
      </c>
      <c r="L306" s="12">
        <v>0</v>
      </c>
      <c r="M306" s="12">
        <v>0</v>
      </c>
      <c r="N306" s="12">
        <v>0</v>
      </c>
      <c r="O306" s="12">
        <v>0</v>
      </c>
      <c r="P306" s="12">
        <v>0</v>
      </c>
      <c r="Q306" s="12">
        <v>0</v>
      </c>
      <c r="R306" s="12">
        <v>1</v>
      </c>
      <c r="S306" t="s">
        <v>92</v>
      </c>
    </row>
    <row r="307" spans="1:19" x14ac:dyDescent="0.25">
      <c r="A307" s="13">
        <v>45887.572453703702</v>
      </c>
      <c r="B307" t="s">
        <v>351</v>
      </c>
      <c r="C307" t="s">
        <v>363</v>
      </c>
      <c r="D307" t="s">
        <v>10</v>
      </c>
      <c r="E307" t="s">
        <v>11</v>
      </c>
      <c r="F307" t="s">
        <v>15</v>
      </c>
      <c r="G307">
        <v>3</v>
      </c>
      <c r="H307" s="12">
        <v>0</v>
      </c>
      <c r="I307" s="12">
        <v>0</v>
      </c>
      <c r="J307" s="12">
        <v>0</v>
      </c>
      <c r="K307" s="12">
        <v>0</v>
      </c>
      <c r="L307" s="12">
        <v>0</v>
      </c>
      <c r="M307" s="12">
        <v>0</v>
      </c>
      <c r="N307" s="12">
        <v>1</v>
      </c>
      <c r="O307" s="12">
        <v>0</v>
      </c>
      <c r="P307" s="12">
        <v>0</v>
      </c>
      <c r="Q307" s="12">
        <v>0</v>
      </c>
      <c r="R307" s="12">
        <v>0</v>
      </c>
    </row>
    <row r="308" spans="1:19" x14ac:dyDescent="0.25">
      <c r="A308" s="13">
        <v>45887.587777777779</v>
      </c>
      <c r="B308" t="s">
        <v>348</v>
      </c>
      <c r="C308" t="s">
        <v>363</v>
      </c>
      <c r="D308" t="s">
        <v>10</v>
      </c>
      <c r="E308" t="s">
        <v>11</v>
      </c>
      <c r="F308" t="s">
        <v>18</v>
      </c>
      <c r="G308">
        <v>20</v>
      </c>
      <c r="H308" s="12">
        <v>1</v>
      </c>
      <c r="I308" s="12">
        <v>0</v>
      </c>
      <c r="J308" s="12">
        <v>1</v>
      </c>
      <c r="K308" s="12">
        <v>0</v>
      </c>
      <c r="L308" s="12">
        <v>1</v>
      </c>
      <c r="M308" s="12">
        <v>0</v>
      </c>
      <c r="N308" s="12">
        <v>1</v>
      </c>
      <c r="O308" s="12">
        <v>0</v>
      </c>
      <c r="P308" s="12">
        <v>0</v>
      </c>
      <c r="Q308" s="12">
        <v>0</v>
      </c>
      <c r="R308" s="12">
        <v>0</v>
      </c>
      <c r="S308" t="s">
        <v>93</v>
      </c>
    </row>
    <row r="309" spans="1:19" x14ac:dyDescent="0.25">
      <c r="A309" s="13">
        <v>45887.593032407407</v>
      </c>
      <c r="B309" t="s">
        <v>348</v>
      </c>
      <c r="C309" t="s">
        <v>363</v>
      </c>
      <c r="D309" t="s">
        <v>10</v>
      </c>
      <c r="E309" t="s">
        <v>11</v>
      </c>
      <c r="F309" t="s">
        <v>14</v>
      </c>
      <c r="G309">
        <v>0.5</v>
      </c>
      <c r="H309" s="12">
        <v>0</v>
      </c>
      <c r="I309" s="12">
        <v>0</v>
      </c>
      <c r="J309" s="12">
        <v>0</v>
      </c>
      <c r="K309" s="12">
        <v>0</v>
      </c>
      <c r="L309" s="12">
        <v>0</v>
      </c>
      <c r="M309" s="12">
        <v>0</v>
      </c>
      <c r="N309" s="12">
        <v>0</v>
      </c>
      <c r="O309" s="12">
        <v>1</v>
      </c>
      <c r="P309" s="12">
        <v>0</v>
      </c>
      <c r="Q309" s="12">
        <v>0</v>
      </c>
      <c r="R309" s="12">
        <v>0</v>
      </c>
    </row>
    <row r="310" spans="1:19" x14ac:dyDescent="0.25">
      <c r="A310" s="13">
        <v>45887.617523148147</v>
      </c>
      <c r="B310" t="s">
        <v>348</v>
      </c>
      <c r="C310" t="s">
        <v>363</v>
      </c>
      <c r="D310" t="s">
        <v>10</v>
      </c>
      <c r="E310" t="s">
        <v>11</v>
      </c>
      <c r="F310" t="s">
        <v>15</v>
      </c>
      <c r="G310">
        <v>3</v>
      </c>
      <c r="H310" s="12">
        <v>0</v>
      </c>
      <c r="I310" s="12">
        <v>0</v>
      </c>
      <c r="J310" s="12">
        <v>0</v>
      </c>
      <c r="K310" s="12">
        <v>0</v>
      </c>
      <c r="L310" s="12">
        <v>0</v>
      </c>
      <c r="M310" s="12">
        <v>0</v>
      </c>
      <c r="N310" s="12">
        <v>0</v>
      </c>
      <c r="O310" s="12">
        <v>1</v>
      </c>
      <c r="P310" s="12">
        <v>0</v>
      </c>
      <c r="Q310" s="12">
        <v>0</v>
      </c>
      <c r="R310" s="12">
        <v>0</v>
      </c>
      <c r="S310" t="s">
        <v>94</v>
      </c>
    </row>
    <row r="311" spans="1:19" x14ac:dyDescent="0.25">
      <c r="A311" s="13">
        <v>45887.624861111108</v>
      </c>
      <c r="B311" t="s">
        <v>348</v>
      </c>
      <c r="C311" t="s">
        <v>363</v>
      </c>
      <c r="D311" t="s">
        <v>10</v>
      </c>
      <c r="E311" t="s">
        <v>11</v>
      </c>
      <c r="F311" t="s">
        <v>14</v>
      </c>
      <c r="G311">
        <v>0.5</v>
      </c>
      <c r="H311" s="12">
        <v>0</v>
      </c>
      <c r="I311" s="12">
        <v>0</v>
      </c>
      <c r="J311" s="12">
        <v>0</v>
      </c>
      <c r="K311" s="12">
        <v>0</v>
      </c>
      <c r="L311" s="12">
        <v>0</v>
      </c>
      <c r="M311" s="12">
        <v>0</v>
      </c>
      <c r="N311" s="12">
        <v>0</v>
      </c>
      <c r="O311" s="12">
        <v>0</v>
      </c>
      <c r="P311" s="12">
        <v>0</v>
      </c>
      <c r="Q311" s="12">
        <v>1</v>
      </c>
      <c r="R311" s="12">
        <v>0</v>
      </c>
    </row>
    <row r="312" spans="1:19" x14ac:dyDescent="0.25">
      <c r="A312" s="13">
        <v>45887.641168981485</v>
      </c>
      <c r="B312" t="s">
        <v>349</v>
      </c>
      <c r="C312" t="s">
        <v>363</v>
      </c>
      <c r="D312" t="s">
        <v>10</v>
      </c>
      <c r="E312" t="s">
        <v>11</v>
      </c>
      <c r="F312" t="s">
        <v>15</v>
      </c>
      <c r="G312">
        <v>3</v>
      </c>
      <c r="H312" s="12">
        <v>1</v>
      </c>
      <c r="I312" s="12">
        <v>0</v>
      </c>
      <c r="J312" s="12">
        <v>1</v>
      </c>
      <c r="K312" s="12">
        <v>0</v>
      </c>
      <c r="L312" s="12">
        <v>0</v>
      </c>
      <c r="M312" s="12">
        <v>0</v>
      </c>
      <c r="N312" s="12">
        <v>0</v>
      </c>
      <c r="O312" s="12">
        <v>0</v>
      </c>
      <c r="P312" s="12">
        <v>0</v>
      </c>
      <c r="Q312" s="12">
        <v>0</v>
      </c>
      <c r="R312" s="12">
        <v>0</v>
      </c>
      <c r="S312" t="s">
        <v>95</v>
      </c>
    </row>
    <row r="313" spans="1:19" x14ac:dyDescent="0.25">
      <c r="A313" s="13">
        <v>45887.641377314816</v>
      </c>
      <c r="B313" t="s">
        <v>349</v>
      </c>
      <c r="C313" t="s">
        <v>363</v>
      </c>
      <c r="D313" t="s">
        <v>10</v>
      </c>
      <c r="E313" t="s">
        <v>11</v>
      </c>
      <c r="F313" t="s">
        <v>12</v>
      </c>
      <c r="G313">
        <v>10.5</v>
      </c>
      <c r="H313" s="12">
        <v>0</v>
      </c>
      <c r="I313" s="12">
        <v>0</v>
      </c>
      <c r="J313" s="12">
        <v>0</v>
      </c>
      <c r="K313" s="12">
        <v>0</v>
      </c>
      <c r="L313" s="12">
        <v>1</v>
      </c>
      <c r="M313" s="12">
        <v>0</v>
      </c>
      <c r="N313" s="12">
        <v>0</v>
      </c>
      <c r="O313" s="12">
        <v>0</v>
      </c>
      <c r="P313" s="12">
        <v>0</v>
      </c>
      <c r="Q313" s="12">
        <v>0</v>
      </c>
      <c r="R313" s="12">
        <v>0</v>
      </c>
    </row>
    <row r="314" spans="1:19" x14ac:dyDescent="0.25">
      <c r="A314" s="13">
        <v>45887.674270833333</v>
      </c>
      <c r="B314" t="s">
        <v>353</v>
      </c>
      <c r="C314" t="s">
        <v>363</v>
      </c>
      <c r="D314" t="s">
        <v>10</v>
      </c>
      <c r="E314" t="s">
        <v>11</v>
      </c>
      <c r="F314" t="s">
        <v>14</v>
      </c>
      <c r="G314">
        <v>0.5</v>
      </c>
      <c r="H314" s="12">
        <v>0</v>
      </c>
      <c r="I314" s="12">
        <v>0</v>
      </c>
      <c r="J314" s="12">
        <v>0</v>
      </c>
      <c r="K314" s="12">
        <v>0</v>
      </c>
      <c r="L314" s="12">
        <v>0</v>
      </c>
      <c r="M314" s="12">
        <v>0</v>
      </c>
      <c r="N314" s="12">
        <v>0</v>
      </c>
      <c r="O314" s="12">
        <v>0</v>
      </c>
      <c r="P314" s="12">
        <v>1</v>
      </c>
      <c r="Q314" s="12">
        <v>0</v>
      </c>
      <c r="R314" s="12">
        <v>0</v>
      </c>
    </row>
    <row r="315" spans="1:19" x14ac:dyDescent="0.25">
      <c r="A315" s="13">
        <v>45887.674444444441</v>
      </c>
      <c r="B315" t="s">
        <v>353</v>
      </c>
      <c r="C315" t="s">
        <v>363</v>
      </c>
      <c r="D315" t="s">
        <v>10</v>
      </c>
      <c r="E315" t="s">
        <v>11</v>
      </c>
      <c r="F315" t="s">
        <v>14</v>
      </c>
      <c r="G315">
        <v>0.5</v>
      </c>
      <c r="H315" s="12">
        <v>0</v>
      </c>
      <c r="I315" s="12">
        <v>0</v>
      </c>
      <c r="J315" s="12">
        <v>0</v>
      </c>
      <c r="K315" s="12">
        <v>0</v>
      </c>
      <c r="L315" s="12">
        <v>0</v>
      </c>
      <c r="M315" s="12">
        <v>0</v>
      </c>
      <c r="N315" s="12">
        <v>0</v>
      </c>
      <c r="O315" s="12">
        <v>0</v>
      </c>
      <c r="P315" s="12">
        <v>1</v>
      </c>
      <c r="Q315" s="12">
        <v>0</v>
      </c>
      <c r="R315" s="12">
        <v>0</v>
      </c>
    </row>
    <row r="316" spans="1:19" x14ac:dyDescent="0.25">
      <c r="A316" s="13">
        <v>45888.432881944442</v>
      </c>
      <c r="B316" t="s">
        <v>347</v>
      </c>
      <c r="C316" t="s">
        <v>358</v>
      </c>
      <c r="D316" t="s">
        <v>10</v>
      </c>
      <c r="E316" t="s">
        <v>11</v>
      </c>
      <c r="F316" t="s">
        <v>12</v>
      </c>
      <c r="G316">
        <v>10.5</v>
      </c>
      <c r="H316" s="12">
        <v>0</v>
      </c>
      <c r="I316" s="12">
        <v>0</v>
      </c>
      <c r="J316" s="12">
        <v>0</v>
      </c>
      <c r="K316" s="12">
        <v>0</v>
      </c>
      <c r="L316" s="12">
        <v>1</v>
      </c>
      <c r="M316" s="12">
        <v>0</v>
      </c>
      <c r="N316" s="12">
        <v>0</v>
      </c>
      <c r="O316" s="12">
        <v>0</v>
      </c>
      <c r="P316" s="12">
        <v>0</v>
      </c>
      <c r="Q316" s="12">
        <v>0</v>
      </c>
      <c r="R316" s="12">
        <v>0</v>
      </c>
    </row>
    <row r="317" spans="1:19" x14ac:dyDescent="0.25">
      <c r="A317" s="13">
        <v>45888.43310185185</v>
      </c>
      <c r="B317" t="s">
        <v>347</v>
      </c>
      <c r="C317" t="s">
        <v>358</v>
      </c>
      <c r="D317" t="s">
        <v>10</v>
      </c>
      <c r="E317" t="s">
        <v>11</v>
      </c>
      <c r="F317" t="s">
        <v>12</v>
      </c>
      <c r="G317">
        <v>10.5</v>
      </c>
      <c r="H317" s="12">
        <v>0</v>
      </c>
      <c r="I317" s="12">
        <v>0</v>
      </c>
      <c r="J317" s="12">
        <v>0</v>
      </c>
      <c r="K317" s="12">
        <v>0</v>
      </c>
      <c r="L317" s="12">
        <v>1</v>
      </c>
      <c r="M317" s="12">
        <v>0</v>
      </c>
      <c r="N317" s="12">
        <v>0</v>
      </c>
      <c r="O317" s="12">
        <v>0</v>
      </c>
      <c r="P317" s="12">
        <v>1</v>
      </c>
      <c r="Q317" s="12">
        <v>1</v>
      </c>
      <c r="R317" s="12">
        <v>0</v>
      </c>
    </row>
    <row r="318" spans="1:19" x14ac:dyDescent="0.25">
      <c r="A318" s="13">
        <v>45888.568043981482</v>
      </c>
      <c r="B318" t="s">
        <v>351</v>
      </c>
      <c r="C318" t="s">
        <v>358</v>
      </c>
      <c r="D318" t="s">
        <v>10</v>
      </c>
      <c r="E318" t="s">
        <v>11</v>
      </c>
      <c r="F318" t="s">
        <v>14</v>
      </c>
      <c r="G318">
        <v>0.5</v>
      </c>
      <c r="H318" s="12">
        <v>0</v>
      </c>
      <c r="I318" s="12">
        <v>0</v>
      </c>
      <c r="J318" s="12">
        <v>0</v>
      </c>
      <c r="K318" s="12">
        <v>0</v>
      </c>
      <c r="L318" s="12">
        <v>0</v>
      </c>
      <c r="M318" s="12">
        <v>0</v>
      </c>
      <c r="N318" s="12">
        <v>0</v>
      </c>
      <c r="O318" s="12">
        <v>0</v>
      </c>
      <c r="P318" s="12">
        <v>0</v>
      </c>
      <c r="Q318" s="12">
        <v>0</v>
      </c>
      <c r="R318" s="12">
        <v>1</v>
      </c>
      <c r="S318" t="s">
        <v>96</v>
      </c>
    </row>
    <row r="319" spans="1:19" x14ac:dyDescent="0.25">
      <c r="A319" s="13">
        <v>45888.589826388888</v>
      </c>
      <c r="B319" t="s">
        <v>348</v>
      </c>
      <c r="C319" t="s">
        <v>358</v>
      </c>
      <c r="D319" t="s">
        <v>10</v>
      </c>
      <c r="E319" t="s">
        <v>11</v>
      </c>
      <c r="F319" t="s">
        <v>14</v>
      </c>
      <c r="G319">
        <v>0.5</v>
      </c>
      <c r="H319" s="12">
        <v>0</v>
      </c>
      <c r="I319" s="12">
        <v>0</v>
      </c>
      <c r="J319" s="12">
        <v>0</v>
      </c>
      <c r="K319" s="12">
        <v>0</v>
      </c>
      <c r="L319" s="12">
        <v>0</v>
      </c>
      <c r="M319" s="12">
        <v>0</v>
      </c>
      <c r="N319" s="12">
        <v>0</v>
      </c>
      <c r="O319" s="12">
        <v>0</v>
      </c>
      <c r="P319" s="12">
        <v>0</v>
      </c>
      <c r="Q319" s="12">
        <v>0</v>
      </c>
      <c r="R319" s="12">
        <v>1</v>
      </c>
    </row>
    <row r="320" spans="1:19" x14ac:dyDescent="0.25">
      <c r="A320" s="13">
        <v>45888.619074074071</v>
      </c>
      <c r="B320" t="s">
        <v>348</v>
      </c>
      <c r="C320" t="s">
        <v>358</v>
      </c>
      <c r="D320" t="s">
        <v>10</v>
      </c>
      <c r="E320" t="s">
        <v>17</v>
      </c>
      <c r="F320" t="s">
        <v>15</v>
      </c>
      <c r="G320">
        <v>3</v>
      </c>
      <c r="H320" s="12">
        <v>0</v>
      </c>
      <c r="I320" s="12">
        <v>0</v>
      </c>
      <c r="J320" s="12">
        <v>0</v>
      </c>
      <c r="K320" s="12">
        <v>0</v>
      </c>
      <c r="L320" s="12">
        <v>0</v>
      </c>
      <c r="M320" s="12">
        <v>0</v>
      </c>
      <c r="N320" s="12">
        <v>1</v>
      </c>
      <c r="O320" s="12">
        <v>0</v>
      </c>
      <c r="P320" s="12">
        <v>0</v>
      </c>
      <c r="Q320" s="12">
        <v>0</v>
      </c>
      <c r="R320" s="12">
        <v>0</v>
      </c>
    </row>
    <row r="321" spans="1:19" x14ac:dyDescent="0.25">
      <c r="A321" s="13">
        <v>45888.636250000003</v>
      </c>
      <c r="B321" t="s">
        <v>349</v>
      </c>
      <c r="C321" t="s">
        <v>358</v>
      </c>
      <c r="D321" t="s">
        <v>10</v>
      </c>
      <c r="E321" t="s">
        <v>17</v>
      </c>
      <c r="F321" t="s">
        <v>12</v>
      </c>
      <c r="G321">
        <v>10.5</v>
      </c>
      <c r="H321" s="12">
        <v>0</v>
      </c>
      <c r="I321" s="12">
        <v>0</v>
      </c>
      <c r="J321" s="12">
        <v>0</v>
      </c>
      <c r="K321" s="12">
        <v>0</v>
      </c>
      <c r="L321" s="12">
        <v>0</v>
      </c>
      <c r="M321" s="12">
        <v>0</v>
      </c>
      <c r="N321" s="12">
        <v>0</v>
      </c>
      <c r="O321" s="12">
        <v>0</v>
      </c>
      <c r="P321" s="12">
        <v>0</v>
      </c>
      <c r="Q321" s="12">
        <v>0</v>
      </c>
      <c r="R321" s="12">
        <v>1</v>
      </c>
      <c r="S321" t="s">
        <v>97</v>
      </c>
    </row>
    <row r="322" spans="1:19" x14ac:dyDescent="0.25">
      <c r="A322" s="13">
        <v>45888.642939814818</v>
      </c>
      <c r="B322" t="s">
        <v>349</v>
      </c>
      <c r="C322" t="s">
        <v>358</v>
      </c>
      <c r="D322" t="s">
        <v>10</v>
      </c>
      <c r="E322" t="s">
        <v>11</v>
      </c>
      <c r="F322" t="s">
        <v>14</v>
      </c>
      <c r="G322">
        <v>0.5</v>
      </c>
      <c r="H322" s="12">
        <v>0</v>
      </c>
      <c r="I322" s="12">
        <v>0</v>
      </c>
      <c r="J322" s="12">
        <v>0</v>
      </c>
      <c r="K322" s="12">
        <v>0</v>
      </c>
      <c r="L322" s="12">
        <v>0</v>
      </c>
      <c r="M322" s="12">
        <v>0</v>
      </c>
      <c r="N322" s="12">
        <v>0</v>
      </c>
      <c r="O322" s="12">
        <v>0</v>
      </c>
      <c r="P322" s="12">
        <v>0</v>
      </c>
      <c r="Q322" s="12">
        <v>0</v>
      </c>
      <c r="R322" s="12">
        <v>1</v>
      </c>
      <c r="S322" t="s">
        <v>98</v>
      </c>
    </row>
    <row r="323" spans="1:19" x14ac:dyDescent="0.25">
      <c r="A323" s="13">
        <v>45888.682083333333</v>
      </c>
      <c r="B323" t="s">
        <v>353</v>
      </c>
      <c r="C323" t="s">
        <v>358</v>
      </c>
      <c r="D323" t="s">
        <v>10</v>
      </c>
      <c r="E323" t="s">
        <v>11</v>
      </c>
      <c r="F323" t="s">
        <v>12</v>
      </c>
      <c r="G323">
        <v>10.5</v>
      </c>
      <c r="H323" s="12">
        <v>0</v>
      </c>
      <c r="I323" s="12">
        <v>0</v>
      </c>
      <c r="J323" s="12">
        <v>0</v>
      </c>
      <c r="K323" s="12">
        <v>0</v>
      </c>
      <c r="L323" s="12">
        <v>1</v>
      </c>
      <c r="M323" s="12">
        <v>0</v>
      </c>
      <c r="N323" s="12">
        <v>0</v>
      </c>
      <c r="O323" s="12">
        <v>0</v>
      </c>
      <c r="P323" s="12">
        <v>1</v>
      </c>
      <c r="Q323" s="12">
        <v>0</v>
      </c>
      <c r="R323" s="12">
        <v>0</v>
      </c>
    </row>
    <row r="324" spans="1:19" x14ac:dyDescent="0.25">
      <c r="A324" s="13">
        <v>45888.682384259257</v>
      </c>
      <c r="B324" t="s">
        <v>353</v>
      </c>
      <c r="C324" t="s">
        <v>358</v>
      </c>
      <c r="D324" t="s">
        <v>10</v>
      </c>
      <c r="E324" t="s">
        <v>17</v>
      </c>
      <c r="F324" t="s">
        <v>15</v>
      </c>
      <c r="G324">
        <v>3</v>
      </c>
      <c r="H324" s="12">
        <v>0</v>
      </c>
      <c r="I324" s="12">
        <v>0</v>
      </c>
      <c r="J324" s="12">
        <v>0</v>
      </c>
      <c r="K324" s="12">
        <v>0</v>
      </c>
      <c r="L324" s="12">
        <v>0</v>
      </c>
      <c r="M324" s="12">
        <v>0</v>
      </c>
      <c r="N324" s="12">
        <v>0</v>
      </c>
      <c r="O324" s="12">
        <v>1</v>
      </c>
      <c r="P324" s="12">
        <v>0</v>
      </c>
      <c r="Q324" s="12">
        <v>0</v>
      </c>
      <c r="R324" s="12">
        <v>0</v>
      </c>
    </row>
    <row r="325" spans="1:19" x14ac:dyDescent="0.25">
      <c r="A325" s="13">
        <v>45888.700462962966</v>
      </c>
      <c r="B325" t="s">
        <v>353</v>
      </c>
      <c r="C325" t="s">
        <v>358</v>
      </c>
      <c r="D325" t="s">
        <v>10</v>
      </c>
      <c r="E325" t="s">
        <v>11</v>
      </c>
      <c r="F325" t="s">
        <v>12</v>
      </c>
      <c r="G325">
        <v>10.5</v>
      </c>
      <c r="H325" s="12">
        <v>0</v>
      </c>
      <c r="I325" s="12">
        <v>0</v>
      </c>
      <c r="J325" s="12">
        <v>0</v>
      </c>
      <c r="K325" s="12">
        <v>0</v>
      </c>
      <c r="L325" s="12">
        <v>1</v>
      </c>
      <c r="M325" s="12">
        <v>0</v>
      </c>
      <c r="N325" s="12">
        <v>0</v>
      </c>
      <c r="O325" s="12">
        <v>0</v>
      </c>
      <c r="P325" s="12">
        <v>1</v>
      </c>
      <c r="Q325" s="12">
        <v>0</v>
      </c>
      <c r="R325" s="12">
        <v>0</v>
      </c>
    </row>
    <row r="326" spans="1:19" x14ac:dyDescent="0.25">
      <c r="A326" s="13">
        <v>45888.705567129633</v>
      </c>
      <c r="B326" t="s">
        <v>353</v>
      </c>
      <c r="C326" t="s">
        <v>358</v>
      </c>
      <c r="D326" t="s">
        <v>10</v>
      </c>
      <c r="E326" t="s">
        <v>17</v>
      </c>
      <c r="F326" t="s">
        <v>14</v>
      </c>
      <c r="G326">
        <v>0.5</v>
      </c>
      <c r="H326" s="12">
        <v>0</v>
      </c>
      <c r="I326" s="12">
        <v>0</v>
      </c>
      <c r="J326" s="12">
        <v>0</v>
      </c>
      <c r="K326" s="12">
        <v>0</v>
      </c>
      <c r="L326" s="12">
        <v>0</v>
      </c>
      <c r="M326" s="12">
        <v>0</v>
      </c>
      <c r="N326" s="12">
        <v>0</v>
      </c>
      <c r="O326" s="12">
        <v>0</v>
      </c>
      <c r="P326" s="12">
        <v>0</v>
      </c>
      <c r="Q326" s="12">
        <v>1</v>
      </c>
      <c r="R326" s="12">
        <v>0</v>
      </c>
      <c r="S326" t="s">
        <v>52</v>
      </c>
    </row>
    <row r="327" spans="1:19" x14ac:dyDescent="0.25">
      <c r="A327" s="13">
        <v>45888.729398148149</v>
      </c>
      <c r="B327" t="s">
        <v>355</v>
      </c>
      <c r="C327" t="s">
        <v>358</v>
      </c>
      <c r="D327" t="s">
        <v>20</v>
      </c>
      <c r="E327" t="s">
        <v>11</v>
      </c>
      <c r="F327" t="s">
        <v>18</v>
      </c>
      <c r="G327">
        <v>20</v>
      </c>
      <c r="H327" s="12">
        <v>1</v>
      </c>
      <c r="I327" s="12">
        <v>0</v>
      </c>
      <c r="J327" s="12">
        <v>1</v>
      </c>
      <c r="K327" s="12">
        <v>0</v>
      </c>
      <c r="L327" s="12">
        <v>1</v>
      </c>
      <c r="M327" s="12">
        <v>0</v>
      </c>
      <c r="N327" s="12">
        <v>0</v>
      </c>
      <c r="O327" s="12">
        <v>0</v>
      </c>
      <c r="P327" s="12">
        <v>0</v>
      </c>
      <c r="Q327" s="12">
        <v>0</v>
      </c>
      <c r="R327" s="12">
        <v>1</v>
      </c>
      <c r="S327" t="s">
        <v>99</v>
      </c>
    </row>
    <row r="328" spans="1:19" x14ac:dyDescent="0.25">
      <c r="A328" s="13">
        <v>45888.74391203704</v>
      </c>
      <c r="B328" t="s">
        <v>355</v>
      </c>
      <c r="C328" t="s">
        <v>358</v>
      </c>
      <c r="D328" t="s">
        <v>10</v>
      </c>
      <c r="E328" t="s">
        <v>17</v>
      </c>
      <c r="F328" t="s">
        <v>14</v>
      </c>
      <c r="G328">
        <v>0.5</v>
      </c>
      <c r="H328" s="12">
        <v>0</v>
      </c>
      <c r="I328" s="12">
        <v>0</v>
      </c>
      <c r="J328" s="12">
        <v>0</v>
      </c>
      <c r="K328" s="12">
        <v>0</v>
      </c>
      <c r="L328" s="12">
        <v>0</v>
      </c>
      <c r="M328" s="12">
        <v>0</v>
      </c>
      <c r="N328" s="12">
        <v>0</v>
      </c>
      <c r="O328" s="12">
        <v>1</v>
      </c>
      <c r="P328" s="12">
        <v>0</v>
      </c>
      <c r="Q328" s="12">
        <v>0</v>
      </c>
      <c r="R328" s="12">
        <v>0</v>
      </c>
    </row>
    <row r="329" spans="1:19" x14ac:dyDescent="0.25">
      <c r="A329" s="13">
        <v>45889.40247685185</v>
      </c>
      <c r="B329" t="s">
        <v>352</v>
      </c>
      <c r="C329" t="s">
        <v>359</v>
      </c>
      <c r="D329" t="s">
        <v>20</v>
      </c>
      <c r="E329" t="s">
        <v>11</v>
      </c>
      <c r="F329" t="s">
        <v>15</v>
      </c>
      <c r="G329">
        <v>3</v>
      </c>
      <c r="H329" s="12">
        <v>0</v>
      </c>
      <c r="I329" s="12">
        <v>0</v>
      </c>
      <c r="J329" s="12">
        <v>0</v>
      </c>
      <c r="K329" s="12">
        <v>0</v>
      </c>
      <c r="L329" s="12">
        <v>0</v>
      </c>
      <c r="M329" s="12">
        <v>1</v>
      </c>
      <c r="N329" s="12">
        <v>0</v>
      </c>
      <c r="O329" s="12">
        <v>0</v>
      </c>
      <c r="P329" s="12">
        <v>0</v>
      </c>
      <c r="Q329" s="12">
        <v>0</v>
      </c>
      <c r="R329" s="12">
        <v>0</v>
      </c>
      <c r="S329" t="s">
        <v>100</v>
      </c>
    </row>
    <row r="330" spans="1:19" x14ac:dyDescent="0.25">
      <c r="A330" s="13">
        <v>45889.455254629633</v>
      </c>
      <c r="B330" t="s">
        <v>347</v>
      </c>
      <c r="C330" t="s">
        <v>359</v>
      </c>
      <c r="D330" t="s">
        <v>10</v>
      </c>
      <c r="E330" t="s">
        <v>11</v>
      </c>
      <c r="F330" t="s">
        <v>15</v>
      </c>
      <c r="G330">
        <v>3</v>
      </c>
      <c r="H330" s="12">
        <v>0</v>
      </c>
      <c r="I330" s="12">
        <v>0</v>
      </c>
      <c r="J330" s="12">
        <v>0</v>
      </c>
      <c r="K330" s="12">
        <v>0</v>
      </c>
      <c r="L330" s="12">
        <v>0</v>
      </c>
      <c r="M330" s="12">
        <v>0</v>
      </c>
      <c r="N330" s="12">
        <v>0</v>
      </c>
      <c r="O330" s="12">
        <v>0</v>
      </c>
      <c r="P330" s="12">
        <v>0</v>
      </c>
      <c r="Q330" s="12">
        <v>0</v>
      </c>
      <c r="R330" s="12">
        <v>1</v>
      </c>
      <c r="S330" t="s">
        <v>101</v>
      </c>
    </row>
    <row r="331" spans="1:19" x14ac:dyDescent="0.25">
      <c r="A331" s="13">
        <v>45889.466747685183</v>
      </c>
      <c r="B331" t="s">
        <v>354</v>
      </c>
      <c r="C331" t="s">
        <v>359</v>
      </c>
      <c r="D331" t="s">
        <v>10</v>
      </c>
      <c r="E331" t="s">
        <v>11</v>
      </c>
      <c r="F331" t="s">
        <v>12</v>
      </c>
      <c r="G331">
        <v>10.5</v>
      </c>
      <c r="H331" s="12">
        <v>1</v>
      </c>
      <c r="I331" s="12">
        <v>0</v>
      </c>
      <c r="J331" s="12">
        <v>1</v>
      </c>
      <c r="K331" s="12">
        <v>1</v>
      </c>
      <c r="L331" s="12">
        <v>0</v>
      </c>
      <c r="M331" s="12">
        <v>1</v>
      </c>
      <c r="N331" s="12">
        <v>0</v>
      </c>
      <c r="O331" s="12">
        <v>0</v>
      </c>
      <c r="P331" s="12">
        <v>1</v>
      </c>
      <c r="Q331" s="12">
        <v>0</v>
      </c>
      <c r="R331" s="12">
        <v>0</v>
      </c>
      <c r="S331" t="s">
        <v>102</v>
      </c>
    </row>
    <row r="332" spans="1:19" x14ac:dyDescent="0.25">
      <c r="A332" s="13">
        <v>45889.476759259262</v>
      </c>
      <c r="B332" t="s">
        <v>354</v>
      </c>
      <c r="C332" t="s">
        <v>359</v>
      </c>
      <c r="D332" t="s">
        <v>10</v>
      </c>
      <c r="E332" t="s">
        <v>11</v>
      </c>
      <c r="F332" t="s">
        <v>15</v>
      </c>
      <c r="G332">
        <v>3</v>
      </c>
      <c r="H332" s="12">
        <v>0</v>
      </c>
      <c r="I332" s="12">
        <v>0</v>
      </c>
      <c r="J332" s="12">
        <v>0</v>
      </c>
      <c r="K332" s="12">
        <v>0</v>
      </c>
      <c r="L332" s="12">
        <v>0</v>
      </c>
      <c r="M332" s="12">
        <v>0</v>
      </c>
      <c r="N332" s="12">
        <v>0</v>
      </c>
      <c r="O332" s="12">
        <v>0</v>
      </c>
      <c r="P332" s="12">
        <v>1</v>
      </c>
      <c r="Q332" s="12">
        <v>0</v>
      </c>
      <c r="R332" s="12">
        <v>0</v>
      </c>
      <c r="S332" t="s">
        <v>103</v>
      </c>
    </row>
    <row r="333" spans="1:19" x14ac:dyDescent="0.25">
      <c r="A333" s="13">
        <v>45889.604444444441</v>
      </c>
      <c r="B333" t="s">
        <v>348</v>
      </c>
      <c r="C333" t="s">
        <v>359</v>
      </c>
      <c r="D333" t="s">
        <v>10</v>
      </c>
      <c r="E333" t="s">
        <v>11</v>
      </c>
      <c r="F333" t="s">
        <v>15</v>
      </c>
      <c r="G333">
        <v>3</v>
      </c>
      <c r="H333" s="12">
        <v>0</v>
      </c>
      <c r="I333" s="12">
        <v>0</v>
      </c>
      <c r="J333" s="12">
        <v>0</v>
      </c>
      <c r="K333" s="12">
        <v>0</v>
      </c>
      <c r="L333" s="12">
        <v>0</v>
      </c>
      <c r="M333" s="12">
        <v>0</v>
      </c>
      <c r="N333" s="12">
        <v>1</v>
      </c>
      <c r="O333" s="12">
        <v>0</v>
      </c>
      <c r="P333" s="12">
        <v>0</v>
      </c>
      <c r="Q333" s="12">
        <v>0</v>
      </c>
      <c r="R333" s="12">
        <v>0</v>
      </c>
    </row>
    <row r="334" spans="1:19" x14ac:dyDescent="0.25">
      <c r="A334" s="13">
        <v>45889.604675925926</v>
      </c>
      <c r="B334" t="s">
        <v>348</v>
      </c>
      <c r="C334" t="s">
        <v>359</v>
      </c>
      <c r="D334" t="s">
        <v>10</v>
      </c>
      <c r="E334" t="s">
        <v>11</v>
      </c>
      <c r="F334" t="s">
        <v>12</v>
      </c>
      <c r="G334">
        <v>10.5</v>
      </c>
      <c r="H334" s="12">
        <v>0</v>
      </c>
      <c r="I334" s="12">
        <v>1</v>
      </c>
      <c r="J334" s="12">
        <v>1</v>
      </c>
      <c r="K334" s="12">
        <v>0</v>
      </c>
      <c r="L334" s="12">
        <v>0</v>
      </c>
      <c r="M334" s="12">
        <v>0</v>
      </c>
      <c r="N334" s="12">
        <v>0</v>
      </c>
      <c r="O334" s="12">
        <v>0</v>
      </c>
      <c r="P334" s="12">
        <v>0</v>
      </c>
      <c r="Q334" s="12">
        <v>0</v>
      </c>
      <c r="R334" s="12">
        <v>0</v>
      </c>
    </row>
    <row r="335" spans="1:19" x14ac:dyDescent="0.25">
      <c r="A335" s="13">
        <v>45889.615567129629</v>
      </c>
      <c r="B335" t="s">
        <v>348</v>
      </c>
      <c r="C335" t="s">
        <v>359</v>
      </c>
      <c r="D335" t="s">
        <v>10</v>
      </c>
      <c r="E335" t="s">
        <v>11</v>
      </c>
      <c r="F335" t="s">
        <v>15</v>
      </c>
      <c r="G335">
        <v>3</v>
      </c>
      <c r="H335" s="12">
        <v>0</v>
      </c>
      <c r="I335" s="12">
        <v>0</v>
      </c>
      <c r="J335" s="12">
        <v>0</v>
      </c>
      <c r="K335" s="12">
        <v>0</v>
      </c>
      <c r="L335" s="12">
        <v>0</v>
      </c>
      <c r="M335" s="12">
        <v>0</v>
      </c>
      <c r="N335" s="12">
        <v>0</v>
      </c>
      <c r="O335" s="12">
        <v>0</v>
      </c>
      <c r="P335" s="12">
        <v>0</v>
      </c>
      <c r="Q335" s="12">
        <v>0</v>
      </c>
      <c r="R335" s="12">
        <v>1</v>
      </c>
      <c r="S335" t="s">
        <v>104</v>
      </c>
    </row>
    <row r="336" spans="1:19" x14ac:dyDescent="0.25">
      <c r="A336" s="13">
        <v>45889.653124999997</v>
      </c>
      <c r="B336" t="s">
        <v>349</v>
      </c>
      <c r="C336" t="s">
        <v>359</v>
      </c>
      <c r="D336" t="s">
        <v>10</v>
      </c>
      <c r="E336" t="s">
        <v>11</v>
      </c>
      <c r="F336" t="s">
        <v>12</v>
      </c>
      <c r="G336">
        <v>10.5</v>
      </c>
      <c r="H336" s="12">
        <v>0</v>
      </c>
      <c r="I336" s="12">
        <v>0</v>
      </c>
      <c r="J336" s="12">
        <v>0</v>
      </c>
      <c r="K336" s="12">
        <v>0</v>
      </c>
      <c r="L336" s="12">
        <v>1</v>
      </c>
      <c r="M336" s="12">
        <v>0</v>
      </c>
      <c r="N336" s="12">
        <v>0</v>
      </c>
      <c r="O336" s="12">
        <v>0</v>
      </c>
      <c r="P336" s="12">
        <v>0</v>
      </c>
      <c r="Q336" s="12">
        <v>0</v>
      </c>
      <c r="R336" s="12">
        <v>0</v>
      </c>
    </row>
    <row r="337" spans="1:19" x14ac:dyDescent="0.25">
      <c r="A337" s="13">
        <v>45889.683252314811</v>
      </c>
      <c r="B337" t="s">
        <v>353</v>
      </c>
      <c r="C337" t="s">
        <v>359</v>
      </c>
      <c r="D337" t="s">
        <v>10</v>
      </c>
      <c r="E337" t="s">
        <v>11</v>
      </c>
      <c r="F337" t="s">
        <v>15</v>
      </c>
      <c r="G337">
        <v>3</v>
      </c>
      <c r="H337" s="12">
        <v>0</v>
      </c>
      <c r="I337" s="12">
        <v>0</v>
      </c>
      <c r="J337" s="12">
        <v>0</v>
      </c>
      <c r="K337" s="12">
        <v>0</v>
      </c>
      <c r="L337" s="12">
        <v>0</v>
      </c>
      <c r="M337" s="12">
        <v>0</v>
      </c>
      <c r="N337" s="12">
        <v>1</v>
      </c>
      <c r="O337" s="12">
        <v>0</v>
      </c>
      <c r="P337" s="12">
        <v>0</v>
      </c>
      <c r="Q337" s="12">
        <v>0</v>
      </c>
      <c r="R337" s="12">
        <v>0</v>
      </c>
    </row>
    <row r="338" spans="1:19" x14ac:dyDescent="0.25">
      <c r="A338" s="13">
        <v>45889.683356481481</v>
      </c>
      <c r="B338" t="s">
        <v>353</v>
      </c>
      <c r="C338" t="s">
        <v>359</v>
      </c>
      <c r="D338" t="s">
        <v>10</v>
      </c>
      <c r="E338" t="s">
        <v>11</v>
      </c>
      <c r="F338" t="s">
        <v>18</v>
      </c>
      <c r="G338">
        <v>20</v>
      </c>
      <c r="H338" s="12">
        <v>0</v>
      </c>
      <c r="I338" s="12">
        <v>0</v>
      </c>
      <c r="J338" s="12">
        <v>0</v>
      </c>
      <c r="K338" s="12">
        <v>0</v>
      </c>
      <c r="L338" s="12">
        <v>1</v>
      </c>
      <c r="M338" s="12">
        <v>0</v>
      </c>
      <c r="N338" s="12">
        <v>0</v>
      </c>
      <c r="O338" s="12">
        <v>0</v>
      </c>
      <c r="P338" s="12">
        <v>0</v>
      </c>
      <c r="Q338" s="12">
        <v>0</v>
      </c>
      <c r="R338" s="12">
        <v>0</v>
      </c>
    </row>
    <row r="339" spans="1:19" x14ac:dyDescent="0.25">
      <c r="A339" s="13">
        <v>45889.68346064815</v>
      </c>
      <c r="B339" t="s">
        <v>353</v>
      </c>
      <c r="C339" t="s">
        <v>359</v>
      </c>
      <c r="D339" t="s">
        <v>10</v>
      </c>
      <c r="E339" t="s">
        <v>11</v>
      </c>
      <c r="F339" t="s">
        <v>12</v>
      </c>
      <c r="G339">
        <v>10.5</v>
      </c>
      <c r="H339" s="12">
        <v>0</v>
      </c>
      <c r="I339" s="12">
        <v>0</v>
      </c>
      <c r="J339" s="12">
        <v>0</v>
      </c>
      <c r="K339" s="12">
        <v>0</v>
      </c>
      <c r="L339" s="12">
        <v>1</v>
      </c>
      <c r="M339" s="12">
        <v>0</v>
      </c>
      <c r="N339" s="12">
        <v>0</v>
      </c>
      <c r="O339" s="12">
        <v>0</v>
      </c>
      <c r="P339" s="12">
        <v>0</v>
      </c>
      <c r="Q339" s="12">
        <v>0</v>
      </c>
      <c r="R339" s="12">
        <v>0</v>
      </c>
    </row>
    <row r="340" spans="1:19" x14ac:dyDescent="0.25">
      <c r="A340" s="13">
        <v>45889.689942129633</v>
      </c>
      <c r="B340" t="s">
        <v>353</v>
      </c>
      <c r="C340" t="s">
        <v>359</v>
      </c>
      <c r="D340" t="s">
        <v>10</v>
      </c>
      <c r="E340" t="s">
        <v>11</v>
      </c>
      <c r="F340" t="s">
        <v>14</v>
      </c>
      <c r="G340">
        <v>0.5</v>
      </c>
      <c r="H340" s="12">
        <v>0</v>
      </c>
      <c r="I340" s="12">
        <v>0</v>
      </c>
      <c r="J340" s="12">
        <v>0</v>
      </c>
      <c r="K340" s="12">
        <v>0</v>
      </c>
      <c r="L340" s="12">
        <v>0</v>
      </c>
      <c r="M340" s="12">
        <v>0</v>
      </c>
      <c r="N340" s="12">
        <v>0</v>
      </c>
      <c r="O340" s="12">
        <v>0</v>
      </c>
      <c r="P340" s="12">
        <v>0</v>
      </c>
      <c r="Q340" s="12">
        <v>0</v>
      </c>
      <c r="R340" s="12">
        <v>1</v>
      </c>
      <c r="S340" t="s">
        <v>105</v>
      </c>
    </row>
    <row r="341" spans="1:19" x14ac:dyDescent="0.25">
      <c r="A341" s="13">
        <v>45889.711643518516</v>
      </c>
      <c r="B341" t="s">
        <v>355</v>
      </c>
      <c r="C341" t="s">
        <v>359</v>
      </c>
      <c r="D341" t="s">
        <v>10</v>
      </c>
      <c r="E341" t="s">
        <v>11</v>
      </c>
      <c r="F341" t="s">
        <v>12</v>
      </c>
      <c r="G341">
        <v>10.5</v>
      </c>
      <c r="H341" s="12">
        <v>0</v>
      </c>
      <c r="I341" s="12">
        <v>0</v>
      </c>
      <c r="J341" s="12">
        <v>0</v>
      </c>
      <c r="K341" s="12">
        <v>0</v>
      </c>
      <c r="L341" s="12">
        <v>0</v>
      </c>
      <c r="M341" s="12">
        <v>0</v>
      </c>
      <c r="N341" s="12">
        <v>0</v>
      </c>
      <c r="O341" s="12">
        <v>1</v>
      </c>
      <c r="P341" s="12">
        <v>0</v>
      </c>
      <c r="Q341" s="12">
        <v>0</v>
      </c>
      <c r="R341" s="12">
        <v>0</v>
      </c>
    </row>
    <row r="342" spans="1:19" x14ac:dyDescent="0.25">
      <c r="A342" s="13">
        <v>45889.728819444441</v>
      </c>
      <c r="B342" t="s">
        <v>355</v>
      </c>
      <c r="C342" t="s">
        <v>359</v>
      </c>
      <c r="D342" t="s">
        <v>10</v>
      </c>
      <c r="E342" t="s">
        <v>11</v>
      </c>
      <c r="F342" t="s">
        <v>12</v>
      </c>
      <c r="G342">
        <v>10.5</v>
      </c>
      <c r="H342" s="12">
        <v>0</v>
      </c>
      <c r="I342" s="12">
        <v>0</v>
      </c>
      <c r="J342" s="12">
        <v>0</v>
      </c>
      <c r="K342" s="12">
        <v>0</v>
      </c>
      <c r="L342" s="12">
        <v>1</v>
      </c>
      <c r="M342" s="12">
        <v>0</v>
      </c>
      <c r="N342" s="12">
        <v>0</v>
      </c>
      <c r="O342" s="12">
        <v>0</v>
      </c>
      <c r="P342" s="12">
        <v>0</v>
      </c>
      <c r="Q342" s="12">
        <v>0</v>
      </c>
      <c r="R342" s="12">
        <v>0</v>
      </c>
    </row>
    <row r="343" spans="1:19" x14ac:dyDescent="0.25">
      <c r="A343" s="13">
        <v>45890.421458333331</v>
      </c>
      <c r="B343" t="s">
        <v>347</v>
      </c>
      <c r="C343" t="s">
        <v>360</v>
      </c>
      <c r="D343" t="s">
        <v>10</v>
      </c>
      <c r="E343" t="s">
        <v>11</v>
      </c>
      <c r="F343" t="s">
        <v>14</v>
      </c>
      <c r="G343">
        <v>0.5</v>
      </c>
      <c r="H343" s="12">
        <v>0</v>
      </c>
      <c r="I343" s="12">
        <v>0</v>
      </c>
      <c r="J343" s="12">
        <v>0</v>
      </c>
      <c r="K343" s="12">
        <v>0</v>
      </c>
      <c r="L343" s="12">
        <v>0</v>
      </c>
      <c r="M343" s="12">
        <v>0</v>
      </c>
      <c r="N343" s="12">
        <v>0</v>
      </c>
      <c r="O343" s="12">
        <v>0</v>
      </c>
      <c r="P343" s="12">
        <v>0</v>
      </c>
      <c r="Q343" s="12">
        <v>1</v>
      </c>
      <c r="R343" s="12">
        <v>0</v>
      </c>
      <c r="S343" t="s">
        <v>106</v>
      </c>
    </row>
    <row r="344" spans="1:19" x14ac:dyDescent="0.25">
      <c r="A344" s="13">
        <v>45890.458483796298</v>
      </c>
      <c r="B344" t="s">
        <v>354</v>
      </c>
      <c r="C344" t="s">
        <v>360</v>
      </c>
      <c r="D344" t="s">
        <v>10</v>
      </c>
      <c r="E344" t="s">
        <v>11</v>
      </c>
      <c r="F344" t="s">
        <v>15</v>
      </c>
      <c r="G344">
        <v>3</v>
      </c>
      <c r="H344" s="12">
        <v>1</v>
      </c>
      <c r="I344" s="12">
        <v>0</v>
      </c>
      <c r="J344" s="12">
        <v>0</v>
      </c>
      <c r="K344" s="12">
        <v>0</v>
      </c>
      <c r="L344" s="12">
        <v>0</v>
      </c>
      <c r="M344" s="12">
        <v>0</v>
      </c>
      <c r="N344" s="12">
        <v>0</v>
      </c>
      <c r="O344" s="12">
        <v>0</v>
      </c>
      <c r="P344" s="12">
        <v>0</v>
      </c>
      <c r="Q344" s="12">
        <v>0</v>
      </c>
      <c r="R344" s="12">
        <v>0</v>
      </c>
    </row>
    <row r="345" spans="1:19" x14ac:dyDescent="0.25">
      <c r="A345" s="13">
        <v>45890.482118055559</v>
      </c>
      <c r="B345" t="s">
        <v>354</v>
      </c>
      <c r="C345" t="s">
        <v>360</v>
      </c>
      <c r="D345" t="s">
        <v>10</v>
      </c>
      <c r="E345" t="s">
        <v>27</v>
      </c>
      <c r="F345" t="s">
        <v>15</v>
      </c>
      <c r="G345">
        <v>3</v>
      </c>
      <c r="H345" s="12">
        <v>1</v>
      </c>
      <c r="I345" s="12">
        <v>0</v>
      </c>
      <c r="J345" s="12">
        <v>1</v>
      </c>
      <c r="K345" s="12">
        <v>0</v>
      </c>
      <c r="L345" s="12">
        <v>0</v>
      </c>
      <c r="M345" s="12">
        <v>0</v>
      </c>
      <c r="N345" s="12">
        <v>0</v>
      </c>
      <c r="O345" s="12">
        <v>0</v>
      </c>
      <c r="P345" s="12">
        <v>0</v>
      </c>
      <c r="Q345" s="12">
        <v>0</v>
      </c>
      <c r="R345" s="12">
        <v>0</v>
      </c>
      <c r="S345" t="s">
        <v>107</v>
      </c>
    </row>
    <row r="346" spans="1:19" x14ac:dyDescent="0.25">
      <c r="A346" s="13">
        <v>45890.565567129626</v>
      </c>
      <c r="B346" t="s">
        <v>351</v>
      </c>
      <c r="C346" t="s">
        <v>360</v>
      </c>
      <c r="D346" t="s">
        <v>10</v>
      </c>
      <c r="E346" t="s">
        <v>11</v>
      </c>
      <c r="F346" t="s">
        <v>12</v>
      </c>
      <c r="G346">
        <v>10.5</v>
      </c>
      <c r="H346" s="12">
        <v>0</v>
      </c>
      <c r="I346" s="12">
        <v>0</v>
      </c>
      <c r="J346" s="12">
        <v>0</v>
      </c>
      <c r="K346" s="12">
        <v>0</v>
      </c>
      <c r="L346" s="12">
        <v>1</v>
      </c>
      <c r="M346" s="12">
        <v>0</v>
      </c>
      <c r="N346" s="12">
        <v>0</v>
      </c>
      <c r="O346" s="12">
        <v>0</v>
      </c>
      <c r="P346" s="12">
        <v>1</v>
      </c>
      <c r="Q346" s="12">
        <v>0</v>
      </c>
      <c r="R346" s="12">
        <v>0</v>
      </c>
    </row>
    <row r="347" spans="1:19" x14ac:dyDescent="0.25">
      <c r="A347" s="13">
        <v>45890.643055555556</v>
      </c>
      <c r="B347" t="s">
        <v>349</v>
      </c>
      <c r="C347" t="s">
        <v>360</v>
      </c>
      <c r="D347" t="s">
        <v>10</v>
      </c>
      <c r="E347" t="s">
        <v>11</v>
      </c>
      <c r="F347" t="s">
        <v>15</v>
      </c>
      <c r="G347">
        <v>3</v>
      </c>
      <c r="H347" s="12">
        <v>0</v>
      </c>
      <c r="I347" s="12">
        <v>0</v>
      </c>
      <c r="J347" s="12">
        <v>0</v>
      </c>
      <c r="K347" s="12">
        <v>0</v>
      </c>
      <c r="L347" s="12">
        <v>1</v>
      </c>
      <c r="M347" s="12">
        <v>0</v>
      </c>
      <c r="N347" s="12">
        <v>0</v>
      </c>
      <c r="O347" s="12">
        <v>0</v>
      </c>
      <c r="P347" s="12">
        <v>0</v>
      </c>
      <c r="Q347" s="12">
        <v>0</v>
      </c>
      <c r="R347" s="12">
        <v>0</v>
      </c>
      <c r="S347" t="s">
        <v>108</v>
      </c>
    </row>
    <row r="348" spans="1:19" x14ac:dyDescent="0.25">
      <c r="A348" s="13">
        <v>45890.708495370367</v>
      </c>
      <c r="B348" t="s">
        <v>355</v>
      </c>
      <c r="C348" t="s">
        <v>360</v>
      </c>
      <c r="D348" t="s">
        <v>10</v>
      </c>
      <c r="E348" t="s">
        <v>11</v>
      </c>
      <c r="F348" t="s">
        <v>15</v>
      </c>
      <c r="G348">
        <v>3</v>
      </c>
      <c r="H348" s="12">
        <v>1</v>
      </c>
      <c r="I348" s="12">
        <v>0</v>
      </c>
      <c r="J348" s="12">
        <v>1</v>
      </c>
      <c r="K348" s="12">
        <v>0</v>
      </c>
      <c r="L348" s="12">
        <v>1</v>
      </c>
      <c r="M348" s="12">
        <v>0</v>
      </c>
      <c r="N348" s="12">
        <v>0</v>
      </c>
      <c r="O348" s="12">
        <v>0</v>
      </c>
      <c r="P348" s="12">
        <v>0</v>
      </c>
      <c r="Q348" s="12">
        <v>0</v>
      </c>
      <c r="R348" s="12">
        <v>0</v>
      </c>
    </row>
    <row r="349" spans="1:19" x14ac:dyDescent="0.25">
      <c r="A349" s="13">
        <v>45890.708657407406</v>
      </c>
      <c r="B349" t="s">
        <v>355</v>
      </c>
      <c r="C349" t="s">
        <v>360</v>
      </c>
      <c r="D349" t="s">
        <v>10</v>
      </c>
      <c r="E349" t="s">
        <v>11</v>
      </c>
      <c r="F349" t="s">
        <v>18</v>
      </c>
      <c r="G349">
        <v>20</v>
      </c>
      <c r="H349" s="12">
        <v>0</v>
      </c>
      <c r="I349" s="12">
        <v>0</v>
      </c>
      <c r="J349" s="12">
        <v>0</v>
      </c>
      <c r="K349" s="12">
        <v>0</v>
      </c>
      <c r="L349" s="12">
        <v>1</v>
      </c>
      <c r="M349" s="12">
        <v>0</v>
      </c>
      <c r="N349" s="12">
        <v>0</v>
      </c>
      <c r="O349" s="12">
        <v>0</v>
      </c>
      <c r="P349" s="12">
        <v>1</v>
      </c>
      <c r="Q349" s="12">
        <v>0</v>
      </c>
      <c r="R349" s="12">
        <v>0</v>
      </c>
    </row>
    <row r="350" spans="1:19" x14ac:dyDescent="0.25">
      <c r="A350" s="13">
        <v>45890.708981481483</v>
      </c>
      <c r="B350" t="s">
        <v>355</v>
      </c>
      <c r="C350" t="s">
        <v>360</v>
      </c>
      <c r="D350" t="s">
        <v>10</v>
      </c>
      <c r="E350" t="s">
        <v>17</v>
      </c>
      <c r="F350" t="s">
        <v>15</v>
      </c>
      <c r="G350">
        <v>3</v>
      </c>
      <c r="H350" s="12">
        <v>0</v>
      </c>
      <c r="I350" s="12">
        <v>0</v>
      </c>
      <c r="J350" s="12">
        <v>0</v>
      </c>
      <c r="K350" s="12">
        <v>0</v>
      </c>
      <c r="L350" s="12">
        <v>0</v>
      </c>
      <c r="M350" s="12">
        <v>0</v>
      </c>
      <c r="N350" s="12">
        <v>0</v>
      </c>
      <c r="O350" s="12">
        <v>0</v>
      </c>
      <c r="P350" s="12">
        <v>0</v>
      </c>
      <c r="Q350" s="12">
        <v>0</v>
      </c>
      <c r="R350" s="12">
        <v>1</v>
      </c>
    </row>
    <row r="351" spans="1:19" x14ac:dyDescent="0.25">
      <c r="A351" s="13">
        <v>45891.406967592593</v>
      </c>
      <c r="B351" t="s">
        <v>352</v>
      </c>
      <c r="C351" t="s">
        <v>361</v>
      </c>
      <c r="D351" t="s">
        <v>10</v>
      </c>
      <c r="E351" t="s">
        <v>11</v>
      </c>
      <c r="F351" t="s">
        <v>12</v>
      </c>
      <c r="G351">
        <v>10.5</v>
      </c>
      <c r="H351" s="12">
        <v>0</v>
      </c>
      <c r="I351" s="12">
        <v>0</v>
      </c>
      <c r="J351" s="12">
        <v>0</v>
      </c>
      <c r="K351" s="12">
        <v>0</v>
      </c>
      <c r="L351" s="12">
        <v>0</v>
      </c>
      <c r="M351" s="12">
        <v>0</v>
      </c>
      <c r="N351" s="12">
        <v>1</v>
      </c>
      <c r="O351" s="12">
        <v>0</v>
      </c>
      <c r="P351" s="12">
        <v>0</v>
      </c>
      <c r="Q351" s="12">
        <v>0</v>
      </c>
      <c r="R351" s="12">
        <v>0</v>
      </c>
    </row>
    <row r="352" spans="1:19" x14ac:dyDescent="0.25">
      <c r="A352" s="13">
        <v>45891.440023148149</v>
      </c>
      <c r="B352" t="s">
        <v>347</v>
      </c>
      <c r="C352" t="s">
        <v>361</v>
      </c>
      <c r="D352" t="s">
        <v>10</v>
      </c>
      <c r="E352" t="s">
        <v>11</v>
      </c>
      <c r="F352" t="s">
        <v>12</v>
      </c>
      <c r="G352">
        <v>10.5</v>
      </c>
      <c r="H352" s="12">
        <v>0</v>
      </c>
      <c r="I352" s="12">
        <v>0</v>
      </c>
      <c r="J352" s="12">
        <v>0</v>
      </c>
      <c r="K352" s="12">
        <v>0</v>
      </c>
      <c r="L352" s="12">
        <v>0</v>
      </c>
      <c r="M352" s="12">
        <v>0</v>
      </c>
      <c r="N352" s="12">
        <v>1</v>
      </c>
      <c r="O352" s="12">
        <v>0</v>
      </c>
      <c r="P352" s="12">
        <v>0</v>
      </c>
      <c r="Q352" s="12">
        <v>0</v>
      </c>
      <c r="R352" s="12">
        <v>0</v>
      </c>
    </row>
    <row r="353" spans="1:19" x14ac:dyDescent="0.25">
      <c r="A353" s="13">
        <v>45891.440150462964</v>
      </c>
      <c r="B353" t="s">
        <v>347</v>
      </c>
      <c r="C353" t="s">
        <v>361</v>
      </c>
      <c r="D353" t="s">
        <v>10</v>
      </c>
      <c r="E353" t="s">
        <v>11</v>
      </c>
      <c r="F353" t="s">
        <v>15</v>
      </c>
      <c r="G353">
        <v>3</v>
      </c>
      <c r="H353" s="12">
        <v>0</v>
      </c>
      <c r="I353" s="12">
        <v>0</v>
      </c>
      <c r="J353" s="12">
        <v>0</v>
      </c>
      <c r="K353" s="12">
        <v>0</v>
      </c>
      <c r="L353" s="12">
        <v>0</v>
      </c>
      <c r="M353" s="12">
        <v>0</v>
      </c>
      <c r="N353" s="12">
        <v>0</v>
      </c>
      <c r="O353" s="12">
        <v>1</v>
      </c>
      <c r="P353" s="12">
        <v>0</v>
      </c>
      <c r="Q353" s="12">
        <v>0</v>
      </c>
      <c r="R353" s="12">
        <v>0</v>
      </c>
    </row>
    <row r="354" spans="1:19" x14ac:dyDescent="0.25">
      <c r="A354" s="13">
        <v>45891.459236111114</v>
      </c>
      <c r="B354" t="s">
        <v>354</v>
      </c>
      <c r="C354" t="s">
        <v>361</v>
      </c>
      <c r="D354" t="s">
        <v>10</v>
      </c>
      <c r="E354" t="s">
        <v>11</v>
      </c>
      <c r="F354" t="s">
        <v>14</v>
      </c>
      <c r="G354">
        <v>0.5</v>
      </c>
      <c r="H354" s="12">
        <v>0</v>
      </c>
      <c r="I354" s="12">
        <v>0</v>
      </c>
      <c r="J354" s="12">
        <v>0</v>
      </c>
      <c r="K354" s="12">
        <v>0</v>
      </c>
      <c r="L354" s="12">
        <v>0</v>
      </c>
      <c r="M354" s="12">
        <v>0</v>
      </c>
      <c r="N354" s="12">
        <v>0</v>
      </c>
      <c r="O354" s="12">
        <v>1</v>
      </c>
      <c r="P354" s="12">
        <v>0</v>
      </c>
      <c r="Q354" s="12">
        <v>0</v>
      </c>
      <c r="R354" s="12">
        <v>0</v>
      </c>
    </row>
    <row r="355" spans="1:19" x14ac:dyDescent="0.25">
      <c r="A355" s="13">
        <v>45891.501087962963</v>
      </c>
      <c r="B355" t="s">
        <v>350</v>
      </c>
      <c r="C355" t="s">
        <v>361</v>
      </c>
      <c r="D355" t="s">
        <v>10</v>
      </c>
      <c r="E355" t="s">
        <v>11</v>
      </c>
      <c r="F355" t="s">
        <v>18</v>
      </c>
      <c r="G355">
        <v>20</v>
      </c>
      <c r="H355" s="12">
        <v>0</v>
      </c>
      <c r="I355" s="12">
        <v>0</v>
      </c>
      <c r="J355" s="12">
        <v>0</v>
      </c>
      <c r="K355" s="12">
        <v>0</v>
      </c>
      <c r="L355" s="12">
        <v>1</v>
      </c>
      <c r="M355" s="12">
        <v>0</v>
      </c>
      <c r="N355" s="12">
        <v>0</v>
      </c>
      <c r="O355" s="12">
        <v>0</v>
      </c>
      <c r="P355" s="12">
        <v>0</v>
      </c>
      <c r="Q355" s="12">
        <v>0</v>
      </c>
      <c r="R355" s="12">
        <v>0</v>
      </c>
    </row>
    <row r="356" spans="1:19" x14ac:dyDescent="0.25">
      <c r="A356" s="13">
        <v>45891.586134259262</v>
      </c>
      <c r="B356" t="s">
        <v>348</v>
      </c>
      <c r="C356" t="s">
        <v>361</v>
      </c>
      <c r="D356" t="s">
        <v>10</v>
      </c>
      <c r="E356" t="s">
        <v>11</v>
      </c>
      <c r="F356" t="s">
        <v>14</v>
      </c>
      <c r="G356">
        <v>0.5</v>
      </c>
      <c r="H356" s="12">
        <v>0</v>
      </c>
      <c r="I356" s="12">
        <v>0</v>
      </c>
      <c r="J356" s="12">
        <v>0</v>
      </c>
      <c r="K356" s="12">
        <v>0</v>
      </c>
      <c r="L356" s="12">
        <v>0</v>
      </c>
      <c r="M356" s="12">
        <v>0</v>
      </c>
      <c r="N356" s="12">
        <v>0</v>
      </c>
      <c r="O356" s="12">
        <v>0</v>
      </c>
      <c r="P356" s="12">
        <v>0</v>
      </c>
      <c r="Q356" s="12">
        <v>1</v>
      </c>
      <c r="R356" s="12">
        <v>0</v>
      </c>
    </row>
    <row r="357" spans="1:19" x14ac:dyDescent="0.25">
      <c r="A357" s="13">
        <v>45891.586458333331</v>
      </c>
      <c r="B357" t="s">
        <v>348</v>
      </c>
      <c r="C357" t="s">
        <v>361</v>
      </c>
      <c r="D357" t="s">
        <v>20</v>
      </c>
      <c r="E357" t="s">
        <v>11</v>
      </c>
      <c r="F357" t="s">
        <v>12</v>
      </c>
      <c r="G357">
        <v>10.5</v>
      </c>
      <c r="H357" s="12">
        <v>0</v>
      </c>
      <c r="I357" s="12">
        <v>1</v>
      </c>
      <c r="J357" s="12">
        <v>0</v>
      </c>
      <c r="K357" s="12">
        <v>0</v>
      </c>
      <c r="L357" s="12">
        <v>0</v>
      </c>
      <c r="M357" s="12">
        <v>0</v>
      </c>
      <c r="N357" s="12">
        <v>0</v>
      </c>
      <c r="O357" s="12">
        <v>0</v>
      </c>
      <c r="P357" s="12">
        <v>0</v>
      </c>
      <c r="Q357" s="12">
        <v>0</v>
      </c>
      <c r="R357" s="12">
        <v>1</v>
      </c>
      <c r="S357" t="s">
        <v>109</v>
      </c>
    </row>
    <row r="358" spans="1:19" x14ac:dyDescent="0.25">
      <c r="A358" s="13">
        <v>45891.638009259259</v>
      </c>
      <c r="B358" t="s">
        <v>349</v>
      </c>
      <c r="C358" t="s">
        <v>361</v>
      </c>
      <c r="D358" t="s">
        <v>10</v>
      </c>
      <c r="E358" t="s">
        <v>11</v>
      </c>
      <c r="F358" t="s">
        <v>15</v>
      </c>
      <c r="G358">
        <v>3</v>
      </c>
      <c r="H358" s="12">
        <v>1</v>
      </c>
      <c r="I358" s="12">
        <v>0</v>
      </c>
      <c r="J358" s="12">
        <v>1</v>
      </c>
      <c r="K358" s="12">
        <v>0</v>
      </c>
      <c r="L358" s="12">
        <v>0</v>
      </c>
      <c r="M358" s="12">
        <v>0</v>
      </c>
      <c r="N358" s="12">
        <v>0</v>
      </c>
      <c r="O358" s="12">
        <v>0</v>
      </c>
      <c r="P358" s="12">
        <v>0</v>
      </c>
      <c r="Q358" s="12">
        <v>1</v>
      </c>
      <c r="R358" s="12">
        <v>0</v>
      </c>
    </row>
    <row r="359" spans="1:19" x14ac:dyDescent="0.25">
      <c r="A359" s="13">
        <v>45891.638124999998</v>
      </c>
      <c r="B359" t="s">
        <v>349</v>
      </c>
      <c r="C359" t="s">
        <v>361</v>
      </c>
      <c r="D359" t="s">
        <v>10</v>
      </c>
      <c r="E359" t="s">
        <v>17</v>
      </c>
      <c r="F359" t="s">
        <v>18</v>
      </c>
      <c r="G359">
        <v>20</v>
      </c>
      <c r="H359" s="12">
        <v>0</v>
      </c>
      <c r="I359" s="12">
        <v>0</v>
      </c>
      <c r="J359" s="12">
        <v>0</v>
      </c>
      <c r="K359" s="12">
        <v>0</v>
      </c>
      <c r="L359" s="12">
        <v>1</v>
      </c>
      <c r="M359" s="12">
        <v>0</v>
      </c>
      <c r="N359" s="12">
        <v>0</v>
      </c>
      <c r="O359" s="12">
        <v>0</v>
      </c>
      <c r="P359" s="12">
        <v>0</v>
      </c>
      <c r="Q359" s="12">
        <v>0</v>
      </c>
      <c r="R359" s="12">
        <v>0</v>
      </c>
    </row>
    <row r="360" spans="1:19" x14ac:dyDescent="0.25">
      <c r="A360" s="13">
        <v>45891.63826388889</v>
      </c>
      <c r="B360" t="s">
        <v>349</v>
      </c>
      <c r="C360" t="s">
        <v>361</v>
      </c>
      <c r="D360" t="s">
        <v>10</v>
      </c>
      <c r="E360" t="s">
        <v>11</v>
      </c>
      <c r="F360" t="s">
        <v>15</v>
      </c>
      <c r="G360">
        <v>3</v>
      </c>
      <c r="H360" s="12">
        <v>1</v>
      </c>
      <c r="I360" s="12">
        <v>0</v>
      </c>
      <c r="J360" s="12">
        <v>1</v>
      </c>
      <c r="K360" s="12">
        <v>1</v>
      </c>
      <c r="L360" s="12">
        <v>0</v>
      </c>
      <c r="M360" s="12">
        <v>0</v>
      </c>
      <c r="N360" s="12">
        <v>0</v>
      </c>
      <c r="O360" s="12">
        <v>0</v>
      </c>
      <c r="P360" s="12">
        <v>0</v>
      </c>
      <c r="Q360" s="12">
        <v>0</v>
      </c>
      <c r="R360" s="12">
        <v>0</v>
      </c>
    </row>
    <row r="361" spans="1:19" x14ac:dyDescent="0.25">
      <c r="A361" s="13">
        <v>45891.638449074075</v>
      </c>
      <c r="B361" t="s">
        <v>349</v>
      </c>
      <c r="C361" t="s">
        <v>361</v>
      </c>
      <c r="D361" t="s">
        <v>10</v>
      </c>
      <c r="E361" t="s">
        <v>11</v>
      </c>
      <c r="F361" t="s">
        <v>15</v>
      </c>
      <c r="G361">
        <v>3</v>
      </c>
      <c r="H361" s="12">
        <v>0</v>
      </c>
      <c r="I361" s="12">
        <v>0</v>
      </c>
      <c r="J361" s="12">
        <v>0</v>
      </c>
      <c r="K361" s="12">
        <v>0</v>
      </c>
      <c r="L361" s="12">
        <v>0</v>
      </c>
      <c r="M361" s="12">
        <v>0</v>
      </c>
      <c r="N361" s="12">
        <v>0</v>
      </c>
      <c r="O361" s="12">
        <v>0</v>
      </c>
      <c r="P361" s="12">
        <v>0</v>
      </c>
      <c r="Q361" s="12">
        <v>0</v>
      </c>
      <c r="R361" s="12">
        <v>1</v>
      </c>
      <c r="S361" t="s">
        <v>110</v>
      </c>
    </row>
    <row r="362" spans="1:19" x14ac:dyDescent="0.25">
      <c r="A362" s="13">
        <v>45891.66611111111</v>
      </c>
      <c r="B362" t="s">
        <v>349</v>
      </c>
      <c r="C362" t="s">
        <v>361</v>
      </c>
      <c r="D362" t="s">
        <v>10</v>
      </c>
      <c r="E362" t="s">
        <v>11</v>
      </c>
      <c r="F362" t="s">
        <v>14</v>
      </c>
      <c r="G362">
        <v>0.5</v>
      </c>
      <c r="H362" s="12">
        <v>0</v>
      </c>
      <c r="I362" s="12">
        <v>0</v>
      </c>
      <c r="J362" s="12">
        <v>0</v>
      </c>
      <c r="K362" s="12">
        <v>0</v>
      </c>
      <c r="L362" s="12">
        <v>0</v>
      </c>
      <c r="M362" s="12">
        <v>0</v>
      </c>
      <c r="N362" s="12">
        <v>0</v>
      </c>
      <c r="O362" s="12">
        <v>0</v>
      </c>
      <c r="P362" s="12">
        <v>0</v>
      </c>
      <c r="Q362" s="12">
        <v>0</v>
      </c>
      <c r="R362" s="12">
        <v>1</v>
      </c>
      <c r="S362" t="s">
        <v>111</v>
      </c>
    </row>
    <row r="363" spans="1:19" x14ac:dyDescent="0.25">
      <c r="A363" s="13">
        <v>45891.666203703702</v>
      </c>
      <c r="B363" t="s">
        <v>349</v>
      </c>
      <c r="C363" t="s">
        <v>361</v>
      </c>
      <c r="D363" t="s">
        <v>10</v>
      </c>
      <c r="E363" t="s">
        <v>11</v>
      </c>
      <c r="F363" t="s">
        <v>12</v>
      </c>
      <c r="G363">
        <v>10.5</v>
      </c>
      <c r="H363" s="12">
        <v>0</v>
      </c>
      <c r="I363" s="12">
        <v>0</v>
      </c>
      <c r="J363" s="12">
        <v>0</v>
      </c>
      <c r="K363" s="12">
        <v>0</v>
      </c>
      <c r="L363" s="12">
        <v>1</v>
      </c>
      <c r="M363" s="12">
        <v>0</v>
      </c>
      <c r="N363" s="12">
        <v>0</v>
      </c>
      <c r="O363" s="12">
        <v>0</v>
      </c>
      <c r="P363" s="12">
        <v>0</v>
      </c>
      <c r="Q363" s="12">
        <v>0</v>
      </c>
      <c r="R363" s="12">
        <v>0</v>
      </c>
    </row>
    <row r="364" spans="1:19" x14ac:dyDescent="0.25">
      <c r="A364" s="13">
        <v>45891.679328703707</v>
      </c>
      <c r="B364" t="s">
        <v>353</v>
      </c>
      <c r="C364" t="s">
        <v>361</v>
      </c>
      <c r="D364" t="s">
        <v>10</v>
      </c>
      <c r="E364" t="s">
        <v>11</v>
      </c>
      <c r="F364" t="s">
        <v>15</v>
      </c>
      <c r="G364">
        <v>3</v>
      </c>
      <c r="H364" s="12">
        <v>0</v>
      </c>
      <c r="I364" s="12">
        <v>0</v>
      </c>
      <c r="J364" s="12">
        <v>0</v>
      </c>
      <c r="K364" s="12">
        <v>0</v>
      </c>
      <c r="L364" s="12">
        <v>0</v>
      </c>
      <c r="M364" s="12">
        <v>0</v>
      </c>
      <c r="N364" s="12">
        <v>1</v>
      </c>
      <c r="O364" s="12">
        <v>0</v>
      </c>
      <c r="P364" s="12">
        <v>0</v>
      </c>
      <c r="Q364" s="12">
        <v>0</v>
      </c>
      <c r="R364" s="12">
        <v>0</v>
      </c>
    </row>
    <row r="365" spans="1:19" x14ac:dyDescent="0.25">
      <c r="A365" s="13">
        <v>45891.705694444441</v>
      </c>
      <c r="B365" t="s">
        <v>353</v>
      </c>
      <c r="C365" t="s">
        <v>361</v>
      </c>
      <c r="D365" t="s">
        <v>10</v>
      </c>
      <c r="E365" t="s">
        <v>11</v>
      </c>
      <c r="F365" t="s">
        <v>15</v>
      </c>
      <c r="G365">
        <v>3</v>
      </c>
      <c r="H365" s="12">
        <v>1</v>
      </c>
      <c r="I365" s="12">
        <v>0</v>
      </c>
      <c r="J365" s="12">
        <v>1</v>
      </c>
      <c r="K365" s="12">
        <v>1</v>
      </c>
      <c r="L365" s="12">
        <v>0</v>
      </c>
      <c r="M365" s="12">
        <v>0</v>
      </c>
      <c r="N365" s="12">
        <v>0</v>
      </c>
      <c r="O365" s="12">
        <v>0</v>
      </c>
      <c r="P365" s="12">
        <v>0</v>
      </c>
      <c r="Q365" s="12">
        <v>0</v>
      </c>
      <c r="R365" s="12">
        <v>0</v>
      </c>
    </row>
    <row r="366" spans="1:19" x14ac:dyDescent="0.25">
      <c r="A366" s="13">
        <v>45891.722581018519</v>
      </c>
      <c r="B366" t="s">
        <v>355</v>
      </c>
      <c r="C366" t="s">
        <v>361</v>
      </c>
      <c r="D366" t="s">
        <v>10</v>
      </c>
      <c r="E366" t="s">
        <v>11</v>
      </c>
      <c r="F366" t="s">
        <v>15</v>
      </c>
      <c r="G366">
        <v>3</v>
      </c>
      <c r="H366" s="12">
        <v>0</v>
      </c>
      <c r="I366" s="12">
        <v>0</v>
      </c>
      <c r="J366" s="12">
        <v>0</v>
      </c>
      <c r="K366" s="12">
        <v>0</v>
      </c>
      <c r="L366" s="12">
        <v>0</v>
      </c>
      <c r="M366" s="12">
        <v>0</v>
      </c>
      <c r="N366" s="12">
        <v>0</v>
      </c>
      <c r="O366" s="12">
        <v>0</v>
      </c>
      <c r="P366" s="12">
        <v>0</v>
      </c>
      <c r="Q366" s="12">
        <v>1</v>
      </c>
      <c r="R366" s="12">
        <v>0</v>
      </c>
      <c r="S366" t="s">
        <v>112</v>
      </c>
    </row>
    <row r="367" spans="1:19" x14ac:dyDescent="0.25">
      <c r="A367" s="13">
        <v>45891.746215277781</v>
      </c>
      <c r="B367" t="s">
        <v>355</v>
      </c>
      <c r="C367" t="s">
        <v>361</v>
      </c>
      <c r="D367" t="s">
        <v>10</v>
      </c>
      <c r="E367" t="s">
        <v>11</v>
      </c>
      <c r="F367" t="s">
        <v>14</v>
      </c>
      <c r="G367">
        <v>0.5</v>
      </c>
      <c r="H367" s="12">
        <v>0</v>
      </c>
      <c r="I367" s="12">
        <v>0</v>
      </c>
      <c r="J367" s="12">
        <v>0</v>
      </c>
      <c r="K367" s="12">
        <v>0</v>
      </c>
      <c r="L367" s="12">
        <v>0</v>
      </c>
      <c r="M367" s="12">
        <v>0</v>
      </c>
      <c r="N367" s="12">
        <v>0</v>
      </c>
      <c r="O367" s="12">
        <v>0</v>
      </c>
      <c r="P367" s="12">
        <v>0</v>
      </c>
      <c r="Q367" s="12">
        <v>1</v>
      </c>
      <c r="R367" s="12">
        <v>0</v>
      </c>
      <c r="S367" t="s">
        <v>113</v>
      </c>
    </row>
    <row r="368" spans="1:19" x14ac:dyDescent="0.25">
      <c r="A368" s="13">
        <v>45891.753923611112</v>
      </c>
      <c r="B368" t="s">
        <v>355</v>
      </c>
      <c r="C368" t="s">
        <v>361</v>
      </c>
      <c r="D368" t="s">
        <v>10</v>
      </c>
      <c r="E368" t="s">
        <v>11</v>
      </c>
      <c r="F368" t="s">
        <v>12</v>
      </c>
      <c r="G368">
        <v>10.5</v>
      </c>
      <c r="H368" s="12">
        <v>0</v>
      </c>
      <c r="I368" s="12">
        <v>0</v>
      </c>
      <c r="J368" s="12">
        <v>0</v>
      </c>
      <c r="K368" s="12">
        <v>0</v>
      </c>
      <c r="L368" s="12">
        <v>0</v>
      </c>
      <c r="M368" s="12">
        <v>0</v>
      </c>
      <c r="N368" s="12">
        <v>0</v>
      </c>
      <c r="O368" s="12">
        <v>0</v>
      </c>
      <c r="P368" s="12">
        <v>0</v>
      </c>
      <c r="Q368" s="12">
        <v>0</v>
      </c>
      <c r="R368" s="12">
        <v>1</v>
      </c>
    </row>
    <row r="369" spans="1:19" x14ac:dyDescent="0.25">
      <c r="A369" s="13">
        <v>45892.418715277781</v>
      </c>
      <c r="B369" t="s">
        <v>347</v>
      </c>
      <c r="C369" t="s">
        <v>362</v>
      </c>
      <c r="D369" t="s">
        <v>10</v>
      </c>
      <c r="E369" t="s">
        <v>11</v>
      </c>
      <c r="F369" t="s">
        <v>12</v>
      </c>
      <c r="G369">
        <v>10.5</v>
      </c>
      <c r="H369" s="12">
        <v>0</v>
      </c>
      <c r="I369" s="12">
        <v>0</v>
      </c>
      <c r="J369" s="12">
        <v>0</v>
      </c>
      <c r="K369" s="12">
        <v>0</v>
      </c>
      <c r="L369" s="12">
        <v>0</v>
      </c>
      <c r="M369" s="12">
        <v>0</v>
      </c>
      <c r="N369" s="12">
        <v>0</v>
      </c>
      <c r="O369" s="12">
        <v>0</v>
      </c>
      <c r="P369" s="12">
        <v>1</v>
      </c>
      <c r="Q369" s="12">
        <v>1</v>
      </c>
      <c r="R369" s="12">
        <v>0</v>
      </c>
      <c r="S369" t="s">
        <v>114</v>
      </c>
    </row>
    <row r="370" spans="1:19" x14ac:dyDescent="0.25">
      <c r="A370" s="13">
        <v>45892.48269675926</v>
      </c>
      <c r="B370" t="s">
        <v>354</v>
      </c>
      <c r="C370" t="s">
        <v>362</v>
      </c>
      <c r="D370" t="s">
        <v>10</v>
      </c>
      <c r="E370" t="s">
        <v>11</v>
      </c>
      <c r="F370" t="s">
        <v>14</v>
      </c>
      <c r="G370">
        <v>0.5</v>
      </c>
      <c r="H370" s="12">
        <v>0</v>
      </c>
      <c r="I370" s="12">
        <v>0</v>
      </c>
      <c r="J370" s="12">
        <v>0</v>
      </c>
      <c r="K370" s="12">
        <v>0</v>
      </c>
      <c r="L370" s="12">
        <v>0</v>
      </c>
      <c r="M370" s="12">
        <v>0</v>
      </c>
      <c r="N370" s="12">
        <v>0</v>
      </c>
      <c r="O370" s="12">
        <v>0</v>
      </c>
      <c r="P370" s="12">
        <v>1</v>
      </c>
      <c r="Q370" s="12">
        <v>0</v>
      </c>
      <c r="R370" s="12">
        <v>0</v>
      </c>
      <c r="S370" t="s">
        <v>115</v>
      </c>
    </row>
    <row r="371" spans="1:19" x14ac:dyDescent="0.25">
      <c r="A371" s="13">
        <v>45894.423946759256</v>
      </c>
      <c r="B371" t="s">
        <v>347</v>
      </c>
      <c r="C371" t="s">
        <v>363</v>
      </c>
      <c r="D371" t="s">
        <v>10</v>
      </c>
      <c r="E371" t="s">
        <v>11</v>
      </c>
      <c r="F371" t="s">
        <v>15</v>
      </c>
      <c r="G371">
        <v>3</v>
      </c>
      <c r="H371" s="12">
        <v>0</v>
      </c>
      <c r="I371" s="12">
        <v>0</v>
      </c>
      <c r="J371" s="12">
        <v>0</v>
      </c>
      <c r="K371" s="12">
        <v>0</v>
      </c>
      <c r="L371" s="12">
        <v>0</v>
      </c>
      <c r="M371" s="12">
        <v>0</v>
      </c>
      <c r="N371" s="12">
        <v>0</v>
      </c>
      <c r="O371" s="12">
        <v>1</v>
      </c>
      <c r="P371" s="12">
        <v>0</v>
      </c>
      <c r="Q371" s="12">
        <v>0</v>
      </c>
      <c r="R371" s="12">
        <v>0</v>
      </c>
    </row>
    <row r="372" spans="1:19" x14ac:dyDescent="0.25">
      <c r="A372" s="13">
        <v>45894.464849537035</v>
      </c>
      <c r="B372" t="s">
        <v>354</v>
      </c>
      <c r="C372" t="s">
        <v>363</v>
      </c>
      <c r="D372" t="s">
        <v>10</v>
      </c>
      <c r="E372" t="s">
        <v>11</v>
      </c>
      <c r="F372" t="s">
        <v>12</v>
      </c>
      <c r="G372">
        <v>10.5</v>
      </c>
      <c r="H372" s="12">
        <v>1</v>
      </c>
      <c r="I372" s="12">
        <v>0</v>
      </c>
      <c r="J372" s="12">
        <v>1</v>
      </c>
      <c r="K372" s="12">
        <v>0</v>
      </c>
      <c r="L372" s="12">
        <v>0</v>
      </c>
      <c r="M372" s="12">
        <v>0</v>
      </c>
      <c r="N372" s="12">
        <v>0</v>
      </c>
      <c r="O372" s="12">
        <v>0</v>
      </c>
      <c r="P372" s="12">
        <v>0</v>
      </c>
      <c r="Q372" s="12">
        <v>0</v>
      </c>
      <c r="R372" s="12">
        <v>0</v>
      </c>
    </row>
    <row r="373" spans="1:19" x14ac:dyDescent="0.25">
      <c r="A373" s="13">
        <v>45894.475821759261</v>
      </c>
      <c r="B373" t="s">
        <v>354</v>
      </c>
      <c r="C373" t="s">
        <v>363</v>
      </c>
      <c r="D373" t="s">
        <v>20</v>
      </c>
      <c r="E373" t="s">
        <v>11</v>
      </c>
      <c r="F373" t="s">
        <v>12</v>
      </c>
      <c r="G373">
        <v>10.5</v>
      </c>
      <c r="H373" s="12">
        <v>0</v>
      </c>
      <c r="I373" s="12">
        <v>0</v>
      </c>
      <c r="J373" s="12">
        <v>1</v>
      </c>
      <c r="K373" s="12">
        <v>0</v>
      </c>
      <c r="L373" s="12">
        <v>0</v>
      </c>
      <c r="M373" s="12">
        <v>0</v>
      </c>
      <c r="N373" s="12">
        <v>0</v>
      </c>
      <c r="O373" s="12">
        <v>0</v>
      </c>
      <c r="P373" s="12">
        <v>0</v>
      </c>
      <c r="Q373" s="12">
        <v>0</v>
      </c>
      <c r="R373" s="12">
        <v>1</v>
      </c>
      <c r="S373" t="s">
        <v>116</v>
      </c>
    </row>
    <row r="374" spans="1:19" x14ac:dyDescent="0.25">
      <c r="A374" s="13">
        <v>45894.501886574071</v>
      </c>
      <c r="B374" t="s">
        <v>350</v>
      </c>
      <c r="C374" t="s">
        <v>363</v>
      </c>
      <c r="D374" t="s">
        <v>10</v>
      </c>
      <c r="E374" t="s">
        <v>11</v>
      </c>
      <c r="F374" t="s">
        <v>12</v>
      </c>
      <c r="G374">
        <v>10.5</v>
      </c>
      <c r="H374" s="12">
        <v>0</v>
      </c>
      <c r="I374" s="12">
        <v>0</v>
      </c>
      <c r="J374" s="12">
        <v>0</v>
      </c>
      <c r="K374" s="12">
        <v>0</v>
      </c>
      <c r="L374" s="12">
        <v>1</v>
      </c>
      <c r="M374" s="12">
        <v>0</v>
      </c>
      <c r="N374" s="12">
        <v>0</v>
      </c>
      <c r="O374" s="12">
        <v>0</v>
      </c>
      <c r="P374" s="12">
        <v>1</v>
      </c>
      <c r="Q374" s="12">
        <v>0</v>
      </c>
      <c r="R374" s="12">
        <v>0</v>
      </c>
    </row>
    <row r="375" spans="1:19" x14ac:dyDescent="0.25">
      <c r="A375" s="13">
        <v>45894.502013888887</v>
      </c>
      <c r="B375" t="s">
        <v>350</v>
      </c>
      <c r="C375" t="s">
        <v>363</v>
      </c>
      <c r="D375" t="s">
        <v>10</v>
      </c>
      <c r="E375" t="s">
        <v>11</v>
      </c>
      <c r="F375" t="s">
        <v>14</v>
      </c>
      <c r="G375">
        <v>0.5</v>
      </c>
      <c r="H375" s="12">
        <v>0</v>
      </c>
      <c r="I375" s="12">
        <v>0</v>
      </c>
      <c r="J375" s="12">
        <v>0</v>
      </c>
      <c r="K375" s="12">
        <v>0</v>
      </c>
      <c r="L375" s="12">
        <v>0</v>
      </c>
      <c r="M375" s="12">
        <v>0</v>
      </c>
      <c r="N375" s="12">
        <v>0</v>
      </c>
      <c r="O375" s="12">
        <v>0</v>
      </c>
      <c r="P375" s="12">
        <v>0</v>
      </c>
      <c r="Q375" s="12">
        <v>1</v>
      </c>
      <c r="R375" s="12">
        <v>0</v>
      </c>
    </row>
    <row r="376" spans="1:19" x14ac:dyDescent="0.25">
      <c r="A376" s="13">
        <v>45894.50209490741</v>
      </c>
      <c r="B376" t="s">
        <v>350</v>
      </c>
      <c r="C376" t="s">
        <v>363</v>
      </c>
      <c r="D376" t="s">
        <v>10</v>
      </c>
      <c r="E376" t="s">
        <v>11</v>
      </c>
      <c r="F376" t="s">
        <v>14</v>
      </c>
      <c r="G376">
        <v>0.5</v>
      </c>
      <c r="H376" s="12">
        <v>0</v>
      </c>
      <c r="I376" s="12">
        <v>0</v>
      </c>
      <c r="J376" s="12">
        <v>0</v>
      </c>
      <c r="K376" s="12">
        <v>0</v>
      </c>
      <c r="L376" s="12">
        <v>0</v>
      </c>
      <c r="M376" s="12">
        <v>0</v>
      </c>
      <c r="N376" s="12">
        <v>0</v>
      </c>
      <c r="O376" s="12">
        <v>1</v>
      </c>
      <c r="P376" s="12">
        <v>0</v>
      </c>
      <c r="Q376" s="12">
        <v>0</v>
      </c>
      <c r="R376" s="12">
        <v>0</v>
      </c>
    </row>
    <row r="377" spans="1:19" x14ac:dyDescent="0.25">
      <c r="A377" s="13">
        <v>45894.505740740744</v>
      </c>
      <c r="B377" t="s">
        <v>350</v>
      </c>
      <c r="C377" t="s">
        <v>363</v>
      </c>
      <c r="D377" t="s">
        <v>10</v>
      </c>
      <c r="E377" t="s">
        <v>11</v>
      </c>
      <c r="F377" t="s">
        <v>14</v>
      </c>
      <c r="G377">
        <v>0.5</v>
      </c>
      <c r="H377" s="12">
        <v>0</v>
      </c>
      <c r="I377" s="12">
        <v>0</v>
      </c>
      <c r="J377" s="12">
        <v>0</v>
      </c>
      <c r="K377" s="12">
        <v>0</v>
      </c>
      <c r="L377" s="12">
        <v>0</v>
      </c>
      <c r="M377" s="12">
        <v>0</v>
      </c>
      <c r="N377" s="12">
        <v>0</v>
      </c>
      <c r="O377" s="12">
        <v>0</v>
      </c>
      <c r="P377" s="12">
        <v>0</v>
      </c>
      <c r="Q377" s="12">
        <v>1</v>
      </c>
      <c r="R377" s="12">
        <v>0</v>
      </c>
    </row>
    <row r="378" spans="1:19" x14ac:dyDescent="0.25">
      <c r="A378" s="13">
        <v>45894.506944444445</v>
      </c>
      <c r="B378" t="s">
        <v>350</v>
      </c>
      <c r="C378" t="s">
        <v>363</v>
      </c>
      <c r="D378" t="s">
        <v>10</v>
      </c>
      <c r="E378" t="s">
        <v>11</v>
      </c>
      <c r="F378" t="s">
        <v>14</v>
      </c>
      <c r="G378">
        <v>0.5</v>
      </c>
      <c r="H378" s="12">
        <v>0</v>
      </c>
      <c r="I378" s="12">
        <v>0</v>
      </c>
      <c r="J378" s="12">
        <v>0</v>
      </c>
      <c r="K378" s="12">
        <v>0</v>
      </c>
      <c r="L378" s="12">
        <v>0</v>
      </c>
      <c r="M378" s="12">
        <v>0</v>
      </c>
      <c r="N378" s="12">
        <v>0</v>
      </c>
      <c r="O378" s="12">
        <v>1</v>
      </c>
      <c r="P378" s="12">
        <v>0</v>
      </c>
      <c r="Q378" s="12">
        <v>0</v>
      </c>
      <c r="R378" s="12">
        <v>0</v>
      </c>
    </row>
    <row r="379" spans="1:19" x14ac:dyDescent="0.25">
      <c r="A379" s="13">
        <v>45894.525590277779</v>
      </c>
      <c r="B379" t="s">
        <v>350</v>
      </c>
      <c r="C379" t="s">
        <v>363</v>
      </c>
      <c r="D379" t="s">
        <v>10</v>
      </c>
      <c r="E379" t="s">
        <v>11</v>
      </c>
      <c r="F379" t="s">
        <v>12</v>
      </c>
      <c r="G379">
        <v>10.5</v>
      </c>
      <c r="H379" s="12">
        <v>0</v>
      </c>
      <c r="I379" s="12">
        <v>0</v>
      </c>
      <c r="J379" s="12">
        <v>0</v>
      </c>
      <c r="K379" s="12">
        <v>0</v>
      </c>
      <c r="L379" s="12">
        <v>0</v>
      </c>
      <c r="M379" s="12">
        <v>0</v>
      </c>
      <c r="N379" s="12">
        <v>0</v>
      </c>
      <c r="O379" s="12">
        <v>0</v>
      </c>
      <c r="P379" s="12">
        <v>0</v>
      </c>
      <c r="Q379" s="12">
        <v>0</v>
      </c>
      <c r="R379" s="12">
        <v>1</v>
      </c>
      <c r="S379" t="s">
        <v>117</v>
      </c>
    </row>
    <row r="380" spans="1:19" x14ac:dyDescent="0.25">
      <c r="A380" s="13">
        <v>45894.525706018518</v>
      </c>
      <c r="B380" t="s">
        <v>350</v>
      </c>
      <c r="C380" t="s">
        <v>363</v>
      </c>
      <c r="D380" t="s">
        <v>10</v>
      </c>
      <c r="E380" t="s">
        <v>11</v>
      </c>
      <c r="F380" t="s">
        <v>14</v>
      </c>
      <c r="G380">
        <v>0.5</v>
      </c>
      <c r="H380" s="12">
        <v>0</v>
      </c>
      <c r="I380" s="12">
        <v>0</v>
      </c>
      <c r="J380" s="12">
        <v>0</v>
      </c>
      <c r="K380" s="12">
        <v>0</v>
      </c>
      <c r="L380" s="12">
        <v>0</v>
      </c>
      <c r="M380" s="12">
        <v>0</v>
      </c>
      <c r="N380" s="12">
        <v>0</v>
      </c>
      <c r="O380" s="12">
        <v>1</v>
      </c>
      <c r="P380" s="12">
        <v>0</v>
      </c>
      <c r="Q380" s="12">
        <v>0</v>
      </c>
      <c r="R380" s="12">
        <v>0</v>
      </c>
    </row>
    <row r="381" spans="1:19" x14ac:dyDescent="0.25">
      <c r="A381" s="13">
        <v>45894.541319444441</v>
      </c>
      <c r="B381" t="s">
        <v>350</v>
      </c>
      <c r="C381" t="s">
        <v>363</v>
      </c>
      <c r="D381" t="s">
        <v>10</v>
      </c>
      <c r="E381" t="s">
        <v>11</v>
      </c>
      <c r="F381" t="s">
        <v>12</v>
      </c>
      <c r="G381">
        <v>10.5</v>
      </c>
      <c r="H381" s="12">
        <v>0</v>
      </c>
      <c r="I381" s="12">
        <v>0</v>
      </c>
      <c r="J381" s="12">
        <v>0</v>
      </c>
      <c r="K381" s="12">
        <v>0</v>
      </c>
      <c r="L381" s="12">
        <v>1</v>
      </c>
      <c r="M381" s="12">
        <v>0</v>
      </c>
      <c r="N381" s="12">
        <v>0</v>
      </c>
      <c r="O381" s="12">
        <v>0</v>
      </c>
      <c r="P381" s="12">
        <v>0</v>
      </c>
      <c r="Q381" s="12">
        <v>0</v>
      </c>
      <c r="R381" s="12">
        <v>0</v>
      </c>
    </row>
    <row r="382" spans="1:19" x14ac:dyDescent="0.25">
      <c r="A382" s="13">
        <v>45894.565266203703</v>
      </c>
      <c r="B382" t="s">
        <v>351</v>
      </c>
      <c r="C382" t="s">
        <v>363</v>
      </c>
      <c r="D382" t="s">
        <v>10</v>
      </c>
      <c r="E382" t="s">
        <v>11</v>
      </c>
      <c r="F382" t="s">
        <v>15</v>
      </c>
      <c r="G382">
        <v>3</v>
      </c>
      <c r="H382" s="12">
        <v>1</v>
      </c>
      <c r="I382" s="12">
        <v>0</v>
      </c>
      <c r="J382" s="12">
        <v>1</v>
      </c>
      <c r="K382" s="12">
        <v>0</v>
      </c>
      <c r="L382" s="12">
        <v>0</v>
      </c>
      <c r="M382" s="12">
        <v>0</v>
      </c>
      <c r="N382" s="12">
        <v>0</v>
      </c>
      <c r="O382" s="12">
        <v>0</v>
      </c>
      <c r="P382" s="12">
        <v>0</v>
      </c>
      <c r="Q382" s="12">
        <v>1</v>
      </c>
      <c r="R382" s="12">
        <v>0</v>
      </c>
    </row>
    <row r="383" spans="1:19" x14ac:dyDescent="0.25">
      <c r="A383" s="13">
        <v>45894.565312500003</v>
      </c>
      <c r="B383" t="s">
        <v>351</v>
      </c>
      <c r="C383" t="s">
        <v>363</v>
      </c>
      <c r="D383" t="s">
        <v>10</v>
      </c>
      <c r="E383" t="s">
        <v>11</v>
      </c>
      <c r="F383" t="s">
        <v>15</v>
      </c>
      <c r="G383">
        <v>3</v>
      </c>
      <c r="H383" s="12">
        <v>0</v>
      </c>
      <c r="I383" s="12">
        <v>0</v>
      </c>
      <c r="J383" s="12">
        <v>0</v>
      </c>
      <c r="K383" s="12">
        <v>0</v>
      </c>
      <c r="L383" s="12">
        <v>0</v>
      </c>
      <c r="M383" s="12">
        <v>0</v>
      </c>
      <c r="N383" s="12">
        <v>1</v>
      </c>
      <c r="O383" s="12">
        <v>0</v>
      </c>
      <c r="P383" s="12">
        <v>0</v>
      </c>
      <c r="Q383" s="12">
        <v>0</v>
      </c>
      <c r="R383" s="12">
        <v>0</v>
      </c>
    </row>
    <row r="384" spans="1:19" x14ac:dyDescent="0.25">
      <c r="A384" s="13">
        <v>45894.591226851851</v>
      </c>
      <c r="B384" t="s">
        <v>348</v>
      </c>
      <c r="C384" t="s">
        <v>363</v>
      </c>
      <c r="D384" t="s">
        <v>20</v>
      </c>
      <c r="E384" t="s">
        <v>11</v>
      </c>
      <c r="F384" t="s">
        <v>12</v>
      </c>
      <c r="G384">
        <v>10.5</v>
      </c>
      <c r="H384" s="12">
        <v>0</v>
      </c>
      <c r="I384" s="12">
        <v>0</v>
      </c>
      <c r="J384" s="12">
        <v>0</v>
      </c>
      <c r="K384" s="12">
        <v>0</v>
      </c>
      <c r="L384" s="12">
        <v>0</v>
      </c>
      <c r="M384" s="12">
        <v>0</v>
      </c>
      <c r="N384" s="12">
        <v>0</v>
      </c>
      <c r="O384" s="12">
        <v>0</v>
      </c>
      <c r="P384" s="12">
        <v>0</v>
      </c>
      <c r="Q384" s="12">
        <v>0</v>
      </c>
      <c r="R384" s="12">
        <v>1</v>
      </c>
      <c r="S384" t="s">
        <v>118</v>
      </c>
    </row>
    <row r="385" spans="1:19" x14ac:dyDescent="0.25">
      <c r="A385" s="13">
        <v>45894.609895833331</v>
      </c>
      <c r="B385" t="s">
        <v>348</v>
      </c>
      <c r="C385" t="s">
        <v>363</v>
      </c>
      <c r="D385" t="s">
        <v>20</v>
      </c>
      <c r="E385" t="s">
        <v>11</v>
      </c>
      <c r="F385" t="s">
        <v>12</v>
      </c>
      <c r="G385">
        <v>10.5</v>
      </c>
      <c r="H385" s="12">
        <v>0</v>
      </c>
      <c r="I385" s="12">
        <v>0</v>
      </c>
      <c r="J385" s="12">
        <v>0</v>
      </c>
      <c r="K385" s="12">
        <v>0</v>
      </c>
      <c r="L385" s="12">
        <v>0</v>
      </c>
      <c r="M385" s="12">
        <v>0</v>
      </c>
      <c r="N385" s="12">
        <v>0</v>
      </c>
      <c r="O385" s="12">
        <v>0</v>
      </c>
      <c r="P385" s="12">
        <v>0</v>
      </c>
      <c r="Q385" s="12">
        <v>0</v>
      </c>
      <c r="R385" s="12">
        <v>0</v>
      </c>
      <c r="S385" t="s">
        <v>119</v>
      </c>
    </row>
    <row r="386" spans="1:19" x14ac:dyDescent="0.25">
      <c r="A386" s="13">
        <v>45894.61</v>
      </c>
      <c r="B386" t="s">
        <v>348</v>
      </c>
      <c r="C386" t="s">
        <v>363</v>
      </c>
      <c r="D386" t="s">
        <v>10</v>
      </c>
      <c r="E386" t="s">
        <v>11</v>
      </c>
      <c r="F386" t="s">
        <v>14</v>
      </c>
      <c r="G386">
        <v>0.5</v>
      </c>
      <c r="H386" s="12">
        <v>0</v>
      </c>
      <c r="I386" s="12">
        <v>0</v>
      </c>
      <c r="J386" s="12">
        <v>0</v>
      </c>
      <c r="K386" s="12">
        <v>0</v>
      </c>
      <c r="L386" s="12">
        <v>0</v>
      </c>
      <c r="M386" s="12">
        <v>0</v>
      </c>
      <c r="N386" s="12">
        <v>0</v>
      </c>
      <c r="O386" s="12">
        <v>0</v>
      </c>
      <c r="P386" s="12">
        <v>0</v>
      </c>
      <c r="Q386" s="12">
        <v>1</v>
      </c>
      <c r="R386" s="12">
        <v>0</v>
      </c>
      <c r="S386" t="s">
        <v>120</v>
      </c>
    </row>
    <row r="387" spans="1:19" x14ac:dyDescent="0.25">
      <c r="A387" s="13">
        <v>45894.625474537039</v>
      </c>
      <c r="B387" t="s">
        <v>349</v>
      </c>
      <c r="C387" t="s">
        <v>363</v>
      </c>
      <c r="D387" t="s">
        <v>10</v>
      </c>
      <c r="E387" t="s">
        <v>11</v>
      </c>
      <c r="F387" t="s">
        <v>14</v>
      </c>
      <c r="G387">
        <v>0.5</v>
      </c>
      <c r="H387" s="12">
        <v>0</v>
      </c>
      <c r="I387" s="12">
        <v>0</v>
      </c>
      <c r="J387" s="12">
        <v>0</v>
      </c>
      <c r="K387" s="12">
        <v>0</v>
      </c>
      <c r="L387" s="12">
        <v>0</v>
      </c>
      <c r="M387" s="12">
        <v>0</v>
      </c>
      <c r="N387" s="12">
        <v>0</v>
      </c>
      <c r="O387" s="12">
        <v>0</v>
      </c>
      <c r="P387" s="12">
        <v>0</v>
      </c>
      <c r="Q387" s="12">
        <v>1</v>
      </c>
      <c r="R387" s="12">
        <v>0</v>
      </c>
      <c r="S387" t="s">
        <v>121</v>
      </c>
    </row>
    <row r="388" spans="1:19" x14ac:dyDescent="0.25">
      <c r="A388" s="13">
        <v>45894.635659722226</v>
      </c>
      <c r="B388" t="s">
        <v>349</v>
      </c>
      <c r="C388" t="s">
        <v>363</v>
      </c>
      <c r="D388" t="s">
        <v>10</v>
      </c>
      <c r="E388" t="s">
        <v>11</v>
      </c>
      <c r="F388" t="s">
        <v>15</v>
      </c>
      <c r="G388">
        <v>3</v>
      </c>
      <c r="H388" s="12">
        <v>0</v>
      </c>
      <c r="I388" s="12">
        <v>0</v>
      </c>
      <c r="J388" s="12">
        <v>0</v>
      </c>
      <c r="K388" s="12">
        <v>0</v>
      </c>
      <c r="L388" s="12">
        <v>0</v>
      </c>
      <c r="M388" s="12">
        <v>0</v>
      </c>
      <c r="N388" s="12">
        <v>1</v>
      </c>
      <c r="O388" s="12">
        <v>0</v>
      </c>
      <c r="P388" s="12">
        <v>0</v>
      </c>
      <c r="Q388" s="12">
        <v>0</v>
      </c>
      <c r="R388" s="12">
        <v>0</v>
      </c>
    </row>
    <row r="389" spans="1:19" x14ac:dyDescent="0.25">
      <c r="A389" s="13">
        <v>45894.644756944443</v>
      </c>
      <c r="B389" t="s">
        <v>349</v>
      </c>
      <c r="C389" t="s">
        <v>363</v>
      </c>
      <c r="D389" t="s">
        <v>10</v>
      </c>
      <c r="E389" t="s">
        <v>11</v>
      </c>
      <c r="F389" t="s">
        <v>15</v>
      </c>
      <c r="G389">
        <v>3</v>
      </c>
      <c r="H389" s="12">
        <v>0</v>
      </c>
      <c r="I389" s="12">
        <v>1</v>
      </c>
      <c r="J389" s="12">
        <v>0</v>
      </c>
      <c r="K389" s="12">
        <v>0</v>
      </c>
      <c r="L389" s="12">
        <v>0</v>
      </c>
      <c r="M389" s="12">
        <v>0</v>
      </c>
      <c r="N389" s="12">
        <v>0</v>
      </c>
      <c r="O389" s="12">
        <v>0</v>
      </c>
      <c r="P389" s="12">
        <v>0</v>
      </c>
      <c r="Q389" s="12">
        <v>0</v>
      </c>
      <c r="R389" s="12">
        <v>0</v>
      </c>
      <c r="S389" t="s">
        <v>122</v>
      </c>
    </row>
    <row r="390" spans="1:19" x14ac:dyDescent="0.25">
      <c r="A390" s="13">
        <v>45894.647511574076</v>
      </c>
      <c r="B390" t="s">
        <v>349</v>
      </c>
      <c r="C390" t="s">
        <v>363</v>
      </c>
      <c r="D390" t="s">
        <v>10</v>
      </c>
      <c r="E390" t="s">
        <v>11</v>
      </c>
      <c r="F390" t="s">
        <v>14</v>
      </c>
      <c r="G390">
        <v>0.5</v>
      </c>
      <c r="H390" s="12">
        <v>1</v>
      </c>
      <c r="I390" s="12">
        <v>0</v>
      </c>
      <c r="J390" s="12">
        <v>1</v>
      </c>
      <c r="K390" s="12">
        <v>0</v>
      </c>
      <c r="L390" s="12">
        <v>0</v>
      </c>
      <c r="M390" s="12">
        <v>0</v>
      </c>
      <c r="N390" s="12">
        <v>0</v>
      </c>
      <c r="O390" s="12">
        <v>0</v>
      </c>
      <c r="P390" s="12">
        <v>0</v>
      </c>
      <c r="Q390" s="12">
        <v>0</v>
      </c>
      <c r="R390" s="12">
        <v>0</v>
      </c>
    </row>
    <row r="391" spans="1:19" x14ac:dyDescent="0.25">
      <c r="A391" s="13">
        <v>45894.653726851851</v>
      </c>
      <c r="B391" t="s">
        <v>349</v>
      </c>
      <c r="C391" t="s">
        <v>363</v>
      </c>
      <c r="D391" t="s">
        <v>10</v>
      </c>
      <c r="E391" t="s">
        <v>11</v>
      </c>
      <c r="F391" t="s">
        <v>15</v>
      </c>
      <c r="G391">
        <v>3</v>
      </c>
      <c r="H391" s="12">
        <v>0</v>
      </c>
      <c r="I391" s="12">
        <v>0</v>
      </c>
      <c r="J391" s="12">
        <v>0</v>
      </c>
      <c r="K391" s="12">
        <v>0</v>
      </c>
      <c r="L391" s="12">
        <v>0</v>
      </c>
      <c r="M391" s="12">
        <v>0</v>
      </c>
      <c r="N391" s="12">
        <v>0</v>
      </c>
      <c r="O391" s="12">
        <v>1</v>
      </c>
      <c r="P391" s="12">
        <v>0</v>
      </c>
      <c r="Q391" s="12">
        <v>0</v>
      </c>
      <c r="R391" s="12">
        <v>0</v>
      </c>
      <c r="S391" t="s">
        <v>123</v>
      </c>
    </row>
    <row r="392" spans="1:19" x14ac:dyDescent="0.25">
      <c r="A392" s="13">
        <v>45894.658356481479</v>
      </c>
      <c r="B392" t="s">
        <v>349</v>
      </c>
      <c r="C392" t="s">
        <v>363</v>
      </c>
      <c r="D392" t="s">
        <v>10</v>
      </c>
      <c r="E392" t="s">
        <v>11</v>
      </c>
      <c r="F392" t="s">
        <v>15</v>
      </c>
      <c r="G392">
        <v>3</v>
      </c>
      <c r="H392" s="12">
        <v>0</v>
      </c>
      <c r="I392" s="12">
        <v>1</v>
      </c>
      <c r="J392" s="12">
        <v>0</v>
      </c>
      <c r="K392" s="12">
        <v>0</v>
      </c>
      <c r="L392" s="12">
        <v>0</v>
      </c>
      <c r="M392" s="12">
        <v>0</v>
      </c>
      <c r="N392" s="12">
        <v>0</v>
      </c>
      <c r="O392" s="12">
        <v>0</v>
      </c>
      <c r="P392" s="12">
        <v>0</v>
      </c>
      <c r="Q392" s="12">
        <v>0</v>
      </c>
      <c r="R392" s="12">
        <v>0</v>
      </c>
      <c r="S392" t="s">
        <v>124</v>
      </c>
    </row>
    <row r="393" spans="1:19" x14ac:dyDescent="0.25">
      <c r="A393" s="13">
        <v>45894.718819444446</v>
      </c>
      <c r="B393" t="s">
        <v>355</v>
      </c>
      <c r="C393" t="s">
        <v>363</v>
      </c>
      <c r="D393" t="s">
        <v>10</v>
      </c>
      <c r="E393" t="s">
        <v>11</v>
      </c>
      <c r="F393" t="s">
        <v>15</v>
      </c>
      <c r="G393">
        <v>3</v>
      </c>
      <c r="H393" s="12">
        <v>0</v>
      </c>
      <c r="I393" s="12">
        <v>0</v>
      </c>
      <c r="J393" s="12">
        <v>0</v>
      </c>
      <c r="K393" s="12">
        <v>0</v>
      </c>
      <c r="L393" s="12">
        <v>0</v>
      </c>
      <c r="M393" s="12">
        <v>0</v>
      </c>
      <c r="N393" s="12">
        <v>0</v>
      </c>
      <c r="O393" s="12">
        <v>0</v>
      </c>
      <c r="P393" s="12">
        <v>1</v>
      </c>
      <c r="Q393" s="12">
        <v>0</v>
      </c>
      <c r="R393" s="12">
        <v>0</v>
      </c>
    </row>
    <row r="394" spans="1:19" x14ac:dyDescent="0.25">
      <c r="A394" s="13">
        <v>45894.719004629631</v>
      </c>
      <c r="B394" t="s">
        <v>355</v>
      </c>
      <c r="C394" t="s">
        <v>363</v>
      </c>
      <c r="D394" t="s">
        <v>10</v>
      </c>
      <c r="E394" t="s">
        <v>11</v>
      </c>
      <c r="F394" t="s">
        <v>15</v>
      </c>
      <c r="G394">
        <v>3</v>
      </c>
      <c r="H394" s="12">
        <v>0</v>
      </c>
      <c r="I394" s="12">
        <v>0</v>
      </c>
      <c r="J394" s="12">
        <v>0</v>
      </c>
      <c r="K394" s="12">
        <v>0</v>
      </c>
      <c r="L394" s="12">
        <v>0</v>
      </c>
      <c r="M394" s="12">
        <v>0</v>
      </c>
      <c r="N394" s="12">
        <v>1</v>
      </c>
      <c r="O394" s="12">
        <v>0</v>
      </c>
      <c r="P394" s="12">
        <v>0</v>
      </c>
      <c r="Q394" s="12">
        <v>0</v>
      </c>
      <c r="R394" s="12">
        <v>0</v>
      </c>
    </row>
    <row r="395" spans="1:19" x14ac:dyDescent="0.25">
      <c r="A395" s="13">
        <v>45894.719097222223</v>
      </c>
      <c r="B395" t="s">
        <v>355</v>
      </c>
      <c r="C395" t="s">
        <v>363</v>
      </c>
      <c r="D395" t="s">
        <v>10</v>
      </c>
      <c r="E395" t="s">
        <v>11</v>
      </c>
      <c r="F395" t="s">
        <v>15</v>
      </c>
      <c r="G395">
        <v>3</v>
      </c>
      <c r="H395" s="12">
        <v>0</v>
      </c>
      <c r="I395" s="12">
        <v>0</v>
      </c>
      <c r="J395" s="12">
        <v>0</v>
      </c>
      <c r="K395" s="12">
        <v>0</v>
      </c>
      <c r="L395" s="12">
        <v>0</v>
      </c>
      <c r="M395" s="12">
        <v>0</v>
      </c>
      <c r="N395" s="12">
        <v>1</v>
      </c>
      <c r="O395" s="12">
        <v>0</v>
      </c>
      <c r="P395" s="12">
        <v>0</v>
      </c>
      <c r="Q395" s="12">
        <v>0</v>
      </c>
      <c r="R395" s="12">
        <v>0</v>
      </c>
    </row>
    <row r="396" spans="1:19" x14ac:dyDescent="0.25">
      <c r="A396" s="13">
        <v>45894.719571759262</v>
      </c>
      <c r="B396" t="s">
        <v>355</v>
      </c>
      <c r="C396" t="s">
        <v>363</v>
      </c>
      <c r="D396" t="s">
        <v>10</v>
      </c>
      <c r="E396" t="s">
        <v>11</v>
      </c>
      <c r="F396" t="s">
        <v>14</v>
      </c>
      <c r="G396">
        <v>0.5</v>
      </c>
      <c r="H396" s="12">
        <v>0</v>
      </c>
      <c r="I396" s="12">
        <v>0</v>
      </c>
      <c r="J396" s="12">
        <v>0</v>
      </c>
      <c r="K396" s="12">
        <v>0</v>
      </c>
      <c r="L396" s="12">
        <v>0</v>
      </c>
      <c r="M396" s="12">
        <v>0</v>
      </c>
      <c r="N396" s="12">
        <v>0</v>
      </c>
      <c r="O396" s="12">
        <v>0</v>
      </c>
      <c r="P396" s="12">
        <v>1</v>
      </c>
      <c r="Q396" s="12">
        <v>0</v>
      </c>
      <c r="R396" s="12">
        <v>0</v>
      </c>
      <c r="S396" t="s">
        <v>125</v>
      </c>
    </row>
    <row r="397" spans="1:19" x14ac:dyDescent="0.25">
      <c r="A397" s="13">
        <v>45895.556203703702</v>
      </c>
      <c r="B397" t="s">
        <v>351</v>
      </c>
      <c r="C397" t="s">
        <v>358</v>
      </c>
      <c r="D397" t="s">
        <v>10</v>
      </c>
      <c r="E397" t="s">
        <v>17</v>
      </c>
      <c r="F397" t="s">
        <v>14</v>
      </c>
      <c r="G397">
        <v>0.5</v>
      </c>
      <c r="H397" s="12">
        <v>0</v>
      </c>
      <c r="I397" s="12">
        <v>0</v>
      </c>
      <c r="J397" s="12">
        <v>0</v>
      </c>
      <c r="K397" s="12">
        <v>0</v>
      </c>
      <c r="L397" s="12">
        <v>0</v>
      </c>
      <c r="M397" s="12">
        <v>0</v>
      </c>
      <c r="N397" s="12">
        <v>0</v>
      </c>
      <c r="O397" s="12">
        <v>1</v>
      </c>
      <c r="P397" s="12">
        <v>0</v>
      </c>
      <c r="Q397" s="12">
        <v>0</v>
      </c>
      <c r="R397" s="12">
        <v>0</v>
      </c>
      <c r="S397" t="s">
        <v>126</v>
      </c>
    </row>
    <row r="398" spans="1:19" x14ac:dyDescent="0.25">
      <c r="A398" s="13">
        <v>45895.565069444441</v>
      </c>
      <c r="B398" t="s">
        <v>351</v>
      </c>
      <c r="C398" t="s">
        <v>358</v>
      </c>
      <c r="D398" t="s">
        <v>10</v>
      </c>
      <c r="E398" t="s">
        <v>17</v>
      </c>
      <c r="F398" t="s">
        <v>14</v>
      </c>
      <c r="G398">
        <v>0.5</v>
      </c>
      <c r="H398" s="12">
        <v>0</v>
      </c>
      <c r="I398" s="12">
        <v>0</v>
      </c>
      <c r="J398" s="12">
        <v>0</v>
      </c>
      <c r="K398" s="12">
        <v>0</v>
      </c>
      <c r="L398" s="12">
        <v>0</v>
      </c>
      <c r="M398" s="12">
        <v>0</v>
      </c>
      <c r="N398" s="12">
        <v>0</v>
      </c>
      <c r="O398" s="12">
        <v>1</v>
      </c>
      <c r="P398" s="12">
        <v>0</v>
      </c>
      <c r="Q398" s="12">
        <v>0</v>
      </c>
      <c r="R398" s="12">
        <v>0</v>
      </c>
      <c r="S398" t="s">
        <v>127</v>
      </c>
    </row>
    <row r="399" spans="1:19" x14ac:dyDescent="0.25">
      <c r="A399" s="13">
        <v>45895.568784722222</v>
      </c>
      <c r="B399" t="s">
        <v>351</v>
      </c>
      <c r="C399" t="s">
        <v>358</v>
      </c>
      <c r="D399" t="s">
        <v>10</v>
      </c>
      <c r="E399" t="s">
        <v>17</v>
      </c>
      <c r="F399" t="s">
        <v>14</v>
      </c>
      <c r="G399">
        <v>0.5</v>
      </c>
      <c r="H399" s="12">
        <v>0</v>
      </c>
      <c r="I399" s="12">
        <v>0</v>
      </c>
      <c r="J399" s="12">
        <v>0</v>
      </c>
      <c r="K399" s="12">
        <v>0</v>
      </c>
      <c r="L399" s="12">
        <v>0</v>
      </c>
      <c r="M399" s="12">
        <v>0</v>
      </c>
      <c r="N399" s="12">
        <v>0</v>
      </c>
      <c r="O399" s="12">
        <v>0</v>
      </c>
      <c r="P399" s="12">
        <v>0</v>
      </c>
      <c r="Q399" s="12">
        <v>0</v>
      </c>
      <c r="R399" s="12">
        <v>1</v>
      </c>
      <c r="S399" t="s">
        <v>128</v>
      </c>
    </row>
    <row r="400" spans="1:19" x14ac:dyDescent="0.25">
      <c r="A400" s="13">
        <v>45895.604768518519</v>
      </c>
      <c r="B400" t="s">
        <v>348</v>
      </c>
      <c r="C400" t="s">
        <v>358</v>
      </c>
      <c r="D400" t="s">
        <v>10</v>
      </c>
      <c r="E400" t="s">
        <v>11</v>
      </c>
      <c r="F400" t="s">
        <v>14</v>
      </c>
      <c r="G400">
        <v>0.5</v>
      </c>
      <c r="H400" s="12">
        <v>0</v>
      </c>
      <c r="I400" s="12">
        <v>0</v>
      </c>
      <c r="J400" s="12">
        <v>0</v>
      </c>
      <c r="K400" s="12">
        <v>0</v>
      </c>
      <c r="L400" s="12">
        <v>0</v>
      </c>
      <c r="M400" s="12">
        <v>0</v>
      </c>
      <c r="N400" s="12">
        <v>0</v>
      </c>
      <c r="O400" s="12">
        <v>0</v>
      </c>
      <c r="P400" s="12">
        <v>0</v>
      </c>
      <c r="Q400" s="12">
        <v>1</v>
      </c>
      <c r="R400" s="12">
        <v>0</v>
      </c>
    </row>
    <row r="401" spans="1:19" x14ac:dyDescent="0.25">
      <c r="A401" s="13">
        <v>45896.506597222222</v>
      </c>
      <c r="B401" t="s">
        <v>350</v>
      </c>
      <c r="C401" t="s">
        <v>359</v>
      </c>
      <c r="D401" t="s">
        <v>20</v>
      </c>
      <c r="E401" t="s">
        <v>11</v>
      </c>
      <c r="F401" t="s">
        <v>12</v>
      </c>
      <c r="G401">
        <v>10.5</v>
      </c>
      <c r="H401" s="12">
        <v>1</v>
      </c>
      <c r="I401" s="12">
        <v>0</v>
      </c>
      <c r="J401" s="12">
        <v>1</v>
      </c>
      <c r="K401" s="12">
        <v>0</v>
      </c>
      <c r="L401" s="12">
        <v>0</v>
      </c>
      <c r="M401" s="12">
        <v>0</v>
      </c>
      <c r="N401" s="12">
        <v>0</v>
      </c>
      <c r="O401" s="12">
        <v>0</v>
      </c>
      <c r="P401" s="12">
        <v>0</v>
      </c>
      <c r="Q401" s="12">
        <v>0</v>
      </c>
      <c r="R401" s="12">
        <v>0</v>
      </c>
    </row>
    <row r="402" spans="1:19" x14ac:dyDescent="0.25">
      <c r="A402" s="13">
        <v>45896.50675925926</v>
      </c>
      <c r="B402" t="s">
        <v>350</v>
      </c>
      <c r="C402" t="s">
        <v>359</v>
      </c>
      <c r="D402" t="s">
        <v>10</v>
      </c>
      <c r="E402" t="s">
        <v>11</v>
      </c>
      <c r="F402" t="s">
        <v>12</v>
      </c>
      <c r="G402">
        <v>10.5</v>
      </c>
      <c r="H402" s="12">
        <v>0</v>
      </c>
      <c r="I402" s="12">
        <v>0</v>
      </c>
      <c r="J402" s="12">
        <v>0</v>
      </c>
      <c r="K402" s="12">
        <v>0</v>
      </c>
      <c r="L402" s="12">
        <v>0</v>
      </c>
      <c r="M402" s="12">
        <v>0</v>
      </c>
      <c r="N402" s="12">
        <v>0</v>
      </c>
      <c r="O402" s="12">
        <v>0</v>
      </c>
      <c r="P402" s="12">
        <v>1</v>
      </c>
      <c r="Q402" s="12">
        <v>0</v>
      </c>
      <c r="R402" s="12">
        <v>0</v>
      </c>
    </row>
    <row r="403" spans="1:19" x14ac:dyDescent="0.25">
      <c r="A403" s="13">
        <v>45896.54996527778</v>
      </c>
      <c r="B403" t="s">
        <v>351</v>
      </c>
      <c r="C403" t="s">
        <v>359</v>
      </c>
      <c r="D403" t="s">
        <v>10</v>
      </c>
      <c r="E403" t="s">
        <v>17</v>
      </c>
      <c r="F403" t="s">
        <v>15</v>
      </c>
      <c r="G403">
        <v>3</v>
      </c>
      <c r="H403" s="12">
        <v>0</v>
      </c>
      <c r="I403" s="12">
        <v>0</v>
      </c>
      <c r="J403" s="12">
        <v>0</v>
      </c>
      <c r="K403" s="12">
        <v>0</v>
      </c>
      <c r="L403" s="12">
        <v>0</v>
      </c>
      <c r="M403" s="12">
        <v>0</v>
      </c>
      <c r="N403" s="12">
        <v>1</v>
      </c>
      <c r="O403" s="12">
        <v>0</v>
      </c>
      <c r="P403" s="12">
        <v>0</v>
      </c>
      <c r="Q403" s="12">
        <v>0</v>
      </c>
      <c r="R403" s="12">
        <v>0</v>
      </c>
    </row>
    <row r="404" spans="1:19" x14ac:dyDescent="0.25">
      <c r="A404" s="13">
        <v>45896.583796296298</v>
      </c>
      <c r="B404" t="s">
        <v>348</v>
      </c>
      <c r="C404" t="s">
        <v>359</v>
      </c>
      <c r="D404" t="s">
        <v>20</v>
      </c>
      <c r="E404" t="s">
        <v>11</v>
      </c>
      <c r="F404" t="s">
        <v>12</v>
      </c>
      <c r="G404">
        <v>10.5</v>
      </c>
      <c r="H404" s="12">
        <v>0</v>
      </c>
      <c r="I404" s="12">
        <v>0</v>
      </c>
      <c r="J404" s="12">
        <v>0</v>
      </c>
      <c r="K404" s="12">
        <v>0</v>
      </c>
      <c r="L404" s="12">
        <v>0</v>
      </c>
      <c r="M404" s="12">
        <v>0</v>
      </c>
      <c r="N404" s="12">
        <v>0</v>
      </c>
      <c r="O404" s="12">
        <v>0</v>
      </c>
      <c r="P404" s="12">
        <v>0</v>
      </c>
      <c r="Q404" s="12">
        <v>0</v>
      </c>
      <c r="R404" s="12">
        <v>1</v>
      </c>
      <c r="S404" t="s">
        <v>129</v>
      </c>
    </row>
    <row r="405" spans="1:19" x14ac:dyDescent="0.25">
      <c r="A405" s="13">
        <v>45896.749768518515</v>
      </c>
      <c r="B405" t="s">
        <v>355</v>
      </c>
      <c r="C405" t="s">
        <v>359</v>
      </c>
      <c r="D405" t="s">
        <v>10</v>
      </c>
      <c r="E405" t="s">
        <v>11</v>
      </c>
      <c r="F405" t="s">
        <v>15</v>
      </c>
      <c r="G405">
        <v>3</v>
      </c>
      <c r="H405" s="12">
        <v>0</v>
      </c>
      <c r="I405" s="12">
        <v>0</v>
      </c>
      <c r="J405" s="12">
        <v>0</v>
      </c>
      <c r="K405" s="12">
        <v>0</v>
      </c>
      <c r="L405" s="12">
        <v>1</v>
      </c>
      <c r="M405" s="12">
        <v>0</v>
      </c>
      <c r="N405" s="12">
        <v>0</v>
      </c>
      <c r="O405" s="12">
        <v>0</v>
      </c>
      <c r="P405" s="12">
        <v>0</v>
      </c>
      <c r="Q405" s="12">
        <v>0</v>
      </c>
      <c r="R405" s="12">
        <v>0</v>
      </c>
    </row>
    <row r="406" spans="1:19" x14ac:dyDescent="0.25">
      <c r="A406" s="13">
        <v>45896.749861111108</v>
      </c>
      <c r="B406" t="s">
        <v>355</v>
      </c>
      <c r="C406" t="s">
        <v>359</v>
      </c>
      <c r="D406" t="s">
        <v>10</v>
      </c>
      <c r="E406" t="s">
        <v>11</v>
      </c>
      <c r="F406" t="s">
        <v>14</v>
      </c>
      <c r="G406">
        <v>0.5</v>
      </c>
      <c r="H406" s="12">
        <v>0</v>
      </c>
      <c r="I406" s="12">
        <v>0</v>
      </c>
      <c r="J406" s="12">
        <v>0</v>
      </c>
      <c r="K406" s="12">
        <v>0</v>
      </c>
      <c r="L406" s="12">
        <v>0</v>
      </c>
      <c r="M406" s="12">
        <v>0</v>
      </c>
      <c r="N406" s="12">
        <v>0</v>
      </c>
      <c r="O406" s="12">
        <v>0</v>
      </c>
      <c r="P406" s="12">
        <v>1</v>
      </c>
      <c r="Q406" s="12">
        <v>0</v>
      </c>
      <c r="R406" s="12">
        <v>0</v>
      </c>
    </row>
    <row r="407" spans="1:19" x14ac:dyDescent="0.25">
      <c r="A407" s="13">
        <v>45896.750625000001</v>
      </c>
      <c r="B407" t="s">
        <v>355</v>
      </c>
      <c r="C407" t="s">
        <v>359</v>
      </c>
      <c r="D407" t="s">
        <v>10</v>
      </c>
      <c r="E407" t="s">
        <v>11</v>
      </c>
      <c r="F407" t="s">
        <v>15</v>
      </c>
      <c r="G407">
        <v>3</v>
      </c>
      <c r="H407" s="12">
        <v>1</v>
      </c>
      <c r="I407" s="12">
        <v>0</v>
      </c>
      <c r="J407" s="12">
        <v>1</v>
      </c>
      <c r="K407" s="12">
        <v>0</v>
      </c>
      <c r="L407" s="12">
        <v>0</v>
      </c>
      <c r="M407" s="12">
        <v>0</v>
      </c>
      <c r="N407" s="12">
        <v>0</v>
      </c>
      <c r="O407" s="12">
        <v>0</v>
      </c>
      <c r="P407" s="12">
        <v>0</v>
      </c>
      <c r="Q407" s="12">
        <v>0</v>
      </c>
      <c r="R407" s="12">
        <v>0</v>
      </c>
    </row>
    <row r="408" spans="1:19" x14ac:dyDescent="0.25">
      <c r="A408" s="13">
        <v>45897.407465277778</v>
      </c>
      <c r="B408" t="s">
        <v>352</v>
      </c>
      <c r="C408" t="s">
        <v>360</v>
      </c>
      <c r="D408" t="s">
        <v>10</v>
      </c>
      <c r="E408" t="s">
        <v>11</v>
      </c>
      <c r="F408" t="s">
        <v>14</v>
      </c>
      <c r="G408">
        <v>0.5</v>
      </c>
      <c r="H408" s="12">
        <v>0</v>
      </c>
      <c r="I408" s="12">
        <v>0</v>
      </c>
      <c r="J408" s="12">
        <v>0</v>
      </c>
      <c r="K408" s="12">
        <v>0</v>
      </c>
      <c r="L408" s="12">
        <v>0</v>
      </c>
      <c r="M408" s="12">
        <v>0</v>
      </c>
      <c r="N408" s="12">
        <v>1</v>
      </c>
      <c r="O408" s="12">
        <v>0</v>
      </c>
      <c r="P408" s="12">
        <v>0</v>
      </c>
      <c r="Q408" s="12">
        <v>0</v>
      </c>
      <c r="R408" s="12">
        <v>0</v>
      </c>
    </row>
    <row r="409" spans="1:19" x14ac:dyDescent="0.25">
      <c r="A409" s="13">
        <v>45897.453877314816</v>
      </c>
      <c r="B409" t="s">
        <v>347</v>
      </c>
      <c r="C409" t="s">
        <v>360</v>
      </c>
      <c r="D409" t="s">
        <v>10</v>
      </c>
      <c r="E409" t="s">
        <v>11</v>
      </c>
      <c r="F409" t="s">
        <v>12</v>
      </c>
      <c r="G409">
        <v>10.5</v>
      </c>
      <c r="H409" s="12">
        <v>0</v>
      </c>
      <c r="I409" s="12">
        <v>0</v>
      </c>
      <c r="J409" s="12">
        <v>0</v>
      </c>
      <c r="K409" s="12">
        <v>0</v>
      </c>
      <c r="L409" s="12">
        <v>0</v>
      </c>
      <c r="M409" s="12">
        <v>0</v>
      </c>
      <c r="N409" s="12">
        <v>0</v>
      </c>
      <c r="O409" s="12">
        <v>1</v>
      </c>
      <c r="P409" s="12">
        <v>0</v>
      </c>
      <c r="Q409" s="12">
        <v>0</v>
      </c>
      <c r="R409" s="12">
        <v>0</v>
      </c>
    </row>
    <row r="410" spans="1:19" x14ac:dyDescent="0.25">
      <c r="A410" s="13">
        <v>45897.541400462964</v>
      </c>
      <c r="B410" t="s">
        <v>350</v>
      </c>
      <c r="C410" t="s">
        <v>360</v>
      </c>
      <c r="D410" t="s">
        <v>10</v>
      </c>
      <c r="E410" t="s">
        <v>11</v>
      </c>
      <c r="F410" t="s">
        <v>12</v>
      </c>
      <c r="G410">
        <v>10.5</v>
      </c>
      <c r="H410" s="12">
        <v>0</v>
      </c>
      <c r="I410" s="12">
        <v>0</v>
      </c>
      <c r="J410" s="12">
        <v>0</v>
      </c>
      <c r="K410" s="12">
        <v>0</v>
      </c>
      <c r="L410" s="12">
        <v>1</v>
      </c>
      <c r="M410" s="12">
        <v>0</v>
      </c>
      <c r="N410" s="12">
        <v>0</v>
      </c>
      <c r="O410" s="12">
        <v>0</v>
      </c>
      <c r="P410" s="12">
        <v>1</v>
      </c>
      <c r="Q410" s="12">
        <v>0</v>
      </c>
      <c r="R410" s="12">
        <v>0</v>
      </c>
    </row>
    <row r="411" spans="1:19" x14ac:dyDescent="0.25">
      <c r="A411" s="13">
        <v>45897.624201388891</v>
      </c>
      <c r="B411" t="s">
        <v>348</v>
      </c>
      <c r="C411" t="s">
        <v>360</v>
      </c>
      <c r="D411" t="s">
        <v>10</v>
      </c>
      <c r="E411" t="s">
        <v>11</v>
      </c>
      <c r="F411" t="s">
        <v>15</v>
      </c>
      <c r="G411">
        <v>3</v>
      </c>
      <c r="H411" s="12">
        <v>0</v>
      </c>
      <c r="I411" s="12">
        <v>0</v>
      </c>
      <c r="J411" s="12">
        <v>1</v>
      </c>
      <c r="K411" s="12">
        <v>0</v>
      </c>
      <c r="L411" s="12">
        <v>1</v>
      </c>
      <c r="M411" s="12">
        <v>0</v>
      </c>
      <c r="N411" s="12">
        <v>0</v>
      </c>
      <c r="O411" s="12">
        <v>0</v>
      </c>
      <c r="P411" s="12">
        <v>0</v>
      </c>
      <c r="Q411" s="12">
        <v>0</v>
      </c>
      <c r="R411" s="12">
        <v>0</v>
      </c>
    </row>
    <row r="412" spans="1:19" x14ac:dyDescent="0.25">
      <c r="A412" s="13">
        <v>45897.624525462961</v>
      </c>
      <c r="B412" t="s">
        <v>348</v>
      </c>
      <c r="C412" t="s">
        <v>360</v>
      </c>
      <c r="D412" t="s">
        <v>20</v>
      </c>
      <c r="E412" t="s">
        <v>11</v>
      </c>
      <c r="F412" t="s">
        <v>12</v>
      </c>
      <c r="G412">
        <v>10.5</v>
      </c>
      <c r="H412" s="12">
        <v>0</v>
      </c>
      <c r="I412" s="12">
        <v>0</v>
      </c>
      <c r="J412" s="12">
        <v>0</v>
      </c>
      <c r="K412" s="12">
        <v>0</v>
      </c>
      <c r="L412" s="12">
        <v>0</v>
      </c>
      <c r="M412" s="12">
        <v>0</v>
      </c>
      <c r="N412" s="12">
        <v>0</v>
      </c>
      <c r="O412" s="12">
        <v>0</v>
      </c>
      <c r="P412" s="12">
        <v>0</v>
      </c>
      <c r="Q412" s="12">
        <v>1</v>
      </c>
      <c r="R412" s="12">
        <v>0</v>
      </c>
      <c r="S412" t="s">
        <v>130</v>
      </c>
    </row>
    <row r="413" spans="1:19" x14ac:dyDescent="0.25">
      <c r="A413" s="13">
        <v>45897.624664351853</v>
      </c>
      <c r="B413" t="s">
        <v>348</v>
      </c>
      <c r="C413" t="s">
        <v>360</v>
      </c>
      <c r="D413" t="s">
        <v>10</v>
      </c>
      <c r="E413" t="s">
        <v>11</v>
      </c>
      <c r="F413" t="s">
        <v>15</v>
      </c>
      <c r="G413">
        <v>3</v>
      </c>
      <c r="H413" s="12">
        <v>0</v>
      </c>
      <c r="I413" s="12">
        <v>0</v>
      </c>
      <c r="J413" s="12">
        <v>0</v>
      </c>
      <c r="K413" s="12">
        <v>0</v>
      </c>
      <c r="L413" s="12">
        <v>0</v>
      </c>
      <c r="M413" s="12">
        <v>0</v>
      </c>
      <c r="N413" s="12">
        <v>1</v>
      </c>
      <c r="O413" s="12">
        <v>0</v>
      </c>
      <c r="P413" s="12">
        <v>0</v>
      </c>
      <c r="Q413" s="12">
        <v>0</v>
      </c>
      <c r="R413" s="12">
        <v>0</v>
      </c>
    </row>
    <row r="414" spans="1:19" x14ac:dyDescent="0.25">
      <c r="A414" s="13">
        <v>45897.625057870369</v>
      </c>
      <c r="B414" t="s">
        <v>349</v>
      </c>
      <c r="C414" t="s">
        <v>360</v>
      </c>
      <c r="D414" t="s">
        <v>10</v>
      </c>
      <c r="E414" t="s">
        <v>11</v>
      </c>
      <c r="F414" t="s">
        <v>15</v>
      </c>
      <c r="G414">
        <v>3</v>
      </c>
      <c r="H414" s="12">
        <v>1</v>
      </c>
      <c r="I414" s="12">
        <v>0</v>
      </c>
      <c r="J414" s="12">
        <v>1</v>
      </c>
      <c r="K414" s="12">
        <v>0</v>
      </c>
      <c r="L414" s="12">
        <v>0</v>
      </c>
      <c r="M414" s="12">
        <v>0</v>
      </c>
      <c r="N414" s="12">
        <v>0</v>
      </c>
      <c r="O414" s="12">
        <v>0</v>
      </c>
      <c r="P414" s="12">
        <v>0</v>
      </c>
      <c r="Q414" s="12">
        <v>0</v>
      </c>
      <c r="R414" s="12">
        <v>0</v>
      </c>
    </row>
    <row r="415" spans="1:19" x14ac:dyDescent="0.25">
      <c r="A415" s="13">
        <v>45898.406967592593</v>
      </c>
      <c r="B415" t="s">
        <v>352</v>
      </c>
      <c r="C415" t="s">
        <v>361</v>
      </c>
      <c r="D415" t="s">
        <v>10</v>
      </c>
      <c r="E415" t="s">
        <v>11</v>
      </c>
      <c r="F415" t="s">
        <v>14</v>
      </c>
      <c r="G415">
        <v>0.5</v>
      </c>
      <c r="H415" s="12">
        <v>0</v>
      </c>
      <c r="I415" s="12">
        <v>0</v>
      </c>
      <c r="J415" s="12">
        <v>0</v>
      </c>
      <c r="K415" s="12">
        <v>0</v>
      </c>
      <c r="L415" s="12">
        <v>0</v>
      </c>
      <c r="M415" s="12">
        <v>0</v>
      </c>
      <c r="N415" s="12">
        <v>0</v>
      </c>
      <c r="O415" s="12">
        <v>0</v>
      </c>
      <c r="P415" s="12">
        <v>0</v>
      </c>
      <c r="Q415" s="12">
        <v>1</v>
      </c>
      <c r="R415" s="12">
        <v>0</v>
      </c>
    </row>
    <row r="416" spans="1:19" x14ac:dyDescent="0.25">
      <c r="A416" s="13">
        <v>45898.515613425923</v>
      </c>
      <c r="B416" t="s">
        <v>350</v>
      </c>
      <c r="C416" t="s">
        <v>361</v>
      </c>
      <c r="D416" t="s">
        <v>10</v>
      </c>
      <c r="E416" t="s">
        <v>11</v>
      </c>
      <c r="F416" t="s">
        <v>18</v>
      </c>
      <c r="G416">
        <v>20</v>
      </c>
      <c r="H416" s="12">
        <v>0</v>
      </c>
      <c r="I416" s="12">
        <v>0</v>
      </c>
      <c r="J416" s="12">
        <v>0</v>
      </c>
      <c r="K416" s="12">
        <v>0</v>
      </c>
      <c r="L416" s="12">
        <v>1</v>
      </c>
      <c r="M416" s="12">
        <v>0</v>
      </c>
      <c r="N416" s="12">
        <v>0</v>
      </c>
      <c r="O416" s="12">
        <v>0</v>
      </c>
      <c r="P416" s="12">
        <v>1</v>
      </c>
      <c r="Q416" s="12">
        <v>0</v>
      </c>
      <c r="R416" s="12">
        <v>0</v>
      </c>
    </row>
    <row r="417" spans="1:19" x14ac:dyDescent="0.25">
      <c r="A417" s="13">
        <v>45898.530960648146</v>
      </c>
      <c r="B417" t="s">
        <v>350</v>
      </c>
      <c r="C417" t="s">
        <v>361</v>
      </c>
      <c r="D417" t="s">
        <v>10</v>
      </c>
      <c r="E417" t="s">
        <v>11</v>
      </c>
      <c r="F417" t="s">
        <v>15</v>
      </c>
      <c r="G417">
        <v>3</v>
      </c>
      <c r="H417" s="12">
        <v>0</v>
      </c>
      <c r="I417" s="12">
        <v>0</v>
      </c>
      <c r="J417" s="12">
        <v>0</v>
      </c>
      <c r="K417" s="12">
        <v>0</v>
      </c>
      <c r="L417" s="12">
        <v>0</v>
      </c>
      <c r="M417" s="12">
        <v>0</v>
      </c>
      <c r="N417" s="12">
        <v>0</v>
      </c>
      <c r="O417" s="12">
        <v>1</v>
      </c>
      <c r="P417" s="12">
        <v>0</v>
      </c>
      <c r="Q417" s="12">
        <v>0</v>
      </c>
      <c r="R417" s="12">
        <v>0</v>
      </c>
    </row>
    <row r="418" spans="1:19" x14ac:dyDescent="0.25">
      <c r="A418" s="13">
        <v>45898.551701388889</v>
      </c>
      <c r="B418" t="s">
        <v>351</v>
      </c>
      <c r="C418" t="s">
        <v>361</v>
      </c>
      <c r="D418" t="s">
        <v>20</v>
      </c>
      <c r="E418" t="s">
        <v>11</v>
      </c>
      <c r="F418" t="s">
        <v>15</v>
      </c>
      <c r="G418">
        <v>3</v>
      </c>
      <c r="H418" s="12">
        <v>0</v>
      </c>
      <c r="I418" s="12">
        <v>0</v>
      </c>
      <c r="J418" s="12">
        <v>0</v>
      </c>
      <c r="K418" s="12">
        <v>0</v>
      </c>
      <c r="L418" s="12">
        <v>0</v>
      </c>
      <c r="M418" s="12">
        <v>0</v>
      </c>
      <c r="N418" s="12">
        <v>0</v>
      </c>
      <c r="O418" s="12">
        <v>0</v>
      </c>
      <c r="P418" s="12">
        <v>0</v>
      </c>
      <c r="Q418" s="12">
        <v>0</v>
      </c>
      <c r="R418" s="12">
        <v>1</v>
      </c>
      <c r="S418" t="s">
        <v>131</v>
      </c>
    </row>
    <row r="419" spans="1:19" x14ac:dyDescent="0.25">
      <c r="A419" s="13">
        <v>45898.574062500003</v>
      </c>
      <c r="B419" t="s">
        <v>351</v>
      </c>
      <c r="C419" t="s">
        <v>361</v>
      </c>
      <c r="D419" t="s">
        <v>10</v>
      </c>
      <c r="E419" t="s">
        <v>11</v>
      </c>
      <c r="F419" t="s">
        <v>14</v>
      </c>
      <c r="G419">
        <v>0.5</v>
      </c>
      <c r="H419" s="12">
        <v>0</v>
      </c>
      <c r="I419" s="12">
        <v>0</v>
      </c>
      <c r="J419" s="12">
        <v>0</v>
      </c>
      <c r="K419" s="12">
        <v>0</v>
      </c>
      <c r="L419" s="12">
        <v>0</v>
      </c>
      <c r="M419" s="12">
        <v>0</v>
      </c>
      <c r="N419" s="12">
        <v>0</v>
      </c>
      <c r="O419" s="12">
        <v>0</v>
      </c>
      <c r="P419" s="12">
        <v>0</v>
      </c>
      <c r="Q419" s="12">
        <v>1</v>
      </c>
      <c r="R419" s="12">
        <v>0</v>
      </c>
      <c r="S419" t="s">
        <v>132</v>
      </c>
    </row>
    <row r="420" spans="1:19" x14ac:dyDescent="0.25">
      <c r="A420" s="13">
        <v>45898.588622685187</v>
      </c>
      <c r="B420" t="s">
        <v>348</v>
      </c>
      <c r="C420" t="s">
        <v>361</v>
      </c>
      <c r="D420" t="s">
        <v>10</v>
      </c>
      <c r="E420" t="s">
        <v>11</v>
      </c>
      <c r="F420" t="s">
        <v>14</v>
      </c>
      <c r="G420">
        <v>0.5</v>
      </c>
      <c r="H420" s="12">
        <v>0</v>
      </c>
      <c r="I420" s="12">
        <v>0</v>
      </c>
      <c r="J420" s="12">
        <v>0</v>
      </c>
      <c r="K420" s="12">
        <v>0</v>
      </c>
      <c r="L420" s="12">
        <v>0</v>
      </c>
      <c r="M420" s="12">
        <v>0</v>
      </c>
      <c r="N420" s="12">
        <v>0</v>
      </c>
      <c r="O420" s="12">
        <v>0</v>
      </c>
      <c r="P420" s="12">
        <v>0</v>
      </c>
      <c r="Q420" s="12">
        <v>1</v>
      </c>
      <c r="R420" s="12">
        <v>0</v>
      </c>
      <c r="S420" t="s">
        <v>106</v>
      </c>
    </row>
    <row r="421" spans="1:19" x14ac:dyDescent="0.25">
      <c r="A421" s="13">
        <v>45898.611307870371</v>
      </c>
      <c r="B421" t="s">
        <v>348</v>
      </c>
      <c r="C421" t="s">
        <v>361</v>
      </c>
      <c r="D421" t="s">
        <v>10</v>
      </c>
      <c r="E421" t="s">
        <v>11</v>
      </c>
      <c r="F421" t="s">
        <v>12</v>
      </c>
      <c r="G421">
        <v>10.5</v>
      </c>
      <c r="H421" s="12">
        <v>1</v>
      </c>
      <c r="I421" s="12">
        <v>0</v>
      </c>
      <c r="J421" s="12">
        <v>1</v>
      </c>
      <c r="K421" s="12">
        <v>0</v>
      </c>
      <c r="L421" s="12">
        <v>0</v>
      </c>
      <c r="M421" s="12">
        <v>0</v>
      </c>
      <c r="N421" s="12">
        <v>0</v>
      </c>
      <c r="O421" s="12">
        <v>0</v>
      </c>
      <c r="P421" s="12">
        <v>0</v>
      </c>
      <c r="Q421" s="12">
        <v>0</v>
      </c>
      <c r="R421" s="12">
        <v>0</v>
      </c>
      <c r="S421" t="s">
        <v>133</v>
      </c>
    </row>
    <row r="422" spans="1:19" x14ac:dyDescent="0.25">
      <c r="A422" s="13">
        <v>45898.615844907406</v>
      </c>
      <c r="B422" t="s">
        <v>348</v>
      </c>
      <c r="C422" t="s">
        <v>361</v>
      </c>
      <c r="D422" t="s">
        <v>10</v>
      </c>
      <c r="E422" t="s">
        <v>11</v>
      </c>
      <c r="F422" t="s">
        <v>14</v>
      </c>
      <c r="G422">
        <v>0.5</v>
      </c>
      <c r="H422" s="12">
        <v>0</v>
      </c>
      <c r="I422" s="12">
        <v>0</v>
      </c>
      <c r="J422" s="12">
        <v>0</v>
      </c>
      <c r="K422" s="12">
        <v>0</v>
      </c>
      <c r="L422" s="12">
        <v>0</v>
      </c>
      <c r="M422" s="12">
        <v>0</v>
      </c>
      <c r="N422" s="12">
        <v>0</v>
      </c>
      <c r="O422" s="12">
        <v>0</v>
      </c>
      <c r="P422" s="12">
        <v>0</v>
      </c>
      <c r="Q422" s="12">
        <v>1</v>
      </c>
      <c r="R422" s="12">
        <v>0</v>
      </c>
      <c r="S422" t="s">
        <v>134</v>
      </c>
    </row>
    <row r="423" spans="1:19" x14ac:dyDescent="0.25">
      <c r="A423" s="13">
        <v>45898.661979166667</v>
      </c>
      <c r="B423" t="s">
        <v>349</v>
      </c>
      <c r="C423" t="s">
        <v>361</v>
      </c>
      <c r="D423" t="s">
        <v>10</v>
      </c>
      <c r="E423" t="s">
        <v>11</v>
      </c>
      <c r="F423" t="s">
        <v>14</v>
      </c>
      <c r="G423">
        <v>0.5</v>
      </c>
      <c r="H423" s="12">
        <v>0</v>
      </c>
      <c r="I423" s="12">
        <v>0</v>
      </c>
      <c r="J423" s="12">
        <v>0</v>
      </c>
      <c r="K423" s="12">
        <v>0</v>
      </c>
      <c r="L423" s="12">
        <v>0</v>
      </c>
      <c r="M423" s="12">
        <v>0</v>
      </c>
      <c r="N423" s="12">
        <v>0</v>
      </c>
      <c r="O423" s="12">
        <v>0</v>
      </c>
      <c r="P423" s="12">
        <v>1</v>
      </c>
      <c r="Q423" s="12">
        <v>0</v>
      </c>
      <c r="R423" s="12">
        <v>0</v>
      </c>
      <c r="S423" t="s">
        <v>135</v>
      </c>
    </row>
    <row r="424" spans="1:19" x14ac:dyDescent="0.25">
      <c r="A424" s="13">
        <v>45898.662372685183</v>
      </c>
      <c r="B424" t="s">
        <v>349</v>
      </c>
      <c r="C424" t="s">
        <v>361</v>
      </c>
      <c r="D424" t="s">
        <v>10</v>
      </c>
      <c r="E424" t="s">
        <v>11</v>
      </c>
      <c r="F424" t="s">
        <v>15</v>
      </c>
      <c r="G424">
        <v>3</v>
      </c>
      <c r="H424" s="12">
        <v>0</v>
      </c>
      <c r="I424" s="12">
        <v>0</v>
      </c>
      <c r="J424" s="12">
        <v>0</v>
      </c>
      <c r="K424" s="12">
        <v>0</v>
      </c>
      <c r="L424" s="12">
        <v>0</v>
      </c>
      <c r="M424" s="12">
        <v>0</v>
      </c>
      <c r="N424" s="12">
        <v>0</v>
      </c>
      <c r="O424" s="12">
        <v>0</v>
      </c>
      <c r="P424" s="12">
        <v>1</v>
      </c>
      <c r="Q424" s="12">
        <v>0</v>
      </c>
      <c r="R424" s="12">
        <v>0</v>
      </c>
      <c r="S424" t="s">
        <v>136</v>
      </c>
    </row>
    <row r="425" spans="1:19" x14ac:dyDescent="0.25">
      <c r="A425" s="13">
        <v>45898.662916666668</v>
      </c>
      <c r="B425" t="s">
        <v>349</v>
      </c>
      <c r="C425" t="s">
        <v>361</v>
      </c>
      <c r="D425" t="s">
        <v>10</v>
      </c>
      <c r="E425" t="s">
        <v>11</v>
      </c>
      <c r="F425" t="s">
        <v>14</v>
      </c>
      <c r="G425">
        <v>0.5</v>
      </c>
      <c r="H425" s="12">
        <v>0</v>
      </c>
      <c r="I425" s="12">
        <v>0</v>
      </c>
      <c r="J425" s="12">
        <v>0</v>
      </c>
      <c r="K425" s="12">
        <v>0</v>
      </c>
      <c r="L425" s="12">
        <v>0</v>
      </c>
      <c r="M425" s="12">
        <v>0</v>
      </c>
      <c r="N425" s="12">
        <v>0</v>
      </c>
      <c r="O425" s="12">
        <v>0</v>
      </c>
      <c r="P425" s="12">
        <v>0</v>
      </c>
      <c r="Q425" s="12">
        <v>1</v>
      </c>
      <c r="R425" s="12">
        <v>0</v>
      </c>
      <c r="S425" t="s">
        <v>137</v>
      </c>
    </row>
    <row r="426" spans="1:19" x14ac:dyDescent="0.25">
      <c r="A426" s="13">
        <v>45898.665347222224</v>
      </c>
      <c r="B426" t="s">
        <v>349</v>
      </c>
      <c r="C426" t="s">
        <v>361</v>
      </c>
      <c r="D426" t="s">
        <v>10</v>
      </c>
      <c r="E426" t="s">
        <v>11</v>
      </c>
      <c r="F426" t="s">
        <v>12</v>
      </c>
      <c r="G426">
        <v>10.5</v>
      </c>
      <c r="H426" s="12">
        <v>0</v>
      </c>
      <c r="I426" s="12">
        <v>0</v>
      </c>
      <c r="J426" s="12">
        <v>0</v>
      </c>
      <c r="K426" s="12">
        <v>0</v>
      </c>
      <c r="L426" s="12">
        <v>0</v>
      </c>
      <c r="M426" s="12">
        <v>0</v>
      </c>
      <c r="N426" s="12">
        <v>0</v>
      </c>
      <c r="O426" s="12">
        <v>0</v>
      </c>
      <c r="P426" s="12">
        <v>0</v>
      </c>
      <c r="Q426" s="12">
        <v>0</v>
      </c>
      <c r="R426" s="12">
        <v>1</v>
      </c>
      <c r="S426" t="s">
        <v>138</v>
      </c>
    </row>
    <row r="427" spans="1:19" x14ac:dyDescent="0.25">
      <c r="A427" s="13">
        <v>45899.486087962963</v>
      </c>
      <c r="B427" t="s">
        <v>354</v>
      </c>
      <c r="C427" t="s">
        <v>362</v>
      </c>
      <c r="D427" t="s">
        <v>10</v>
      </c>
      <c r="E427" t="s">
        <v>17</v>
      </c>
      <c r="F427" t="s">
        <v>18</v>
      </c>
      <c r="G427">
        <v>20</v>
      </c>
      <c r="H427" s="12">
        <v>0</v>
      </c>
      <c r="I427" s="12">
        <v>0</v>
      </c>
      <c r="J427" s="12">
        <v>0</v>
      </c>
      <c r="K427" s="12">
        <v>1</v>
      </c>
      <c r="L427" s="12">
        <v>0</v>
      </c>
      <c r="M427" s="12">
        <v>0</v>
      </c>
      <c r="N427" s="12">
        <v>1</v>
      </c>
      <c r="O427" s="12">
        <v>0</v>
      </c>
      <c r="P427" s="12">
        <v>0</v>
      </c>
      <c r="Q427" s="12">
        <v>0</v>
      </c>
      <c r="R427" s="12">
        <v>0</v>
      </c>
    </row>
    <row r="428" spans="1:19" x14ac:dyDescent="0.25">
      <c r="A428" s="13">
        <v>45901.381585648145</v>
      </c>
      <c r="B428" t="s">
        <v>352</v>
      </c>
      <c r="C428" t="s">
        <v>363</v>
      </c>
      <c r="D428" t="s">
        <v>10</v>
      </c>
      <c r="E428" t="s">
        <v>11</v>
      </c>
      <c r="F428" t="s">
        <v>15</v>
      </c>
      <c r="G428">
        <v>3</v>
      </c>
      <c r="H428" s="12">
        <v>0</v>
      </c>
      <c r="I428" s="12">
        <v>0</v>
      </c>
      <c r="J428" s="12">
        <v>0</v>
      </c>
      <c r="K428" s="12">
        <v>0</v>
      </c>
      <c r="L428" s="12">
        <v>0</v>
      </c>
      <c r="M428" s="12">
        <v>0</v>
      </c>
      <c r="N428" s="12">
        <v>1</v>
      </c>
      <c r="O428" s="12">
        <v>0</v>
      </c>
      <c r="P428" s="12">
        <v>0</v>
      </c>
      <c r="Q428" s="12">
        <v>0</v>
      </c>
      <c r="R428" s="12">
        <v>0</v>
      </c>
    </row>
    <row r="429" spans="1:19" x14ac:dyDescent="0.25">
      <c r="A429" s="13">
        <v>45901.432638888888</v>
      </c>
      <c r="B429" t="s">
        <v>347</v>
      </c>
      <c r="C429" t="s">
        <v>363</v>
      </c>
      <c r="D429" t="s">
        <v>10</v>
      </c>
      <c r="E429" t="s">
        <v>11</v>
      </c>
      <c r="F429" t="s">
        <v>18</v>
      </c>
      <c r="G429">
        <v>20</v>
      </c>
      <c r="H429" s="12">
        <v>1</v>
      </c>
      <c r="I429" s="12">
        <v>0</v>
      </c>
      <c r="J429" s="12">
        <v>1</v>
      </c>
      <c r="K429" s="12">
        <v>0</v>
      </c>
      <c r="L429" s="12">
        <v>0</v>
      </c>
      <c r="M429" s="12">
        <v>0</v>
      </c>
      <c r="N429" s="12">
        <v>0</v>
      </c>
      <c r="O429" s="12">
        <v>0</v>
      </c>
      <c r="P429" s="12">
        <v>0</v>
      </c>
      <c r="Q429" s="12">
        <v>0</v>
      </c>
      <c r="R429" s="12">
        <v>0</v>
      </c>
      <c r="S429" t="s">
        <v>139</v>
      </c>
    </row>
    <row r="430" spans="1:19" x14ac:dyDescent="0.25">
      <c r="A430" s="13">
        <v>45901.532384259262</v>
      </c>
      <c r="B430" t="s">
        <v>350</v>
      </c>
      <c r="C430" t="s">
        <v>363</v>
      </c>
      <c r="D430" t="s">
        <v>10</v>
      </c>
      <c r="E430" t="s">
        <v>11</v>
      </c>
      <c r="F430" t="s">
        <v>12</v>
      </c>
      <c r="G430">
        <v>10.5</v>
      </c>
      <c r="H430" s="12">
        <v>0</v>
      </c>
      <c r="I430" s="12">
        <v>0</v>
      </c>
      <c r="J430" s="12">
        <v>0</v>
      </c>
      <c r="K430" s="12">
        <v>0</v>
      </c>
      <c r="L430" s="12">
        <v>1</v>
      </c>
      <c r="M430" s="12">
        <v>0</v>
      </c>
      <c r="N430" s="12">
        <v>0</v>
      </c>
      <c r="O430" s="12">
        <v>0</v>
      </c>
      <c r="P430" s="12">
        <v>0</v>
      </c>
      <c r="Q430" s="12">
        <v>0</v>
      </c>
      <c r="R430" s="12">
        <v>0</v>
      </c>
    </row>
    <row r="431" spans="1:19" x14ac:dyDescent="0.25">
      <c r="A431" s="13">
        <v>45901.532546296294</v>
      </c>
      <c r="B431" t="s">
        <v>350</v>
      </c>
      <c r="C431" t="s">
        <v>363</v>
      </c>
      <c r="D431" t="s">
        <v>20</v>
      </c>
      <c r="E431" t="s">
        <v>11</v>
      </c>
      <c r="F431" t="s">
        <v>12</v>
      </c>
      <c r="G431">
        <v>10.5</v>
      </c>
      <c r="H431" s="12">
        <v>1</v>
      </c>
      <c r="I431" s="12">
        <v>0</v>
      </c>
      <c r="J431" s="12">
        <v>1</v>
      </c>
      <c r="K431" s="12">
        <v>1</v>
      </c>
      <c r="L431" s="12">
        <v>0</v>
      </c>
      <c r="M431" s="12">
        <v>0</v>
      </c>
      <c r="N431" s="12">
        <v>0</v>
      </c>
      <c r="O431" s="12">
        <v>0</v>
      </c>
      <c r="P431" s="12">
        <v>0</v>
      </c>
      <c r="Q431" s="12">
        <v>0</v>
      </c>
      <c r="R431" s="12">
        <v>0</v>
      </c>
    </row>
    <row r="432" spans="1:19" x14ac:dyDescent="0.25">
      <c r="A432" s="13">
        <v>45901.576157407406</v>
      </c>
      <c r="B432" t="s">
        <v>351</v>
      </c>
      <c r="C432" t="s">
        <v>363</v>
      </c>
      <c r="D432" t="s">
        <v>10</v>
      </c>
      <c r="E432" t="s">
        <v>11</v>
      </c>
      <c r="F432" t="s">
        <v>14</v>
      </c>
      <c r="G432">
        <v>0.5</v>
      </c>
      <c r="H432" s="12">
        <v>0</v>
      </c>
      <c r="I432" s="12">
        <v>0</v>
      </c>
      <c r="J432" s="12">
        <v>0</v>
      </c>
      <c r="K432" s="12">
        <v>0</v>
      </c>
      <c r="L432" s="12">
        <v>0</v>
      </c>
      <c r="M432" s="12">
        <v>0</v>
      </c>
      <c r="N432" s="12">
        <v>0</v>
      </c>
      <c r="O432" s="12">
        <v>0</v>
      </c>
      <c r="P432" s="12">
        <v>0</v>
      </c>
      <c r="Q432" s="12">
        <v>0</v>
      </c>
      <c r="R432" s="12">
        <v>1</v>
      </c>
      <c r="S432" t="s">
        <v>140</v>
      </c>
    </row>
    <row r="433" spans="1:19" x14ac:dyDescent="0.25">
      <c r="A433" s="13">
        <v>45901.576284722221</v>
      </c>
      <c r="B433" t="s">
        <v>351</v>
      </c>
      <c r="C433" t="s">
        <v>363</v>
      </c>
      <c r="D433" t="s">
        <v>10</v>
      </c>
      <c r="E433" t="s">
        <v>11</v>
      </c>
      <c r="F433" t="s">
        <v>14</v>
      </c>
      <c r="G433">
        <v>0.5</v>
      </c>
      <c r="H433" s="12">
        <v>0</v>
      </c>
      <c r="I433" s="12">
        <v>0</v>
      </c>
      <c r="J433" s="12">
        <v>0</v>
      </c>
      <c r="K433" s="12">
        <v>0</v>
      </c>
      <c r="L433" s="12">
        <v>0</v>
      </c>
      <c r="M433" s="12">
        <v>0</v>
      </c>
      <c r="N433" s="12">
        <v>0</v>
      </c>
      <c r="O433" s="12">
        <v>0</v>
      </c>
      <c r="P433" s="12">
        <v>0</v>
      </c>
      <c r="Q433" s="12">
        <v>0</v>
      </c>
      <c r="R433" s="12">
        <v>1</v>
      </c>
      <c r="S433" t="s">
        <v>141</v>
      </c>
    </row>
    <row r="434" spans="1:19" x14ac:dyDescent="0.25">
      <c r="A434" s="13">
        <v>45901.60597222222</v>
      </c>
      <c r="B434" t="s">
        <v>348</v>
      </c>
      <c r="C434" t="s">
        <v>363</v>
      </c>
      <c r="D434" t="s">
        <v>10</v>
      </c>
      <c r="E434" t="s">
        <v>11</v>
      </c>
      <c r="F434" t="s">
        <v>15</v>
      </c>
      <c r="G434">
        <v>3</v>
      </c>
      <c r="H434" s="12">
        <v>0</v>
      </c>
      <c r="I434" s="12">
        <v>0</v>
      </c>
      <c r="J434" s="12">
        <v>0</v>
      </c>
      <c r="K434" s="12">
        <v>0</v>
      </c>
      <c r="L434" s="12">
        <v>0</v>
      </c>
      <c r="M434" s="12">
        <v>0</v>
      </c>
      <c r="N434" s="12">
        <v>0</v>
      </c>
      <c r="O434" s="12">
        <v>1</v>
      </c>
      <c r="P434" s="12">
        <v>0</v>
      </c>
      <c r="Q434" s="12">
        <v>0</v>
      </c>
      <c r="R434" s="12">
        <v>0</v>
      </c>
      <c r="S434" t="s">
        <v>142</v>
      </c>
    </row>
    <row r="435" spans="1:19" x14ac:dyDescent="0.25">
      <c r="A435" s="13">
        <v>45901.630150462966</v>
      </c>
      <c r="B435" t="s">
        <v>349</v>
      </c>
      <c r="C435" t="s">
        <v>363</v>
      </c>
      <c r="D435" t="s">
        <v>10</v>
      </c>
      <c r="E435" t="s">
        <v>11</v>
      </c>
      <c r="F435" t="s">
        <v>12</v>
      </c>
      <c r="G435">
        <v>10.5</v>
      </c>
      <c r="H435" s="12">
        <v>0</v>
      </c>
      <c r="I435" s="12">
        <v>0</v>
      </c>
      <c r="J435" s="12">
        <v>0</v>
      </c>
      <c r="K435" s="12">
        <v>0</v>
      </c>
      <c r="L435" s="12">
        <v>1</v>
      </c>
      <c r="M435" s="12">
        <v>0</v>
      </c>
      <c r="N435" s="12">
        <v>0</v>
      </c>
      <c r="O435" s="12">
        <v>0</v>
      </c>
      <c r="P435" s="12">
        <v>0</v>
      </c>
      <c r="Q435" s="12">
        <v>0</v>
      </c>
      <c r="R435" s="12">
        <v>0</v>
      </c>
    </row>
    <row r="436" spans="1:19" x14ac:dyDescent="0.25">
      <c r="A436" s="13">
        <v>45901.630300925928</v>
      </c>
      <c r="B436" t="s">
        <v>349</v>
      </c>
      <c r="C436" t="s">
        <v>363</v>
      </c>
      <c r="D436" t="s">
        <v>10</v>
      </c>
      <c r="E436" t="s">
        <v>17</v>
      </c>
      <c r="F436" t="s">
        <v>12</v>
      </c>
      <c r="G436">
        <v>10.5</v>
      </c>
      <c r="H436" s="12">
        <v>0</v>
      </c>
      <c r="I436" s="12">
        <v>1</v>
      </c>
      <c r="J436" s="12">
        <v>0</v>
      </c>
      <c r="K436" s="12">
        <v>0</v>
      </c>
      <c r="L436" s="12">
        <v>0</v>
      </c>
      <c r="M436" s="12">
        <v>0</v>
      </c>
      <c r="N436" s="12">
        <v>0</v>
      </c>
      <c r="O436" s="12">
        <v>0</v>
      </c>
      <c r="P436" s="12">
        <v>0</v>
      </c>
      <c r="Q436" s="12">
        <v>0</v>
      </c>
      <c r="R436" s="12">
        <v>0</v>
      </c>
      <c r="S436" t="s">
        <v>143</v>
      </c>
    </row>
    <row r="437" spans="1:19" x14ac:dyDescent="0.25">
      <c r="A437" s="13">
        <v>45901.630428240744</v>
      </c>
      <c r="B437" t="s">
        <v>349</v>
      </c>
      <c r="C437" t="s">
        <v>363</v>
      </c>
      <c r="D437" t="s">
        <v>10</v>
      </c>
      <c r="E437" t="s">
        <v>11</v>
      </c>
      <c r="F437" t="s">
        <v>15</v>
      </c>
      <c r="G437">
        <v>3</v>
      </c>
      <c r="H437" s="12">
        <v>0</v>
      </c>
      <c r="I437" s="12">
        <v>1</v>
      </c>
      <c r="J437" s="12">
        <v>0</v>
      </c>
      <c r="K437" s="12">
        <v>0</v>
      </c>
      <c r="L437" s="12">
        <v>0</v>
      </c>
      <c r="M437" s="12">
        <v>0</v>
      </c>
      <c r="N437" s="12">
        <v>0</v>
      </c>
      <c r="O437" s="12">
        <v>0</v>
      </c>
      <c r="P437" s="12">
        <v>0</v>
      </c>
      <c r="Q437" s="12">
        <v>0</v>
      </c>
      <c r="R437" s="12">
        <v>0</v>
      </c>
      <c r="S437" t="s">
        <v>144</v>
      </c>
    </row>
    <row r="438" spans="1:19" x14ac:dyDescent="0.25">
      <c r="A438" s="13">
        <v>45901.639826388891</v>
      </c>
      <c r="B438" t="s">
        <v>349</v>
      </c>
      <c r="C438" t="s">
        <v>363</v>
      </c>
      <c r="D438" t="s">
        <v>10</v>
      </c>
      <c r="E438" t="s">
        <v>11</v>
      </c>
      <c r="F438" t="s">
        <v>15</v>
      </c>
      <c r="G438">
        <v>3</v>
      </c>
      <c r="H438" s="12">
        <v>0</v>
      </c>
      <c r="I438" s="12">
        <v>0</v>
      </c>
      <c r="J438" s="12">
        <v>0</v>
      </c>
      <c r="K438" s="12">
        <v>0</v>
      </c>
      <c r="L438" s="12">
        <v>0</v>
      </c>
      <c r="M438" s="12">
        <v>0</v>
      </c>
      <c r="N438" s="12">
        <v>0</v>
      </c>
      <c r="O438" s="12">
        <v>1</v>
      </c>
      <c r="P438" s="12">
        <v>0</v>
      </c>
      <c r="Q438" s="12">
        <v>0</v>
      </c>
      <c r="R438" s="12">
        <v>0</v>
      </c>
      <c r="S438" t="s">
        <v>145</v>
      </c>
    </row>
    <row r="439" spans="1:19" x14ac:dyDescent="0.25">
      <c r="A439" s="13">
        <v>45901.639953703707</v>
      </c>
      <c r="B439" t="s">
        <v>349</v>
      </c>
      <c r="C439" t="s">
        <v>363</v>
      </c>
      <c r="D439" t="s">
        <v>10</v>
      </c>
      <c r="E439" t="s">
        <v>11</v>
      </c>
      <c r="F439" t="s">
        <v>14</v>
      </c>
      <c r="G439">
        <v>0.5</v>
      </c>
      <c r="H439" s="12">
        <v>0</v>
      </c>
      <c r="I439" s="12">
        <v>0</v>
      </c>
      <c r="J439" s="12">
        <v>0</v>
      </c>
      <c r="K439" s="12">
        <v>0</v>
      </c>
      <c r="L439" s="12">
        <v>0</v>
      </c>
      <c r="M439" s="12">
        <v>0</v>
      </c>
      <c r="N439" s="12">
        <v>0</v>
      </c>
      <c r="O439" s="12">
        <v>1</v>
      </c>
      <c r="P439" s="12">
        <v>0</v>
      </c>
      <c r="Q439" s="12">
        <v>0</v>
      </c>
      <c r="R439" s="12">
        <v>0</v>
      </c>
      <c r="S439" t="s">
        <v>146</v>
      </c>
    </row>
    <row r="440" spans="1:19" x14ac:dyDescent="0.25">
      <c r="A440" s="13">
        <v>45901.641481481478</v>
      </c>
      <c r="B440" t="s">
        <v>349</v>
      </c>
      <c r="C440" t="s">
        <v>363</v>
      </c>
      <c r="D440" t="s">
        <v>10</v>
      </c>
      <c r="E440" t="s">
        <v>11</v>
      </c>
      <c r="F440" t="s">
        <v>15</v>
      </c>
      <c r="G440">
        <v>3</v>
      </c>
      <c r="H440" s="12">
        <v>0</v>
      </c>
      <c r="I440" s="12">
        <v>0</v>
      </c>
      <c r="J440" s="12">
        <v>0</v>
      </c>
      <c r="K440" s="12">
        <v>0</v>
      </c>
      <c r="L440" s="12">
        <v>0</v>
      </c>
      <c r="M440" s="12">
        <v>0</v>
      </c>
      <c r="N440" s="12">
        <v>1</v>
      </c>
      <c r="O440" s="12">
        <v>0</v>
      </c>
      <c r="P440" s="12">
        <v>0</v>
      </c>
      <c r="Q440" s="12">
        <v>0</v>
      </c>
      <c r="R440" s="12">
        <v>0</v>
      </c>
    </row>
    <row r="441" spans="1:19" x14ac:dyDescent="0.25">
      <c r="A441" s="13">
        <v>45901.658067129632</v>
      </c>
      <c r="B441" t="s">
        <v>349</v>
      </c>
      <c r="C441" t="s">
        <v>363</v>
      </c>
      <c r="D441" t="s">
        <v>10</v>
      </c>
      <c r="E441" t="s">
        <v>17</v>
      </c>
      <c r="F441" t="s">
        <v>15</v>
      </c>
      <c r="G441">
        <v>3</v>
      </c>
      <c r="H441" s="12">
        <v>0</v>
      </c>
      <c r="I441" s="12">
        <v>0</v>
      </c>
      <c r="J441" s="12">
        <v>0</v>
      </c>
      <c r="K441" s="12">
        <v>0</v>
      </c>
      <c r="L441" s="12">
        <v>0</v>
      </c>
      <c r="M441" s="12">
        <v>0</v>
      </c>
      <c r="N441" s="12">
        <v>1</v>
      </c>
      <c r="O441" s="12">
        <v>0</v>
      </c>
      <c r="P441" s="12">
        <v>0</v>
      </c>
      <c r="Q441" s="12">
        <v>0</v>
      </c>
      <c r="R441" s="12">
        <v>0</v>
      </c>
    </row>
    <row r="442" spans="1:19" x14ac:dyDescent="0.25">
      <c r="A442" s="13">
        <v>45901.658831018518</v>
      </c>
      <c r="B442" t="s">
        <v>349</v>
      </c>
      <c r="C442" t="s">
        <v>363</v>
      </c>
      <c r="D442" t="s">
        <v>10</v>
      </c>
      <c r="E442" t="s">
        <v>11</v>
      </c>
      <c r="F442" t="s">
        <v>14</v>
      </c>
      <c r="G442">
        <v>0.5</v>
      </c>
      <c r="H442" s="12">
        <v>0</v>
      </c>
      <c r="I442" s="12">
        <v>0</v>
      </c>
      <c r="J442" s="12">
        <v>0</v>
      </c>
      <c r="K442" s="12">
        <v>0</v>
      </c>
      <c r="L442" s="12">
        <v>0</v>
      </c>
      <c r="M442" s="12">
        <v>0</v>
      </c>
      <c r="N442" s="12">
        <v>0</v>
      </c>
      <c r="O442" s="12">
        <v>1</v>
      </c>
      <c r="P442" s="12">
        <v>0</v>
      </c>
      <c r="Q442" s="12">
        <v>0</v>
      </c>
      <c r="R442" s="12">
        <v>0</v>
      </c>
      <c r="S442" t="s">
        <v>89</v>
      </c>
    </row>
    <row r="443" spans="1:19" x14ac:dyDescent="0.25">
      <c r="A443" s="13">
        <v>45901.673067129632</v>
      </c>
      <c r="B443" t="s">
        <v>353</v>
      </c>
      <c r="C443" t="s">
        <v>363</v>
      </c>
      <c r="D443" t="s">
        <v>10</v>
      </c>
      <c r="E443" t="s">
        <v>11</v>
      </c>
      <c r="F443" t="s">
        <v>14</v>
      </c>
      <c r="G443">
        <v>0.5</v>
      </c>
      <c r="H443" s="12">
        <v>0</v>
      </c>
      <c r="I443" s="12">
        <v>0</v>
      </c>
      <c r="J443" s="12">
        <v>0</v>
      </c>
      <c r="K443" s="12">
        <v>0</v>
      </c>
      <c r="L443" s="12">
        <v>0</v>
      </c>
      <c r="M443" s="12">
        <v>0</v>
      </c>
      <c r="N443" s="12">
        <v>0</v>
      </c>
      <c r="O443" s="12">
        <v>1</v>
      </c>
      <c r="P443" s="12">
        <v>0</v>
      </c>
      <c r="Q443" s="12">
        <v>0</v>
      </c>
      <c r="R443" s="12">
        <v>0</v>
      </c>
    </row>
    <row r="444" spans="1:19" x14ac:dyDescent="0.25">
      <c r="A444" s="13">
        <v>45901.673206018517</v>
      </c>
      <c r="B444" t="s">
        <v>353</v>
      </c>
      <c r="C444" t="s">
        <v>363</v>
      </c>
      <c r="D444" t="s">
        <v>10</v>
      </c>
      <c r="E444" t="s">
        <v>11</v>
      </c>
      <c r="F444" t="s">
        <v>15</v>
      </c>
      <c r="G444">
        <v>3</v>
      </c>
      <c r="H444" s="12">
        <v>0</v>
      </c>
      <c r="I444" s="12">
        <v>0</v>
      </c>
      <c r="J444" s="12">
        <v>0</v>
      </c>
      <c r="K444" s="12">
        <v>0</v>
      </c>
      <c r="L444" s="12">
        <v>0</v>
      </c>
      <c r="M444" s="12">
        <v>0</v>
      </c>
      <c r="N444" s="12">
        <v>0</v>
      </c>
      <c r="O444" s="12">
        <v>0</v>
      </c>
      <c r="P444" s="12">
        <v>1</v>
      </c>
      <c r="Q444" s="12">
        <v>0</v>
      </c>
      <c r="R444" s="12">
        <v>0</v>
      </c>
    </row>
    <row r="445" spans="1:19" x14ac:dyDescent="0.25">
      <c r="A445" s="13">
        <v>45901.730567129627</v>
      </c>
      <c r="B445" t="s">
        <v>355</v>
      </c>
      <c r="C445" t="s">
        <v>363</v>
      </c>
      <c r="D445" t="s">
        <v>10</v>
      </c>
      <c r="E445" t="s">
        <v>11</v>
      </c>
      <c r="F445" t="s">
        <v>12</v>
      </c>
      <c r="G445">
        <v>10.5</v>
      </c>
      <c r="H445" s="12">
        <v>1</v>
      </c>
      <c r="I445" s="12">
        <v>0</v>
      </c>
      <c r="J445" s="12">
        <v>1</v>
      </c>
      <c r="K445" s="12">
        <v>0</v>
      </c>
      <c r="L445" s="12">
        <v>0</v>
      </c>
      <c r="M445" s="12">
        <v>0</v>
      </c>
      <c r="N445" s="12">
        <v>0</v>
      </c>
      <c r="O445" s="12">
        <v>0</v>
      </c>
      <c r="P445" s="12">
        <v>0</v>
      </c>
      <c r="Q445" s="12">
        <v>0</v>
      </c>
      <c r="R445" s="12">
        <v>1</v>
      </c>
      <c r="S445" t="s">
        <v>147</v>
      </c>
    </row>
    <row r="446" spans="1:19" x14ac:dyDescent="0.25">
      <c r="A446" s="13">
        <v>45901.73065972222</v>
      </c>
      <c r="B446" t="s">
        <v>355</v>
      </c>
      <c r="C446" t="s">
        <v>363</v>
      </c>
      <c r="D446" t="s">
        <v>10</v>
      </c>
      <c r="E446" t="s">
        <v>11</v>
      </c>
      <c r="F446" t="s">
        <v>14</v>
      </c>
      <c r="G446">
        <v>0.5</v>
      </c>
      <c r="H446" s="12">
        <v>0</v>
      </c>
      <c r="I446" s="12">
        <v>0</v>
      </c>
      <c r="J446" s="12">
        <v>0</v>
      </c>
      <c r="K446" s="12">
        <v>0</v>
      </c>
      <c r="L446" s="12">
        <v>0</v>
      </c>
      <c r="M446" s="12">
        <v>0</v>
      </c>
      <c r="N446" s="12">
        <v>0</v>
      </c>
      <c r="O446" s="12">
        <v>1</v>
      </c>
      <c r="P446" s="12">
        <v>0</v>
      </c>
      <c r="Q446" s="12">
        <v>0</v>
      </c>
      <c r="R446" s="12">
        <v>0</v>
      </c>
    </row>
    <row r="447" spans="1:19" x14ac:dyDescent="0.25">
      <c r="A447" s="13">
        <v>45901.73777777778</v>
      </c>
      <c r="B447" t="s">
        <v>355</v>
      </c>
      <c r="C447" t="s">
        <v>363</v>
      </c>
      <c r="D447" t="s">
        <v>10</v>
      </c>
      <c r="E447" t="s">
        <v>11</v>
      </c>
      <c r="F447" t="s">
        <v>14</v>
      </c>
      <c r="G447">
        <v>0.5</v>
      </c>
      <c r="H447" s="12">
        <v>0</v>
      </c>
      <c r="I447" s="12">
        <v>0</v>
      </c>
      <c r="J447" s="12">
        <v>0</v>
      </c>
      <c r="K447" s="12">
        <v>0</v>
      </c>
      <c r="L447" s="12">
        <v>0</v>
      </c>
      <c r="M447" s="12">
        <v>0</v>
      </c>
      <c r="N447" s="12">
        <v>0</v>
      </c>
      <c r="O447" s="12">
        <v>0</v>
      </c>
      <c r="P447" s="12">
        <v>1</v>
      </c>
      <c r="Q447" s="12">
        <v>0</v>
      </c>
      <c r="R447" s="12">
        <v>0</v>
      </c>
    </row>
    <row r="448" spans="1:19" x14ac:dyDescent="0.25">
      <c r="A448" s="13">
        <v>45902.433657407404</v>
      </c>
      <c r="B448" t="s">
        <v>347</v>
      </c>
      <c r="C448" t="s">
        <v>358</v>
      </c>
      <c r="D448" t="s">
        <v>10</v>
      </c>
      <c r="E448" t="s">
        <v>11</v>
      </c>
      <c r="F448" t="s">
        <v>12</v>
      </c>
      <c r="G448">
        <v>10.5</v>
      </c>
      <c r="H448" s="12">
        <v>0</v>
      </c>
      <c r="I448" s="12">
        <v>0</v>
      </c>
      <c r="J448" s="12">
        <v>0</v>
      </c>
      <c r="K448" s="12">
        <v>0</v>
      </c>
      <c r="L448" s="12">
        <v>1</v>
      </c>
      <c r="M448" s="12">
        <v>0</v>
      </c>
      <c r="N448" s="12">
        <v>0</v>
      </c>
      <c r="O448" s="12">
        <v>0</v>
      </c>
      <c r="P448" s="12">
        <v>0</v>
      </c>
      <c r="Q448" s="12">
        <v>0</v>
      </c>
      <c r="R448" s="12">
        <v>0</v>
      </c>
    </row>
    <row r="449" spans="1:19" x14ac:dyDescent="0.25">
      <c r="A449" s="13">
        <v>45902.44902777778</v>
      </c>
      <c r="B449" t="s">
        <v>347</v>
      </c>
      <c r="C449" t="s">
        <v>358</v>
      </c>
      <c r="D449" t="s">
        <v>10</v>
      </c>
      <c r="E449" t="s">
        <v>11</v>
      </c>
      <c r="F449" t="s">
        <v>12</v>
      </c>
      <c r="G449">
        <v>10.5</v>
      </c>
      <c r="H449" s="12">
        <v>0</v>
      </c>
      <c r="I449" s="12">
        <v>0</v>
      </c>
      <c r="J449" s="12">
        <v>0</v>
      </c>
      <c r="K449" s="12">
        <v>0</v>
      </c>
      <c r="L449" s="12">
        <v>1</v>
      </c>
      <c r="M449" s="12">
        <v>0</v>
      </c>
      <c r="N449" s="12">
        <v>0</v>
      </c>
      <c r="O449" s="12">
        <v>0</v>
      </c>
      <c r="P449" s="12">
        <v>0</v>
      </c>
      <c r="Q449" s="12">
        <v>0</v>
      </c>
      <c r="R449" s="12">
        <v>0</v>
      </c>
    </row>
    <row r="450" spans="1:19" x14ac:dyDescent="0.25">
      <c r="A450" s="13">
        <v>45902.449826388889</v>
      </c>
      <c r="B450" t="s">
        <v>347</v>
      </c>
      <c r="C450" t="s">
        <v>358</v>
      </c>
      <c r="D450" t="s">
        <v>10</v>
      </c>
      <c r="E450" t="s">
        <v>11</v>
      </c>
      <c r="F450" t="s">
        <v>12</v>
      </c>
      <c r="G450">
        <v>10.5</v>
      </c>
      <c r="H450" s="12">
        <v>1</v>
      </c>
      <c r="I450" s="12">
        <v>0</v>
      </c>
      <c r="J450" s="12">
        <v>0</v>
      </c>
      <c r="K450" s="12">
        <v>1</v>
      </c>
      <c r="L450" s="12">
        <v>0</v>
      </c>
      <c r="M450" s="12">
        <v>0</v>
      </c>
      <c r="N450" s="12">
        <v>0</v>
      </c>
      <c r="O450" s="12">
        <v>0</v>
      </c>
      <c r="P450" s="12">
        <v>0</v>
      </c>
      <c r="Q450" s="12">
        <v>0</v>
      </c>
      <c r="R450" s="12">
        <v>0</v>
      </c>
      <c r="S450" t="s">
        <v>148</v>
      </c>
    </row>
    <row r="451" spans="1:19" x14ac:dyDescent="0.25">
      <c r="A451" s="13">
        <v>45902.451006944444</v>
      </c>
      <c r="B451" t="s">
        <v>347</v>
      </c>
      <c r="C451" t="s">
        <v>358</v>
      </c>
      <c r="D451" t="s">
        <v>10</v>
      </c>
      <c r="E451" t="s">
        <v>11</v>
      </c>
      <c r="F451" t="s">
        <v>15</v>
      </c>
      <c r="G451">
        <v>3</v>
      </c>
      <c r="H451" s="12">
        <v>0</v>
      </c>
      <c r="I451" s="12">
        <v>0</v>
      </c>
      <c r="J451" s="12">
        <v>0</v>
      </c>
      <c r="K451" s="12">
        <v>0</v>
      </c>
      <c r="L451" s="12">
        <v>0</v>
      </c>
      <c r="M451" s="12">
        <v>0</v>
      </c>
      <c r="N451" s="12">
        <v>0</v>
      </c>
      <c r="O451" s="12">
        <v>1</v>
      </c>
      <c r="P451" s="12">
        <v>0</v>
      </c>
      <c r="Q451" s="12">
        <v>0</v>
      </c>
      <c r="R451" s="12">
        <v>0</v>
      </c>
      <c r="S451" t="s">
        <v>149</v>
      </c>
    </row>
    <row r="452" spans="1:19" x14ac:dyDescent="0.25">
      <c r="A452" s="13">
        <v>45902.578842592593</v>
      </c>
      <c r="B452" t="s">
        <v>351</v>
      </c>
      <c r="C452" t="s">
        <v>358</v>
      </c>
      <c r="D452" t="s">
        <v>10</v>
      </c>
      <c r="E452" t="s">
        <v>11</v>
      </c>
      <c r="F452" t="s">
        <v>15</v>
      </c>
      <c r="G452">
        <v>3</v>
      </c>
      <c r="H452" s="12">
        <v>0</v>
      </c>
      <c r="I452" s="12">
        <v>0</v>
      </c>
      <c r="J452" s="12">
        <v>0</v>
      </c>
      <c r="K452" s="12">
        <v>0</v>
      </c>
      <c r="L452" s="12">
        <v>0</v>
      </c>
      <c r="M452" s="12">
        <v>0</v>
      </c>
      <c r="N452" s="12">
        <v>0</v>
      </c>
      <c r="O452" s="12">
        <v>0</v>
      </c>
      <c r="P452" s="12">
        <v>0</v>
      </c>
      <c r="Q452" s="12">
        <v>0</v>
      </c>
      <c r="R452" s="12">
        <v>1</v>
      </c>
      <c r="S452" t="s">
        <v>150</v>
      </c>
    </row>
    <row r="453" spans="1:19" x14ac:dyDescent="0.25">
      <c r="A453" s="13">
        <v>45902.622812499998</v>
      </c>
      <c r="B453" t="s">
        <v>348</v>
      </c>
      <c r="C453" t="s">
        <v>358</v>
      </c>
      <c r="D453" t="s">
        <v>10</v>
      </c>
      <c r="E453" t="s">
        <v>11</v>
      </c>
      <c r="F453" t="s">
        <v>15</v>
      </c>
      <c r="G453">
        <v>3</v>
      </c>
      <c r="H453" s="12">
        <v>1</v>
      </c>
      <c r="I453" s="12">
        <v>0</v>
      </c>
      <c r="J453" s="12">
        <v>1</v>
      </c>
      <c r="K453" s="12">
        <v>0</v>
      </c>
      <c r="L453" s="12">
        <v>0</v>
      </c>
      <c r="M453" s="12">
        <v>0</v>
      </c>
      <c r="N453" s="12">
        <v>0</v>
      </c>
      <c r="O453" s="12">
        <v>0</v>
      </c>
      <c r="P453" s="12">
        <v>0</v>
      </c>
      <c r="Q453" s="12">
        <v>0</v>
      </c>
      <c r="R453" s="12">
        <v>0</v>
      </c>
      <c r="S453" t="s">
        <v>25</v>
      </c>
    </row>
    <row r="454" spans="1:19" x14ac:dyDescent="0.25">
      <c r="A454" s="13">
        <v>45903.416435185187</v>
      </c>
      <c r="B454" t="s">
        <v>352</v>
      </c>
      <c r="C454" t="s">
        <v>359</v>
      </c>
      <c r="D454" t="s">
        <v>10</v>
      </c>
      <c r="E454" t="s">
        <v>11</v>
      </c>
      <c r="F454" t="s">
        <v>15</v>
      </c>
      <c r="G454">
        <v>3</v>
      </c>
      <c r="H454" s="12">
        <v>1</v>
      </c>
      <c r="I454" s="12">
        <v>0</v>
      </c>
      <c r="J454" s="12">
        <v>1</v>
      </c>
      <c r="K454" s="12">
        <v>0</v>
      </c>
      <c r="L454" s="12">
        <v>0</v>
      </c>
      <c r="M454" s="12">
        <v>0</v>
      </c>
      <c r="N454" s="12">
        <v>0</v>
      </c>
      <c r="O454" s="12">
        <v>0</v>
      </c>
      <c r="P454" s="12">
        <v>0</v>
      </c>
      <c r="Q454" s="12">
        <v>0</v>
      </c>
      <c r="R454" s="12">
        <v>0</v>
      </c>
    </row>
    <row r="455" spans="1:19" x14ac:dyDescent="0.25">
      <c r="A455" s="13">
        <v>45903.445428240739</v>
      </c>
      <c r="B455" t="s">
        <v>347</v>
      </c>
      <c r="C455" t="s">
        <v>359</v>
      </c>
      <c r="D455" t="s">
        <v>10</v>
      </c>
      <c r="E455" t="s">
        <v>11</v>
      </c>
      <c r="F455" t="s">
        <v>12</v>
      </c>
      <c r="G455">
        <v>10.5</v>
      </c>
      <c r="H455" s="12">
        <v>0</v>
      </c>
      <c r="I455" s="12">
        <v>0</v>
      </c>
      <c r="J455" s="12">
        <v>0</v>
      </c>
      <c r="K455" s="12">
        <v>0</v>
      </c>
      <c r="L455" s="12">
        <v>1</v>
      </c>
      <c r="M455" s="12">
        <v>0</v>
      </c>
      <c r="N455" s="12">
        <v>0</v>
      </c>
      <c r="O455" s="12">
        <v>0</v>
      </c>
      <c r="P455" s="12">
        <v>0</v>
      </c>
      <c r="Q455" s="12">
        <v>0</v>
      </c>
      <c r="R455" s="12">
        <v>0</v>
      </c>
      <c r="S455" t="s">
        <v>151</v>
      </c>
    </row>
    <row r="456" spans="1:19" x14ac:dyDescent="0.25">
      <c r="A456" s="13">
        <v>45903.460636574076</v>
      </c>
      <c r="B456" t="s">
        <v>354</v>
      </c>
      <c r="C456" t="s">
        <v>359</v>
      </c>
      <c r="D456" t="s">
        <v>10</v>
      </c>
      <c r="E456" t="s">
        <v>11</v>
      </c>
      <c r="F456" t="s">
        <v>15</v>
      </c>
      <c r="G456">
        <v>3</v>
      </c>
      <c r="H456" s="12">
        <v>1</v>
      </c>
      <c r="I456" s="12">
        <v>0</v>
      </c>
      <c r="J456" s="12">
        <v>0</v>
      </c>
      <c r="K456" s="12">
        <v>0</v>
      </c>
      <c r="L456" s="12">
        <v>0</v>
      </c>
      <c r="M456" s="12">
        <v>0</v>
      </c>
      <c r="N456" s="12">
        <v>0</v>
      </c>
      <c r="O456" s="12">
        <v>0</v>
      </c>
      <c r="P456" s="12">
        <v>0</v>
      </c>
      <c r="Q456" s="12">
        <v>0</v>
      </c>
      <c r="R456" s="12">
        <v>0</v>
      </c>
    </row>
    <row r="457" spans="1:19" x14ac:dyDescent="0.25">
      <c r="A457" s="13">
        <v>45903.505648148152</v>
      </c>
      <c r="B457" t="s">
        <v>350</v>
      </c>
      <c r="C457" t="s">
        <v>359</v>
      </c>
      <c r="D457" t="s">
        <v>10</v>
      </c>
      <c r="E457" t="s">
        <v>11</v>
      </c>
      <c r="F457" t="s">
        <v>15</v>
      </c>
      <c r="G457">
        <v>3</v>
      </c>
      <c r="H457" s="12">
        <v>0</v>
      </c>
      <c r="I457" s="12">
        <v>0</v>
      </c>
      <c r="J457" s="12">
        <v>0</v>
      </c>
      <c r="K457" s="12">
        <v>0</v>
      </c>
      <c r="L457" s="12">
        <v>0</v>
      </c>
      <c r="M457" s="12">
        <v>0</v>
      </c>
      <c r="N457" s="12">
        <v>0</v>
      </c>
      <c r="O457" s="12">
        <v>1</v>
      </c>
      <c r="P457" s="12">
        <v>0</v>
      </c>
      <c r="Q457" s="12">
        <v>0</v>
      </c>
      <c r="R457" s="12">
        <v>0</v>
      </c>
    </row>
    <row r="458" spans="1:19" x14ac:dyDescent="0.25">
      <c r="A458" s="13">
        <v>45903.506076388891</v>
      </c>
      <c r="B458" t="s">
        <v>350</v>
      </c>
      <c r="C458" t="s">
        <v>359</v>
      </c>
      <c r="D458" t="s">
        <v>10</v>
      </c>
      <c r="E458" t="s">
        <v>11</v>
      </c>
      <c r="F458" t="s">
        <v>14</v>
      </c>
      <c r="G458">
        <v>0.5</v>
      </c>
      <c r="H458" s="12">
        <v>0</v>
      </c>
      <c r="I458" s="12">
        <v>1</v>
      </c>
      <c r="J458" s="12">
        <v>0</v>
      </c>
      <c r="K458" s="12">
        <v>0</v>
      </c>
      <c r="L458" s="12">
        <v>0</v>
      </c>
      <c r="M458" s="12">
        <v>0</v>
      </c>
      <c r="N458" s="12">
        <v>0</v>
      </c>
      <c r="O458" s="12">
        <v>0</v>
      </c>
      <c r="P458" s="12">
        <v>0</v>
      </c>
      <c r="Q458" s="12">
        <v>0</v>
      </c>
      <c r="R458" s="12">
        <v>0</v>
      </c>
    </row>
    <row r="459" spans="1:19" x14ac:dyDescent="0.25">
      <c r="A459" s="13">
        <v>45903.54105324074</v>
      </c>
      <c r="B459" t="s">
        <v>350</v>
      </c>
      <c r="C459" t="s">
        <v>359</v>
      </c>
      <c r="D459" t="s">
        <v>10</v>
      </c>
      <c r="E459" t="s">
        <v>11</v>
      </c>
      <c r="F459" t="s">
        <v>14</v>
      </c>
      <c r="G459">
        <v>0.5</v>
      </c>
      <c r="H459" s="12">
        <v>0</v>
      </c>
      <c r="I459" s="12">
        <v>0</v>
      </c>
      <c r="J459" s="12">
        <v>0</v>
      </c>
      <c r="K459" s="12">
        <v>0</v>
      </c>
      <c r="L459" s="12">
        <v>0</v>
      </c>
      <c r="M459" s="12">
        <v>0</v>
      </c>
      <c r="N459" s="12">
        <v>0</v>
      </c>
      <c r="O459" s="12">
        <v>0</v>
      </c>
      <c r="P459" s="12">
        <v>0</v>
      </c>
      <c r="Q459" s="12">
        <v>1</v>
      </c>
      <c r="R459" s="12">
        <v>0</v>
      </c>
    </row>
    <row r="460" spans="1:19" x14ac:dyDescent="0.25">
      <c r="A460" s="13">
        <v>45903.541296296295</v>
      </c>
      <c r="B460" t="s">
        <v>350</v>
      </c>
      <c r="C460" t="s">
        <v>359</v>
      </c>
      <c r="D460" t="s">
        <v>10</v>
      </c>
      <c r="E460" t="s">
        <v>11</v>
      </c>
      <c r="F460" t="s">
        <v>14</v>
      </c>
      <c r="G460">
        <v>0.5</v>
      </c>
      <c r="H460" s="12">
        <v>0</v>
      </c>
      <c r="I460" s="12">
        <v>0</v>
      </c>
      <c r="J460" s="12">
        <v>0</v>
      </c>
      <c r="K460" s="12">
        <v>0</v>
      </c>
      <c r="L460" s="12">
        <v>0</v>
      </c>
      <c r="M460" s="12">
        <v>0</v>
      </c>
      <c r="N460" s="12">
        <v>0</v>
      </c>
      <c r="O460" s="12">
        <v>0</v>
      </c>
      <c r="P460" s="12">
        <v>0</v>
      </c>
      <c r="Q460" s="12">
        <v>1</v>
      </c>
      <c r="R460" s="12">
        <v>0</v>
      </c>
    </row>
    <row r="461" spans="1:19" x14ac:dyDescent="0.25">
      <c r="A461" s="13">
        <v>45903.749756944446</v>
      </c>
      <c r="B461" t="s">
        <v>355</v>
      </c>
      <c r="C461" t="s">
        <v>359</v>
      </c>
      <c r="D461" t="s">
        <v>10</v>
      </c>
      <c r="E461" t="s">
        <v>11</v>
      </c>
      <c r="F461" t="s">
        <v>15</v>
      </c>
      <c r="G461">
        <v>3</v>
      </c>
      <c r="H461" s="12">
        <v>0</v>
      </c>
      <c r="I461" s="12">
        <v>0</v>
      </c>
      <c r="J461" s="12">
        <v>0</v>
      </c>
      <c r="K461" s="12">
        <v>0</v>
      </c>
      <c r="L461" s="12">
        <v>0</v>
      </c>
      <c r="M461" s="12">
        <v>0</v>
      </c>
      <c r="N461" s="12">
        <v>0</v>
      </c>
      <c r="O461" s="12">
        <v>0</v>
      </c>
      <c r="P461" s="12">
        <v>1</v>
      </c>
      <c r="Q461" s="12">
        <v>0</v>
      </c>
      <c r="R461" s="12">
        <v>0</v>
      </c>
    </row>
    <row r="462" spans="1:19" x14ac:dyDescent="0.25">
      <c r="A462" s="13">
        <v>45903.749826388892</v>
      </c>
      <c r="B462" t="s">
        <v>355</v>
      </c>
      <c r="C462" t="s">
        <v>359</v>
      </c>
      <c r="D462" t="s">
        <v>10</v>
      </c>
      <c r="E462" t="s">
        <v>11</v>
      </c>
      <c r="F462" t="s">
        <v>14</v>
      </c>
      <c r="G462">
        <v>0.5</v>
      </c>
      <c r="H462" s="12">
        <v>0</v>
      </c>
      <c r="I462" s="12">
        <v>0</v>
      </c>
      <c r="J462" s="12">
        <v>0</v>
      </c>
      <c r="K462" s="12">
        <v>0</v>
      </c>
      <c r="L462" s="12">
        <v>0</v>
      </c>
      <c r="M462" s="12">
        <v>0</v>
      </c>
      <c r="N462" s="12">
        <v>0</v>
      </c>
      <c r="O462" s="12">
        <v>0</v>
      </c>
      <c r="P462" s="12">
        <v>0</v>
      </c>
      <c r="Q462" s="12">
        <v>0</v>
      </c>
      <c r="R462" s="12">
        <v>0</v>
      </c>
    </row>
    <row r="463" spans="1:19" x14ac:dyDescent="0.25">
      <c r="A463" s="13">
        <v>45903.75</v>
      </c>
      <c r="B463" t="s">
        <v>355</v>
      </c>
      <c r="C463" t="s">
        <v>359</v>
      </c>
      <c r="D463" t="s">
        <v>10</v>
      </c>
      <c r="E463" t="s">
        <v>11</v>
      </c>
      <c r="F463" t="s">
        <v>15</v>
      </c>
      <c r="G463">
        <v>3</v>
      </c>
      <c r="H463" s="12">
        <v>1</v>
      </c>
      <c r="I463" s="12">
        <v>0</v>
      </c>
      <c r="J463" s="12">
        <v>0</v>
      </c>
      <c r="K463" s="12">
        <v>0</v>
      </c>
      <c r="L463" s="12">
        <v>0</v>
      </c>
      <c r="M463" s="12">
        <v>0</v>
      </c>
      <c r="N463" s="12">
        <v>0</v>
      </c>
      <c r="O463" s="12">
        <v>0</v>
      </c>
      <c r="P463" s="12">
        <v>0</v>
      </c>
      <c r="Q463" s="12">
        <v>0</v>
      </c>
      <c r="R463" s="12">
        <v>0</v>
      </c>
    </row>
    <row r="464" spans="1:19" x14ac:dyDescent="0.25">
      <c r="A464" s="13">
        <v>45903.750219907408</v>
      </c>
      <c r="B464" t="s">
        <v>355</v>
      </c>
      <c r="C464" t="s">
        <v>359</v>
      </c>
      <c r="D464" t="s">
        <v>10</v>
      </c>
      <c r="E464" t="s">
        <v>11</v>
      </c>
      <c r="F464" t="s">
        <v>14</v>
      </c>
      <c r="G464">
        <v>0.5</v>
      </c>
      <c r="H464" s="12">
        <v>0</v>
      </c>
      <c r="I464" s="12">
        <v>0</v>
      </c>
      <c r="J464" s="12">
        <v>0</v>
      </c>
      <c r="K464" s="12">
        <v>0</v>
      </c>
      <c r="L464" s="12">
        <v>0</v>
      </c>
      <c r="M464" s="12">
        <v>0</v>
      </c>
      <c r="N464" s="12">
        <v>0</v>
      </c>
      <c r="O464" s="12">
        <v>0</v>
      </c>
      <c r="P464" s="12">
        <v>1</v>
      </c>
      <c r="Q464" s="12">
        <v>0</v>
      </c>
      <c r="R464" s="12">
        <v>0</v>
      </c>
    </row>
    <row r="465" spans="1:19" x14ac:dyDescent="0.25">
      <c r="A465" s="13">
        <v>45904.382199074076</v>
      </c>
      <c r="B465" t="s">
        <v>352</v>
      </c>
      <c r="C465" t="s">
        <v>360</v>
      </c>
      <c r="D465" t="s">
        <v>20</v>
      </c>
      <c r="E465" t="s">
        <v>11</v>
      </c>
      <c r="F465" t="s">
        <v>15</v>
      </c>
      <c r="G465">
        <v>3</v>
      </c>
      <c r="H465" s="12">
        <v>0</v>
      </c>
      <c r="I465" s="12">
        <v>0</v>
      </c>
      <c r="J465" s="12">
        <v>0</v>
      </c>
      <c r="K465" s="12">
        <v>0</v>
      </c>
      <c r="L465" s="12">
        <v>0</v>
      </c>
      <c r="M465" s="12">
        <v>0</v>
      </c>
      <c r="N465" s="12">
        <v>0</v>
      </c>
      <c r="O465" s="12">
        <v>0</v>
      </c>
      <c r="P465" s="12">
        <v>0</v>
      </c>
      <c r="Q465" s="12">
        <v>0</v>
      </c>
      <c r="R465" s="12">
        <v>1</v>
      </c>
      <c r="S465" t="s">
        <v>152</v>
      </c>
    </row>
    <row r="466" spans="1:19" x14ac:dyDescent="0.25">
      <c r="A466" s="13">
        <v>45904.383518518516</v>
      </c>
      <c r="B466" t="s">
        <v>352</v>
      </c>
      <c r="C466" t="s">
        <v>360</v>
      </c>
      <c r="D466" t="s">
        <v>10</v>
      </c>
      <c r="E466" t="s">
        <v>11</v>
      </c>
      <c r="F466" t="s">
        <v>14</v>
      </c>
      <c r="G466">
        <v>0.5</v>
      </c>
      <c r="H466" s="12">
        <v>0</v>
      </c>
      <c r="I466" s="12">
        <v>0</v>
      </c>
      <c r="J466" s="12">
        <v>0</v>
      </c>
      <c r="K466" s="12">
        <v>0</v>
      </c>
      <c r="L466" s="12">
        <v>0</v>
      </c>
      <c r="M466" s="12">
        <v>0</v>
      </c>
      <c r="N466" s="12">
        <v>0</v>
      </c>
      <c r="O466" s="12">
        <v>0</v>
      </c>
      <c r="P466" s="12">
        <v>0</v>
      </c>
      <c r="Q466" s="12">
        <v>1</v>
      </c>
      <c r="R466" s="12">
        <v>0</v>
      </c>
    </row>
    <row r="467" spans="1:19" x14ac:dyDescent="0.25">
      <c r="A467" s="13">
        <v>45904.407106481478</v>
      </c>
      <c r="B467" t="s">
        <v>352</v>
      </c>
      <c r="C467" t="s">
        <v>360</v>
      </c>
      <c r="D467" t="s">
        <v>20</v>
      </c>
      <c r="E467" t="s">
        <v>11</v>
      </c>
      <c r="F467" t="s">
        <v>15</v>
      </c>
      <c r="G467">
        <v>3</v>
      </c>
      <c r="H467" s="12">
        <v>0</v>
      </c>
      <c r="I467" s="12">
        <v>0</v>
      </c>
      <c r="J467" s="12">
        <v>0</v>
      </c>
      <c r="K467" s="12">
        <v>0</v>
      </c>
      <c r="L467" s="12">
        <v>0</v>
      </c>
      <c r="M467" s="12">
        <v>0</v>
      </c>
      <c r="N467" s="12">
        <v>0</v>
      </c>
      <c r="O467" s="12">
        <v>0</v>
      </c>
      <c r="P467" s="12">
        <v>0</v>
      </c>
      <c r="Q467" s="12">
        <v>0</v>
      </c>
      <c r="R467" s="12">
        <v>1</v>
      </c>
      <c r="S467" t="s">
        <v>153</v>
      </c>
    </row>
    <row r="468" spans="1:19" x14ac:dyDescent="0.25">
      <c r="A468" s="13">
        <v>45904.407453703701</v>
      </c>
      <c r="B468" t="s">
        <v>352</v>
      </c>
      <c r="C468" t="s">
        <v>360</v>
      </c>
      <c r="D468" t="s">
        <v>10</v>
      </c>
      <c r="E468" t="s">
        <v>11</v>
      </c>
      <c r="F468" t="s">
        <v>14</v>
      </c>
      <c r="G468">
        <v>0.5</v>
      </c>
      <c r="H468" s="12">
        <v>1</v>
      </c>
      <c r="I468" s="12">
        <v>0</v>
      </c>
      <c r="J468" s="12">
        <v>0</v>
      </c>
      <c r="K468" s="12">
        <v>0</v>
      </c>
      <c r="L468" s="12">
        <v>0</v>
      </c>
      <c r="M468" s="12">
        <v>0</v>
      </c>
      <c r="N468" s="12">
        <v>0</v>
      </c>
      <c r="O468" s="12">
        <v>0</v>
      </c>
      <c r="P468" s="12">
        <v>0</v>
      </c>
      <c r="Q468" s="12">
        <v>0</v>
      </c>
      <c r="R468" s="12">
        <v>0</v>
      </c>
    </row>
    <row r="469" spans="1:19" x14ac:dyDescent="0.25">
      <c r="A469" s="13">
        <v>45904.541284722225</v>
      </c>
      <c r="B469" t="s">
        <v>350</v>
      </c>
      <c r="C469" t="s">
        <v>360</v>
      </c>
      <c r="D469" t="s">
        <v>10</v>
      </c>
      <c r="E469" t="s">
        <v>11</v>
      </c>
      <c r="F469" t="s">
        <v>12</v>
      </c>
      <c r="G469">
        <v>10.5</v>
      </c>
      <c r="H469" s="12">
        <v>0</v>
      </c>
      <c r="I469" s="12">
        <v>0</v>
      </c>
      <c r="J469" s="12">
        <v>0</v>
      </c>
      <c r="K469" s="12">
        <v>1</v>
      </c>
      <c r="L469" s="12">
        <v>0</v>
      </c>
      <c r="M469" s="12">
        <v>0</v>
      </c>
      <c r="N469" s="12">
        <v>0</v>
      </c>
      <c r="O469" s="12">
        <v>0</v>
      </c>
      <c r="P469" s="12">
        <v>0</v>
      </c>
      <c r="Q469" s="12">
        <v>0</v>
      </c>
      <c r="R469" s="12">
        <v>0</v>
      </c>
    </row>
    <row r="470" spans="1:19" x14ac:dyDescent="0.25">
      <c r="A470" s="13">
        <v>45904.54142361111</v>
      </c>
      <c r="B470" t="s">
        <v>350</v>
      </c>
      <c r="C470" t="s">
        <v>360</v>
      </c>
      <c r="D470" t="s">
        <v>10</v>
      </c>
      <c r="E470" t="s">
        <v>11</v>
      </c>
      <c r="F470" t="s">
        <v>15</v>
      </c>
      <c r="G470">
        <v>3</v>
      </c>
      <c r="H470" s="12">
        <v>0</v>
      </c>
      <c r="I470" s="12">
        <v>0</v>
      </c>
      <c r="J470" s="12">
        <v>0</v>
      </c>
      <c r="K470" s="12">
        <v>0</v>
      </c>
      <c r="L470" s="12">
        <v>0</v>
      </c>
      <c r="M470" s="12">
        <v>0</v>
      </c>
      <c r="N470" s="12">
        <v>1</v>
      </c>
      <c r="O470" s="12">
        <v>0</v>
      </c>
      <c r="P470" s="12">
        <v>0</v>
      </c>
      <c r="Q470" s="12">
        <v>0</v>
      </c>
      <c r="R470" s="12">
        <v>0</v>
      </c>
    </row>
    <row r="471" spans="1:19" x14ac:dyDescent="0.25">
      <c r="A471" s="13">
        <v>45905.585416666669</v>
      </c>
      <c r="B471" t="s">
        <v>348</v>
      </c>
      <c r="C471" t="s">
        <v>361</v>
      </c>
      <c r="D471" t="s">
        <v>10</v>
      </c>
      <c r="E471" t="s">
        <v>11</v>
      </c>
      <c r="F471" t="s">
        <v>15</v>
      </c>
      <c r="G471">
        <v>3</v>
      </c>
      <c r="H471" s="12">
        <v>0</v>
      </c>
      <c r="I471" s="12">
        <v>0</v>
      </c>
      <c r="J471" s="12">
        <v>0</v>
      </c>
      <c r="K471" s="12">
        <v>0</v>
      </c>
      <c r="L471" s="12">
        <v>0</v>
      </c>
      <c r="M471" s="12">
        <v>0</v>
      </c>
      <c r="N471" s="12">
        <v>1</v>
      </c>
      <c r="O471" s="12">
        <v>0</v>
      </c>
      <c r="P471" s="12">
        <v>0</v>
      </c>
      <c r="Q471" s="12">
        <v>0</v>
      </c>
      <c r="R471" s="12">
        <v>0</v>
      </c>
    </row>
    <row r="472" spans="1:19" x14ac:dyDescent="0.25">
      <c r="A472" s="13">
        <v>45905.58834490741</v>
      </c>
      <c r="B472" t="s">
        <v>348</v>
      </c>
      <c r="C472" t="s">
        <v>361</v>
      </c>
      <c r="D472" t="s">
        <v>10</v>
      </c>
      <c r="E472" t="s">
        <v>11</v>
      </c>
      <c r="F472" t="s">
        <v>14</v>
      </c>
      <c r="G472">
        <v>0.5</v>
      </c>
      <c r="H472" s="12">
        <v>0</v>
      </c>
      <c r="I472" s="12">
        <v>0</v>
      </c>
      <c r="J472" s="12">
        <v>0</v>
      </c>
      <c r="K472" s="12">
        <v>0</v>
      </c>
      <c r="L472" s="12">
        <v>0</v>
      </c>
      <c r="M472" s="12">
        <v>0</v>
      </c>
      <c r="N472" s="12">
        <v>0</v>
      </c>
      <c r="O472" s="12">
        <v>0</v>
      </c>
      <c r="P472" s="12">
        <v>0</v>
      </c>
      <c r="Q472" s="12">
        <v>1</v>
      </c>
      <c r="R472" s="12">
        <v>0</v>
      </c>
      <c r="S472" t="s">
        <v>132</v>
      </c>
    </row>
    <row r="473" spans="1:19" x14ac:dyDescent="0.25">
      <c r="A473" s="13">
        <v>45905.58865740741</v>
      </c>
      <c r="B473" t="s">
        <v>348</v>
      </c>
      <c r="C473" t="s">
        <v>361</v>
      </c>
      <c r="D473" t="s">
        <v>10</v>
      </c>
      <c r="E473" t="s">
        <v>11</v>
      </c>
      <c r="F473" t="s">
        <v>15</v>
      </c>
      <c r="G473">
        <v>3</v>
      </c>
      <c r="H473" s="12">
        <v>0</v>
      </c>
      <c r="I473" s="12">
        <v>0</v>
      </c>
      <c r="J473" s="12">
        <v>0</v>
      </c>
      <c r="K473" s="12">
        <v>0</v>
      </c>
      <c r="L473" s="12">
        <v>0</v>
      </c>
      <c r="M473" s="12">
        <v>0</v>
      </c>
      <c r="N473" s="12">
        <v>0</v>
      </c>
      <c r="O473" s="12">
        <v>1</v>
      </c>
      <c r="P473" s="12">
        <v>0</v>
      </c>
      <c r="Q473" s="12">
        <v>0</v>
      </c>
      <c r="R473" s="12">
        <v>0</v>
      </c>
      <c r="S473" t="s">
        <v>154</v>
      </c>
    </row>
    <row r="474" spans="1:19" x14ac:dyDescent="0.25">
      <c r="A474" s="13">
        <v>45905.625358796293</v>
      </c>
      <c r="B474" t="s">
        <v>349</v>
      </c>
      <c r="C474" t="s">
        <v>361</v>
      </c>
      <c r="D474" t="s">
        <v>10</v>
      </c>
      <c r="E474" t="s">
        <v>11</v>
      </c>
      <c r="F474" t="s">
        <v>15</v>
      </c>
      <c r="G474">
        <v>3</v>
      </c>
      <c r="H474" s="12">
        <v>0</v>
      </c>
      <c r="I474" s="12">
        <v>0</v>
      </c>
      <c r="J474" s="12">
        <v>0</v>
      </c>
      <c r="K474" s="12">
        <v>0</v>
      </c>
      <c r="L474" s="12">
        <v>0</v>
      </c>
      <c r="M474" s="12">
        <v>0</v>
      </c>
      <c r="N474" s="12">
        <v>0</v>
      </c>
      <c r="O474" s="12">
        <v>0</v>
      </c>
      <c r="P474" s="12">
        <v>1</v>
      </c>
      <c r="Q474" s="12">
        <v>0</v>
      </c>
      <c r="R474" s="12">
        <v>0</v>
      </c>
      <c r="S474" t="s">
        <v>155</v>
      </c>
    </row>
    <row r="475" spans="1:19" x14ac:dyDescent="0.25">
      <c r="A475" s="13">
        <v>45905.625613425924</v>
      </c>
      <c r="B475" t="s">
        <v>349</v>
      </c>
      <c r="C475" t="s">
        <v>361</v>
      </c>
      <c r="D475" t="s">
        <v>10</v>
      </c>
      <c r="E475" t="s">
        <v>17</v>
      </c>
      <c r="F475" t="s">
        <v>15</v>
      </c>
      <c r="G475">
        <v>3</v>
      </c>
      <c r="H475" s="12">
        <v>0</v>
      </c>
      <c r="I475" s="12">
        <v>0</v>
      </c>
      <c r="J475" s="12">
        <v>0</v>
      </c>
      <c r="K475" s="12">
        <v>0</v>
      </c>
      <c r="L475" s="12">
        <v>0</v>
      </c>
      <c r="M475" s="12">
        <v>0</v>
      </c>
      <c r="N475" s="12">
        <v>0</v>
      </c>
      <c r="O475" s="12">
        <v>0</v>
      </c>
      <c r="P475" s="12">
        <v>1</v>
      </c>
      <c r="Q475" s="12">
        <v>0</v>
      </c>
      <c r="R475" s="12">
        <v>0</v>
      </c>
      <c r="S475" t="s">
        <v>156</v>
      </c>
    </row>
    <row r="476" spans="1:19" x14ac:dyDescent="0.25">
      <c r="A476" s="13">
        <v>45905.625856481478</v>
      </c>
      <c r="B476" t="s">
        <v>349</v>
      </c>
      <c r="C476" t="s">
        <v>361</v>
      </c>
      <c r="D476" t="s">
        <v>10</v>
      </c>
      <c r="E476" t="s">
        <v>17</v>
      </c>
      <c r="F476" t="s">
        <v>15</v>
      </c>
      <c r="G476">
        <v>3</v>
      </c>
      <c r="H476" s="12">
        <v>0</v>
      </c>
      <c r="I476" s="12">
        <v>0</v>
      </c>
      <c r="J476" s="12">
        <v>0</v>
      </c>
      <c r="K476" s="12">
        <v>0</v>
      </c>
      <c r="L476" s="12">
        <v>0</v>
      </c>
      <c r="M476" s="12">
        <v>0</v>
      </c>
      <c r="N476" s="12">
        <v>0</v>
      </c>
      <c r="O476" s="12">
        <v>0</v>
      </c>
      <c r="P476" s="12">
        <v>1</v>
      </c>
      <c r="Q476" s="12">
        <v>0</v>
      </c>
      <c r="R476" s="12">
        <v>0</v>
      </c>
      <c r="S476" t="s">
        <v>156</v>
      </c>
    </row>
    <row r="477" spans="1:19" x14ac:dyDescent="0.25">
      <c r="A477" s="13">
        <v>45905.666956018518</v>
      </c>
      <c r="B477" t="s">
        <v>353</v>
      </c>
      <c r="C477" t="s">
        <v>361</v>
      </c>
      <c r="D477" t="s">
        <v>20</v>
      </c>
      <c r="E477" t="s">
        <v>11</v>
      </c>
      <c r="F477" t="s">
        <v>15</v>
      </c>
      <c r="G477">
        <v>3</v>
      </c>
      <c r="H477" s="12">
        <v>0</v>
      </c>
      <c r="I477" s="12">
        <v>0</v>
      </c>
      <c r="J477" s="12">
        <v>0</v>
      </c>
      <c r="K477" s="12">
        <v>0</v>
      </c>
      <c r="L477" s="12">
        <v>0</v>
      </c>
      <c r="M477" s="12">
        <v>0</v>
      </c>
      <c r="N477" s="12">
        <v>0</v>
      </c>
      <c r="O477" s="12">
        <v>0</v>
      </c>
      <c r="P477" s="12">
        <v>0</v>
      </c>
      <c r="Q477" s="12">
        <v>0</v>
      </c>
      <c r="R477" s="12">
        <v>1</v>
      </c>
      <c r="S477" t="s">
        <v>157</v>
      </c>
    </row>
    <row r="478" spans="1:19" x14ac:dyDescent="0.25">
      <c r="A478" s="13">
        <v>45905.754837962966</v>
      </c>
      <c r="B478" t="s">
        <v>355</v>
      </c>
      <c r="C478" t="s">
        <v>361</v>
      </c>
      <c r="D478" t="s">
        <v>10</v>
      </c>
      <c r="E478" t="s">
        <v>11</v>
      </c>
      <c r="F478" t="s">
        <v>15</v>
      </c>
      <c r="G478">
        <v>3</v>
      </c>
      <c r="H478" s="12">
        <v>0</v>
      </c>
      <c r="I478" s="12">
        <v>0</v>
      </c>
      <c r="J478" s="12">
        <v>0</v>
      </c>
      <c r="K478" s="12">
        <v>0</v>
      </c>
      <c r="L478" s="12">
        <v>0</v>
      </c>
      <c r="M478" s="12">
        <v>0</v>
      </c>
      <c r="N478" s="12">
        <v>0</v>
      </c>
      <c r="O478" s="12">
        <v>1</v>
      </c>
      <c r="P478" s="12">
        <v>0</v>
      </c>
      <c r="Q478" s="12">
        <v>0</v>
      </c>
      <c r="R478" s="12">
        <v>0</v>
      </c>
    </row>
    <row r="479" spans="1:19" x14ac:dyDescent="0.25">
      <c r="A479" s="13">
        <v>45905.754953703705</v>
      </c>
      <c r="B479" t="s">
        <v>355</v>
      </c>
      <c r="C479" t="s">
        <v>361</v>
      </c>
      <c r="D479" t="s">
        <v>10</v>
      </c>
      <c r="E479" t="s">
        <v>11</v>
      </c>
      <c r="F479" t="s">
        <v>15</v>
      </c>
      <c r="G479">
        <v>3</v>
      </c>
      <c r="H479" s="12">
        <v>0</v>
      </c>
      <c r="I479" s="12">
        <v>0</v>
      </c>
      <c r="J479" s="12">
        <v>0</v>
      </c>
      <c r="K479" s="12">
        <v>0</v>
      </c>
      <c r="L479" s="12">
        <v>0</v>
      </c>
      <c r="M479" s="12">
        <v>0</v>
      </c>
      <c r="N479" s="12">
        <v>0</v>
      </c>
      <c r="O479" s="12">
        <v>1</v>
      </c>
      <c r="P479" s="12">
        <v>0</v>
      </c>
      <c r="Q479" s="12">
        <v>0</v>
      </c>
      <c r="R479" s="12">
        <v>0</v>
      </c>
    </row>
    <row r="480" spans="1:19" x14ac:dyDescent="0.25">
      <c r="A480" s="13">
        <v>45905.755046296297</v>
      </c>
      <c r="B480" t="s">
        <v>355</v>
      </c>
      <c r="C480" t="s">
        <v>361</v>
      </c>
      <c r="D480" t="s">
        <v>10</v>
      </c>
      <c r="E480" t="s">
        <v>11</v>
      </c>
      <c r="F480" t="s">
        <v>14</v>
      </c>
      <c r="G480">
        <v>0.5</v>
      </c>
      <c r="H480" s="12">
        <v>0</v>
      </c>
      <c r="I480" s="12">
        <v>0</v>
      </c>
      <c r="J480" s="12">
        <v>0</v>
      </c>
      <c r="K480" s="12">
        <v>0</v>
      </c>
      <c r="L480" s="12">
        <v>0</v>
      </c>
      <c r="M480" s="12">
        <v>0</v>
      </c>
      <c r="N480" s="12">
        <v>0</v>
      </c>
      <c r="O480" s="12">
        <v>0</v>
      </c>
      <c r="P480" s="12">
        <v>0</v>
      </c>
      <c r="Q480" s="12">
        <v>1</v>
      </c>
      <c r="R480" s="12">
        <v>0</v>
      </c>
    </row>
    <row r="481" spans="1:19" x14ac:dyDescent="0.25">
      <c r="A481" s="13">
        <v>45905.755127314813</v>
      </c>
      <c r="B481" t="s">
        <v>355</v>
      </c>
      <c r="C481" t="s">
        <v>361</v>
      </c>
      <c r="D481" t="s">
        <v>10</v>
      </c>
      <c r="E481" t="s">
        <v>11</v>
      </c>
      <c r="F481" t="s">
        <v>14</v>
      </c>
      <c r="G481">
        <v>0.5</v>
      </c>
      <c r="H481" s="12">
        <v>0</v>
      </c>
      <c r="I481" s="12">
        <v>0</v>
      </c>
      <c r="J481" s="12">
        <v>0</v>
      </c>
      <c r="K481" s="12">
        <v>0</v>
      </c>
      <c r="L481" s="12">
        <v>0</v>
      </c>
      <c r="M481" s="12">
        <v>0</v>
      </c>
      <c r="N481" s="12">
        <v>0</v>
      </c>
      <c r="O481" s="12">
        <v>0</v>
      </c>
      <c r="P481" s="12">
        <v>1</v>
      </c>
      <c r="Q481" s="12">
        <v>0</v>
      </c>
      <c r="R481" s="12">
        <v>0</v>
      </c>
    </row>
    <row r="482" spans="1:19" x14ac:dyDescent="0.25">
      <c r="A482" s="13">
        <v>45905.755243055559</v>
      </c>
      <c r="B482" t="s">
        <v>355</v>
      </c>
      <c r="C482" t="s">
        <v>361</v>
      </c>
      <c r="D482" t="s">
        <v>10</v>
      </c>
      <c r="E482" t="s">
        <v>11</v>
      </c>
      <c r="F482" t="s">
        <v>15</v>
      </c>
      <c r="G482">
        <v>3</v>
      </c>
      <c r="H482" s="12">
        <v>1</v>
      </c>
      <c r="I482" s="12">
        <v>0</v>
      </c>
      <c r="J482" s="12">
        <v>1</v>
      </c>
      <c r="K482" s="12">
        <v>0</v>
      </c>
      <c r="L482" s="12">
        <v>0</v>
      </c>
      <c r="M482" s="12">
        <v>0</v>
      </c>
      <c r="N482" s="12">
        <v>0</v>
      </c>
      <c r="O482" s="12">
        <v>0</v>
      </c>
      <c r="P482" s="12">
        <v>0</v>
      </c>
      <c r="Q482" s="12">
        <v>0</v>
      </c>
      <c r="R482" s="12">
        <v>0</v>
      </c>
    </row>
    <row r="483" spans="1:19" x14ac:dyDescent="0.25">
      <c r="A483" s="13">
        <v>45905.755370370367</v>
      </c>
      <c r="B483" t="s">
        <v>355</v>
      </c>
      <c r="C483" t="s">
        <v>361</v>
      </c>
      <c r="D483" t="s">
        <v>10</v>
      </c>
      <c r="E483" t="s">
        <v>11</v>
      </c>
      <c r="F483" t="s">
        <v>15</v>
      </c>
      <c r="G483">
        <v>3</v>
      </c>
      <c r="H483" s="12">
        <v>0</v>
      </c>
      <c r="I483" s="12">
        <v>0</v>
      </c>
      <c r="J483" s="12">
        <v>0</v>
      </c>
      <c r="K483" s="12">
        <v>0</v>
      </c>
      <c r="L483" s="12">
        <v>0</v>
      </c>
      <c r="M483" s="12">
        <v>0</v>
      </c>
      <c r="N483" s="12">
        <v>1</v>
      </c>
      <c r="O483" s="12">
        <v>0</v>
      </c>
      <c r="P483" s="12">
        <v>0</v>
      </c>
      <c r="Q483" s="12">
        <v>0</v>
      </c>
      <c r="R483" s="12">
        <v>0</v>
      </c>
    </row>
    <row r="484" spans="1:19" x14ac:dyDescent="0.25">
      <c r="A484" s="13">
        <v>45906.407893518517</v>
      </c>
      <c r="B484" t="s">
        <v>352</v>
      </c>
      <c r="C484" t="s">
        <v>362</v>
      </c>
      <c r="D484" t="s">
        <v>10</v>
      </c>
      <c r="E484" t="s">
        <v>11</v>
      </c>
      <c r="F484" t="s">
        <v>14</v>
      </c>
      <c r="G484">
        <v>0.5</v>
      </c>
      <c r="H484" s="12">
        <v>0</v>
      </c>
      <c r="I484" s="12">
        <v>0</v>
      </c>
      <c r="J484" s="12">
        <v>0</v>
      </c>
      <c r="K484" s="12">
        <v>0</v>
      </c>
      <c r="L484" s="12">
        <v>0</v>
      </c>
      <c r="M484" s="12">
        <v>0</v>
      </c>
      <c r="N484" s="12">
        <v>0</v>
      </c>
      <c r="O484" s="12">
        <v>0</v>
      </c>
      <c r="P484" s="12">
        <v>0</v>
      </c>
      <c r="Q484" s="12">
        <v>1</v>
      </c>
      <c r="R484" s="12">
        <v>0</v>
      </c>
    </row>
    <row r="485" spans="1:19" x14ac:dyDescent="0.25">
      <c r="A485" s="13">
        <v>45906.408148148148</v>
      </c>
      <c r="B485" t="s">
        <v>352</v>
      </c>
      <c r="C485" t="s">
        <v>362</v>
      </c>
      <c r="D485" t="s">
        <v>10</v>
      </c>
      <c r="E485" t="s">
        <v>17</v>
      </c>
      <c r="F485" t="s">
        <v>14</v>
      </c>
      <c r="G485">
        <v>0.5</v>
      </c>
      <c r="H485" s="12">
        <v>0</v>
      </c>
      <c r="I485" s="12">
        <v>0</v>
      </c>
      <c r="J485" s="12">
        <v>0</v>
      </c>
      <c r="K485" s="12">
        <v>0</v>
      </c>
      <c r="L485" s="12">
        <v>0</v>
      </c>
      <c r="M485" s="12">
        <v>0</v>
      </c>
      <c r="N485" s="12">
        <v>0</v>
      </c>
      <c r="O485" s="12">
        <v>0</v>
      </c>
      <c r="P485" s="12">
        <v>0</v>
      </c>
      <c r="Q485" s="12">
        <v>1</v>
      </c>
      <c r="R485" s="12">
        <v>0</v>
      </c>
    </row>
    <row r="486" spans="1:19" x14ac:dyDescent="0.25">
      <c r="A486" s="13">
        <v>45906.40828703704</v>
      </c>
      <c r="B486" t="s">
        <v>352</v>
      </c>
      <c r="C486" t="s">
        <v>362</v>
      </c>
      <c r="D486" t="s">
        <v>10</v>
      </c>
      <c r="E486" t="s">
        <v>27</v>
      </c>
      <c r="F486" t="s">
        <v>14</v>
      </c>
      <c r="G486">
        <v>0.5</v>
      </c>
      <c r="H486" s="12">
        <v>0</v>
      </c>
      <c r="I486" s="12">
        <v>0</v>
      </c>
      <c r="J486" s="12">
        <v>0</v>
      </c>
      <c r="K486" s="12">
        <v>0</v>
      </c>
      <c r="L486" s="12">
        <v>0</v>
      </c>
      <c r="M486" s="12">
        <v>0</v>
      </c>
      <c r="N486" s="12">
        <v>0</v>
      </c>
      <c r="O486" s="12">
        <v>0</v>
      </c>
      <c r="P486" s="12">
        <v>0</v>
      </c>
      <c r="Q486" s="12">
        <v>0</v>
      </c>
      <c r="R486" s="12">
        <v>0</v>
      </c>
    </row>
    <row r="487" spans="1:19" x14ac:dyDescent="0.25">
      <c r="A487" s="13">
        <v>45906.452361111114</v>
      </c>
      <c r="B487" t="s">
        <v>347</v>
      </c>
      <c r="C487" t="s">
        <v>362</v>
      </c>
      <c r="D487" t="s">
        <v>10</v>
      </c>
      <c r="E487" t="s">
        <v>11</v>
      </c>
      <c r="F487" t="s">
        <v>15</v>
      </c>
      <c r="G487">
        <v>3</v>
      </c>
      <c r="H487" s="12">
        <v>0</v>
      </c>
      <c r="I487" s="12">
        <v>0</v>
      </c>
      <c r="J487" s="12">
        <v>0</v>
      </c>
      <c r="K487" s="12">
        <v>0</v>
      </c>
      <c r="L487" s="12">
        <v>0</v>
      </c>
      <c r="M487" s="12">
        <v>0</v>
      </c>
      <c r="N487" s="12">
        <v>0</v>
      </c>
      <c r="O487" s="12">
        <v>1</v>
      </c>
      <c r="P487" s="12">
        <v>0</v>
      </c>
      <c r="Q487" s="12">
        <v>0</v>
      </c>
      <c r="R487" s="12">
        <v>0</v>
      </c>
    </row>
    <row r="488" spans="1:19" x14ac:dyDescent="0.25">
      <c r="A488" s="13">
        <v>45906.452604166669</v>
      </c>
      <c r="B488" t="s">
        <v>347</v>
      </c>
      <c r="C488" t="s">
        <v>362</v>
      </c>
      <c r="D488" t="s">
        <v>10</v>
      </c>
      <c r="E488" t="s">
        <v>17</v>
      </c>
      <c r="F488" t="s">
        <v>12</v>
      </c>
      <c r="G488">
        <v>10.5</v>
      </c>
      <c r="H488" s="12">
        <v>0</v>
      </c>
      <c r="I488" s="12">
        <v>0</v>
      </c>
      <c r="J488" s="12">
        <v>0</v>
      </c>
      <c r="K488" s="12">
        <v>0</v>
      </c>
      <c r="L488" s="12">
        <v>0</v>
      </c>
      <c r="M488" s="12">
        <v>0</v>
      </c>
      <c r="N488" s="12">
        <v>0</v>
      </c>
      <c r="O488" s="12">
        <v>1</v>
      </c>
      <c r="P488" s="12">
        <v>0</v>
      </c>
      <c r="Q488" s="12">
        <v>0</v>
      </c>
      <c r="R488" s="12">
        <v>0</v>
      </c>
    </row>
    <row r="489" spans="1:19" x14ac:dyDescent="0.25">
      <c r="A489" s="13">
        <v>45906.476111111115</v>
      </c>
      <c r="B489" t="s">
        <v>354</v>
      </c>
      <c r="C489" t="s">
        <v>362</v>
      </c>
      <c r="D489" t="s">
        <v>10</v>
      </c>
      <c r="E489" t="s">
        <v>11</v>
      </c>
      <c r="F489" t="s">
        <v>14</v>
      </c>
      <c r="G489">
        <v>0.5</v>
      </c>
      <c r="H489" s="12">
        <v>0</v>
      </c>
      <c r="I489" s="12">
        <v>0</v>
      </c>
      <c r="J489" s="12">
        <v>0</v>
      </c>
      <c r="K489" s="12">
        <v>0</v>
      </c>
      <c r="L489" s="12">
        <v>0</v>
      </c>
      <c r="M489" s="12">
        <v>0</v>
      </c>
      <c r="N489" s="12">
        <v>0</v>
      </c>
      <c r="O489" s="12">
        <v>0</v>
      </c>
      <c r="P489" s="12">
        <v>1</v>
      </c>
      <c r="Q489" s="12">
        <v>0</v>
      </c>
      <c r="R489" s="12">
        <v>0</v>
      </c>
    </row>
    <row r="490" spans="1:19" x14ac:dyDescent="0.25">
      <c r="A490" s="13">
        <v>45908.420439814814</v>
      </c>
      <c r="B490" t="s">
        <v>347</v>
      </c>
      <c r="C490" t="s">
        <v>363</v>
      </c>
      <c r="D490" t="s">
        <v>10</v>
      </c>
      <c r="E490" t="s">
        <v>11</v>
      </c>
      <c r="F490" t="s">
        <v>15</v>
      </c>
      <c r="G490">
        <v>3</v>
      </c>
      <c r="H490" s="12">
        <v>1</v>
      </c>
      <c r="I490" s="12">
        <v>0</v>
      </c>
      <c r="J490" s="12">
        <v>1</v>
      </c>
      <c r="K490" s="12">
        <v>0</v>
      </c>
      <c r="L490" s="12">
        <v>0</v>
      </c>
      <c r="M490" s="12">
        <v>1</v>
      </c>
      <c r="N490" s="12">
        <v>0</v>
      </c>
      <c r="O490" s="12">
        <v>0</v>
      </c>
      <c r="P490" s="12">
        <v>0</v>
      </c>
      <c r="Q490" s="12">
        <v>0</v>
      </c>
      <c r="R490" s="12">
        <v>0</v>
      </c>
    </row>
    <row r="491" spans="1:19" x14ac:dyDescent="0.25">
      <c r="A491" s="13">
        <v>45908.43478009259</v>
      </c>
      <c r="B491" t="s">
        <v>347</v>
      </c>
      <c r="C491" t="s">
        <v>363</v>
      </c>
      <c r="D491" t="s">
        <v>10</v>
      </c>
      <c r="E491" t="s">
        <v>11</v>
      </c>
      <c r="F491" t="s">
        <v>15</v>
      </c>
      <c r="G491">
        <v>3</v>
      </c>
      <c r="H491" s="12">
        <v>0</v>
      </c>
      <c r="I491" s="12">
        <v>0</v>
      </c>
      <c r="J491" s="12">
        <v>0</v>
      </c>
      <c r="K491" s="12">
        <v>0</v>
      </c>
      <c r="L491" s="12">
        <v>0</v>
      </c>
      <c r="M491" s="12">
        <v>0</v>
      </c>
      <c r="N491" s="12">
        <v>1</v>
      </c>
      <c r="O491" s="12">
        <v>0</v>
      </c>
      <c r="P491" s="12">
        <v>0</v>
      </c>
      <c r="Q491" s="12">
        <v>0</v>
      </c>
      <c r="R491" s="12">
        <v>0</v>
      </c>
    </row>
    <row r="492" spans="1:19" x14ac:dyDescent="0.25">
      <c r="A492" s="13">
        <v>45908.481446759259</v>
      </c>
      <c r="B492" t="s">
        <v>354</v>
      </c>
      <c r="C492" t="s">
        <v>363</v>
      </c>
      <c r="D492" t="s">
        <v>10</v>
      </c>
      <c r="E492" t="s">
        <v>11</v>
      </c>
      <c r="F492" t="s">
        <v>15</v>
      </c>
      <c r="G492">
        <v>3</v>
      </c>
      <c r="H492" s="12">
        <v>1</v>
      </c>
      <c r="I492" s="12">
        <v>0</v>
      </c>
      <c r="J492" s="12">
        <v>1</v>
      </c>
      <c r="K492" s="12">
        <v>0</v>
      </c>
      <c r="L492" s="12">
        <v>0</v>
      </c>
      <c r="M492" s="12">
        <v>1</v>
      </c>
      <c r="N492" s="12">
        <v>0</v>
      </c>
      <c r="O492" s="12">
        <v>0</v>
      </c>
      <c r="P492" s="12">
        <v>0</v>
      </c>
      <c r="Q492" s="12">
        <v>0</v>
      </c>
      <c r="R492" s="12">
        <v>0</v>
      </c>
    </row>
    <row r="493" spans="1:19" x14ac:dyDescent="0.25">
      <c r="A493" s="13">
        <v>45908.518912037034</v>
      </c>
      <c r="B493" t="s">
        <v>350</v>
      </c>
      <c r="C493" t="s">
        <v>363</v>
      </c>
      <c r="D493" t="s">
        <v>10</v>
      </c>
      <c r="E493" t="s">
        <v>11</v>
      </c>
      <c r="F493" t="s">
        <v>12</v>
      </c>
      <c r="G493">
        <v>10.5</v>
      </c>
      <c r="H493" s="12">
        <v>0</v>
      </c>
      <c r="I493" s="12">
        <v>0</v>
      </c>
      <c r="J493" s="12">
        <v>0</v>
      </c>
      <c r="K493" s="12">
        <v>0</v>
      </c>
      <c r="L493" s="12">
        <v>1</v>
      </c>
      <c r="M493" s="12">
        <v>0</v>
      </c>
      <c r="N493" s="12">
        <v>0</v>
      </c>
      <c r="O493" s="12">
        <v>0</v>
      </c>
      <c r="P493" s="12">
        <v>0</v>
      </c>
      <c r="Q493" s="12">
        <v>0</v>
      </c>
      <c r="R493" s="12">
        <v>0</v>
      </c>
    </row>
    <row r="494" spans="1:19" x14ac:dyDescent="0.25">
      <c r="A494" s="13">
        <v>45908.549664351849</v>
      </c>
      <c r="B494" t="s">
        <v>351</v>
      </c>
      <c r="C494" t="s">
        <v>363</v>
      </c>
      <c r="D494" t="s">
        <v>10</v>
      </c>
      <c r="E494" t="s">
        <v>11</v>
      </c>
      <c r="F494" t="s">
        <v>14</v>
      </c>
      <c r="G494">
        <v>0.5</v>
      </c>
      <c r="H494" s="12">
        <v>0</v>
      </c>
      <c r="I494" s="12">
        <v>0</v>
      </c>
      <c r="J494" s="12">
        <v>0</v>
      </c>
      <c r="K494" s="12">
        <v>0</v>
      </c>
      <c r="L494" s="12">
        <v>0</v>
      </c>
      <c r="M494" s="12">
        <v>0</v>
      </c>
      <c r="N494" s="12">
        <v>0</v>
      </c>
      <c r="O494" s="12">
        <v>1</v>
      </c>
      <c r="P494" s="12">
        <v>0</v>
      </c>
      <c r="Q494" s="12">
        <v>0</v>
      </c>
      <c r="R494" s="12">
        <v>0</v>
      </c>
    </row>
    <row r="495" spans="1:19" x14ac:dyDescent="0.25">
      <c r="A495" s="13">
        <v>45908.550497685188</v>
      </c>
      <c r="B495" t="s">
        <v>351</v>
      </c>
      <c r="C495" t="s">
        <v>363</v>
      </c>
      <c r="D495" t="s">
        <v>10</v>
      </c>
      <c r="E495" t="s">
        <v>11</v>
      </c>
      <c r="F495" t="s">
        <v>18</v>
      </c>
      <c r="G495">
        <v>20</v>
      </c>
      <c r="H495" s="12">
        <v>0</v>
      </c>
      <c r="I495" s="12">
        <v>0</v>
      </c>
      <c r="J495" s="12">
        <v>0</v>
      </c>
      <c r="K495" s="12">
        <v>0</v>
      </c>
      <c r="L495" s="12">
        <v>0</v>
      </c>
      <c r="M495" s="12">
        <v>0</v>
      </c>
      <c r="N495" s="12">
        <v>0</v>
      </c>
      <c r="O495" s="12">
        <v>1</v>
      </c>
      <c r="P495" s="12">
        <v>0</v>
      </c>
      <c r="Q495" s="12">
        <v>0</v>
      </c>
      <c r="R495" s="12">
        <v>0</v>
      </c>
    </row>
    <row r="496" spans="1:19" x14ac:dyDescent="0.25">
      <c r="A496" s="13">
        <v>45908.56318287037</v>
      </c>
      <c r="B496" t="s">
        <v>351</v>
      </c>
      <c r="C496" t="s">
        <v>363</v>
      </c>
      <c r="D496" t="s">
        <v>10</v>
      </c>
      <c r="E496" t="s">
        <v>11</v>
      </c>
      <c r="F496" t="s">
        <v>14</v>
      </c>
      <c r="G496">
        <v>0.5</v>
      </c>
      <c r="H496" s="12">
        <v>0</v>
      </c>
      <c r="I496" s="12">
        <v>0</v>
      </c>
      <c r="J496" s="12">
        <v>0</v>
      </c>
      <c r="K496" s="12">
        <v>0</v>
      </c>
      <c r="L496" s="12">
        <v>0</v>
      </c>
      <c r="M496" s="12">
        <v>0</v>
      </c>
      <c r="N496" s="12">
        <v>0</v>
      </c>
      <c r="O496" s="12">
        <v>1</v>
      </c>
      <c r="P496" s="12">
        <v>0</v>
      </c>
      <c r="Q496" s="12">
        <v>0</v>
      </c>
      <c r="R496" s="12">
        <v>0</v>
      </c>
      <c r="S496" t="s">
        <v>158</v>
      </c>
    </row>
    <row r="497" spans="1:19" x14ac:dyDescent="0.25">
      <c r="A497" s="13">
        <v>45908.563298611109</v>
      </c>
      <c r="B497" t="s">
        <v>351</v>
      </c>
      <c r="C497" t="s">
        <v>363</v>
      </c>
      <c r="D497" t="s">
        <v>10</v>
      </c>
      <c r="E497" t="s">
        <v>11</v>
      </c>
      <c r="F497" t="s">
        <v>14</v>
      </c>
      <c r="G497">
        <v>0.5</v>
      </c>
      <c r="H497" s="12">
        <v>0</v>
      </c>
      <c r="I497" s="12">
        <v>0</v>
      </c>
      <c r="J497" s="12">
        <v>0</v>
      </c>
      <c r="K497" s="12">
        <v>0</v>
      </c>
      <c r="L497" s="12">
        <v>0</v>
      </c>
      <c r="M497" s="12">
        <v>0</v>
      </c>
      <c r="N497" s="12">
        <v>0</v>
      </c>
      <c r="O497" s="12">
        <v>0</v>
      </c>
      <c r="P497" s="12">
        <v>0</v>
      </c>
      <c r="Q497" s="12">
        <v>1</v>
      </c>
      <c r="R497" s="12">
        <v>0</v>
      </c>
      <c r="S497" t="s">
        <v>159</v>
      </c>
    </row>
    <row r="498" spans="1:19" x14ac:dyDescent="0.25">
      <c r="A498" s="13">
        <v>45908.568645833337</v>
      </c>
      <c r="B498" t="s">
        <v>351</v>
      </c>
      <c r="C498" t="s">
        <v>363</v>
      </c>
      <c r="D498" t="s">
        <v>10</v>
      </c>
      <c r="E498" t="s">
        <v>11</v>
      </c>
      <c r="F498" t="s">
        <v>15</v>
      </c>
      <c r="G498">
        <v>3</v>
      </c>
      <c r="H498" s="12">
        <v>0</v>
      </c>
      <c r="I498" s="12">
        <v>1</v>
      </c>
      <c r="J498" s="12">
        <v>0</v>
      </c>
      <c r="K498" s="12">
        <v>0</v>
      </c>
      <c r="L498" s="12">
        <v>0</v>
      </c>
      <c r="M498" s="12">
        <v>0</v>
      </c>
      <c r="N498" s="12">
        <v>0</v>
      </c>
      <c r="O498" s="12">
        <v>0</v>
      </c>
      <c r="P498" s="12">
        <v>0</v>
      </c>
      <c r="Q498" s="12">
        <v>0</v>
      </c>
      <c r="R498" s="12">
        <v>0</v>
      </c>
      <c r="S498" t="s">
        <v>160</v>
      </c>
    </row>
    <row r="499" spans="1:19" x14ac:dyDescent="0.25">
      <c r="A499" s="13">
        <v>45908.609432870369</v>
      </c>
      <c r="B499" t="s">
        <v>348</v>
      </c>
      <c r="C499" t="s">
        <v>363</v>
      </c>
      <c r="D499" t="s">
        <v>10</v>
      </c>
      <c r="E499" t="s">
        <v>17</v>
      </c>
      <c r="F499" t="s">
        <v>14</v>
      </c>
      <c r="G499">
        <v>0.5</v>
      </c>
      <c r="H499" s="12">
        <v>0</v>
      </c>
      <c r="I499" s="12">
        <v>0</v>
      </c>
      <c r="J499" s="12">
        <v>0</v>
      </c>
      <c r="K499" s="12">
        <v>0</v>
      </c>
      <c r="L499" s="12">
        <v>0</v>
      </c>
      <c r="M499" s="12">
        <v>0</v>
      </c>
      <c r="N499" s="12">
        <v>0</v>
      </c>
      <c r="O499" s="12">
        <v>0</v>
      </c>
      <c r="P499" s="12">
        <v>1</v>
      </c>
      <c r="Q499" s="12">
        <v>0</v>
      </c>
      <c r="R499" s="12">
        <v>0</v>
      </c>
    </row>
    <row r="500" spans="1:19" x14ac:dyDescent="0.25">
      <c r="A500" s="13">
        <v>45908.627418981479</v>
      </c>
      <c r="B500" t="s">
        <v>349</v>
      </c>
      <c r="C500" t="s">
        <v>363</v>
      </c>
      <c r="D500" t="s">
        <v>10</v>
      </c>
      <c r="E500" t="s">
        <v>11</v>
      </c>
      <c r="F500" t="s">
        <v>15</v>
      </c>
      <c r="G500">
        <v>3</v>
      </c>
      <c r="H500" s="12">
        <v>0</v>
      </c>
      <c r="I500" s="12">
        <v>0</v>
      </c>
      <c r="J500" s="12">
        <v>0</v>
      </c>
      <c r="K500" s="12">
        <v>0</v>
      </c>
      <c r="L500" s="12">
        <v>0</v>
      </c>
      <c r="M500" s="12">
        <v>0</v>
      </c>
      <c r="N500" s="12">
        <v>1</v>
      </c>
      <c r="O500" s="12">
        <v>0</v>
      </c>
      <c r="P500" s="12">
        <v>0</v>
      </c>
      <c r="Q500" s="12">
        <v>0</v>
      </c>
      <c r="R500" s="12">
        <v>0</v>
      </c>
    </row>
    <row r="501" spans="1:19" x14ac:dyDescent="0.25">
      <c r="A501" s="13">
        <v>45908.642743055556</v>
      </c>
      <c r="B501" t="s">
        <v>349</v>
      </c>
      <c r="C501" t="s">
        <v>363</v>
      </c>
      <c r="D501" t="s">
        <v>10</v>
      </c>
      <c r="E501" t="s">
        <v>11</v>
      </c>
      <c r="F501" t="s">
        <v>14</v>
      </c>
      <c r="G501">
        <v>0.5</v>
      </c>
      <c r="H501" s="12">
        <v>0</v>
      </c>
      <c r="I501" s="12">
        <v>0</v>
      </c>
      <c r="J501" s="12">
        <v>0</v>
      </c>
      <c r="K501" s="12">
        <v>0</v>
      </c>
      <c r="L501" s="12">
        <v>0</v>
      </c>
      <c r="M501" s="12">
        <v>0</v>
      </c>
      <c r="N501" s="12">
        <v>0</v>
      </c>
      <c r="O501" s="12">
        <v>0</v>
      </c>
      <c r="P501" s="12">
        <v>0</v>
      </c>
      <c r="Q501" s="12">
        <v>0</v>
      </c>
      <c r="R501" s="12">
        <v>1</v>
      </c>
      <c r="S501" t="s">
        <v>161</v>
      </c>
    </row>
    <row r="502" spans="1:19" x14ac:dyDescent="0.25">
      <c r="A502" s="13">
        <v>45908.642835648148</v>
      </c>
      <c r="B502" t="s">
        <v>349</v>
      </c>
      <c r="C502" t="s">
        <v>363</v>
      </c>
      <c r="D502" t="s">
        <v>10</v>
      </c>
      <c r="E502" t="s">
        <v>11</v>
      </c>
      <c r="F502" t="s">
        <v>15</v>
      </c>
      <c r="G502">
        <v>3</v>
      </c>
      <c r="H502" s="12">
        <v>0</v>
      </c>
      <c r="I502" s="12">
        <v>0</v>
      </c>
      <c r="J502" s="12">
        <v>0</v>
      </c>
      <c r="K502" s="12">
        <v>0</v>
      </c>
      <c r="L502" s="12">
        <v>0</v>
      </c>
      <c r="M502" s="12">
        <v>0</v>
      </c>
      <c r="N502" s="12">
        <v>0</v>
      </c>
      <c r="O502" s="12">
        <v>1</v>
      </c>
      <c r="P502" s="12">
        <v>0</v>
      </c>
      <c r="Q502" s="12">
        <v>0</v>
      </c>
      <c r="R502" s="12">
        <v>0</v>
      </c>
      <c r="S502" t="s">
        <v>162</v>
      </c>
    </row>
    <row r="503" spans="1:19" x14ac:dyDescent="0.25">
      <c r="A503" s="13">
        <v>45908.642893518518</v>
      </c>
      <c r="B503" t="s">
        <v>349</v>
      </c>
      <c r="C503" t="s">
        <v>363</v>
      </c>
      <c r="D503" t="s">
        <v>10</v>
      </c>
      <c r="E503" t="s">
        <v>11</v>
      </c>
      <c r="F503" t="s">
        <v>12</v>
      </c>
      <c r="G503">
        <v>10.5</v>
      </c>
      <c r="H503" s="12">
        <v>0</v>
      </c>
      <c r="I503" s="12">
        <v>0</v>
      </c>
      <c r="J503" s="12">
        <v>0</v>
      </c>
      <c r="K503" s="12">
        <v>0</v>
      </c>
      <c r="L503" s="12">
        <v>1</v>
      </c>
      <c r="M503" s="12">
        <v>0</v>
      </c>
      <c r="N503" s="12">
        <v>0</v>
      </c>
      <c r="O503" s="12">
        <v>0</v>
      </c>
      <c r="P503" s="12">
        <v>0</v>
      </c>
      <c r="Q503" s="12">
        <v>0</v>
      </c>
      <c r="R503" s="12">
        <v>0</v>
      </c>
    </row>
    <row r="504" spans="1:19" x14ac:dyDescent="0.25">
      <c r="A504" s="13">
        <v>45908.67560185185</v>
      </c>
      <c r="B504" t="s">
        <v>353</v>
      </c>
      <c r="C504" t="s">
        <v>363</v>
      </c>
      <c r="D504" t="s">
        <v>10</v>
      </c>
      <c r="E504" t="s">
        <v>11</v>
      </c>
      <c r="F504" t="s">
        <v>12</v>
      </c>
      <c r="G504">
        <v>10.5</v>
      </c>
      <c r="H504" s="12">
        <v>0</v>
      </c>
      <c r="I504" s="12">
        <v>1</v>
      </c>
      <c r="J504" s="12">
        <v>1</v>
      </c>
      <c r="K504" s="12">
        <v>0</v>
      </c>
      <c r="L504" s="12">
        <v>0</v>
      </c>
      <c r="M504" s="12">
        <v>0</v>
      </c>
      <c r="N504" s="12">
        <v>0</v>
      </c>
      <c r="O504" s="12">
        <v>0</v>
      </c>
      <c r="P504" s="12">
        <v>0</v>
      </c>
      <c r="Q504" s="12">
        <v>0</v>
      </c>
      <c r="R504" s="12">
        <v>1</v>
      </c>
      <c r="S504" t="s">
        <v>163</v>
      </c>
    </row>
    <row r="505" spans="1:19" x14ac:dyDescent="0.25">
      <c r="A505" s="13">
        <v>45908.698425925926</v>
      </c>
      <c r="B505" t="s">
        <v>353</v>
      </c>
      <c r="C505" t="s">
        <v>363</v>
      </c>
      <c r="D505" t="s">
        <v>10</v>
      </c>
      <c r="E505" t="s">
        <v>11</v>
      </c>
      <c r="F505" t="s">
        <v>12</v>
      </c>
      <c r="G505">
        <v>10.5</v>
      </c>
      <c r="H505" s="12">
        <v>1</v>
      </c>
      <c r="I505" s="12">
        <v>0</v>
      </c>
      <c r="J505" s="12">
        <v>1</v>
      </c>
      <c r="K505" s="12">
        <v>0</v>
      </c>
      <c r="L505" s="12">
        <v>0</v>
      </c>
      <c r="M505" s="12">
        <v>1</v>
      </c>
      <c r="N505" s="12">
        <v>0</v>
      </c>
      <c r="O505" s="12">
        <v>0</v>
      </c>
      <c r="P505" s="12">
        <v>0</v>
      </c>
      <c r="Q505" s="12">
        <v>0</v>
      </c>
      <c r="R505" s="12">
        <v>0</v>
      </c>
    </row>
    <row r="506" spans="1:19" x14ac:dyDescent="0.25">
      <c r="A506" s="13">
        <v>45908.698622685188</v>
      </c>
      <c r="B506" t="s">
        <v>353</v>
      </c>
      <c r="C506" t="s">
        <v>363</v>
      </c>
      <c r="D506" t="s">
        <v>10</v>
      </c>
      <c r="E506" t="s">
        <v>11</v>
      </c>
      <c r="F506" t="s">
        <v>18</v>
      </c>
      <c r="G506">
        <v>20</v>
      </c>
      <c r="H506" s="12">
        <v>0</v>
      </c>
      <c r="I506" s="12">
        <v>1</v>
      </c>
      <c r="J506" s="12">
        <v>1</v>
      </c>
      <c r="K506" s="12">
        <v>0</v>
      </c>
      <c r="L506" s="12">
        <v>0</v>
      </c>
      <c r="M506" s="12">
        <v>0</v>
      </c>
      <c r="N506" s="12">
        <v>0</v>
      </c>
      <c r="O506" s="12">
        <v>0</v>
      </c>
      <c r="P506" s="12">
        <v>0</v>
      </c>
      <c r="Q506" s="12">
        <v>0</v>
      </c>
      <c r="R506" s="12">
        <v>0</v>
      </c>
    </row>
    <row r="507" spans="1:19" x14ac:dyDescent="0.25">
      <c r="A507" s="13">
        <v>45908.710428240738</v>
      </c>
      <c r="B507" t="s">
        <v>355</v>
      </c>
      <c r="C507" t="s">
        <v>363</v>
      </c>
      <c r="D507" t="s">
        <v>10</v>
      </c>
      <c r="E507" t="s">
        <v>11</v>
      </c>
      <c r="F507" t="s">
        <v>14</v>
      </c>
      <c r="G507">
        <v>0.5</v>
      </c>
      <c r="H507" s="12">
        <v>0</v>
      </c>
      <c r="I507" s="12">
        <v>0</v>
      </c>
      <c r="J507" s="12">
        <v>0</v>
      </c>
      <c r="K507" s="12">
        <v>0</v>
      </c>
      <c r="L507" s="12">
        <v>0</v>
      </c>
      <c r="M507" s="12">
        <v>0</v>
      </c>
      <c r="N507" s="12">
        <v>0</v>
      </c>
      <c r="O507" s="12">
        <v>0</v>
      </c>
      <c r="P507" s="12">
        <v>0</v>
      </c>
      <c r="Q507" s="12">
        <v>1</v>
      </c>
      <c r="R507" s="12">
        <v>0</v>
      </c>
    </row>
    <row r="508" spans="1:19" x14ac:dyDescent="0.25">
      <c r="A508" s="13">
        <v>45908.741053240738</v>
      </c>
      <c r="B508" t="s">
        <v>355</v>
      </c>
      <c r="C508" t="s">
        <v>363</v>
      </c>
      <c r="D508" t="s">
        <v>10</v>
      </c>
      <c r="E508" t="s">
        <v>11</v>
      </c>
      <c r="F508" t="s">
        <v>15</v>
      </c>
      <c r="G508">
        <v>3</v>
      </c>
      <c r="H508" s="12">
        <v>0</v>
      </c>
      <c r="I508" s="12">
        <v>0</v>
      </c>
      <c r="J508" s="12">
        <v>0</v>
      </c>
      <c r="K508" s="12">
        <v>0</v>
      </c>
      <c r="L508" s="12">
        <v>0</v>
      </c>
      <c r="M508" s="12">
        <v>0</v>
      </c>
      <c r="N508" s="12">
        <v>0</v>
      </c>
      <c r="O508" s="12">
        <v>1</v>
      </c>
      <c r="P508" s="12">
        <v>0</v>
      </c>
      <c r="Q508" s="12">
        <v>0</v>
      </c>
      <c r="R508" s="12">
        <v>0</v>
      </c>
    </row>
    <row r="509" spans="1:19" x14ac:dyDescent="0.25">
      <c r="A509" s="13">
        <v>45909.511944444443</v>
      </c>
      <c r="B509" t="s">
        <v>350</v>
      </c>
      <c r="C509" t="s">
        <v>358</v>
      </c>
      <c r="D509" t="s">
        <v>10</v>
      </c>
      <c r="E509" t="s">
        <v>11</v>
      </c>
      <c r="F509" t="s">
        <v>14</v>
      </c>
      <c r="G509">
        <v>0.5</v>
      </c>
      <c r="H509" s="12">
        <v>0</v>
      </c>
      <c r="I509" s="12">
        <v>0</v>
      </c>
      <c r="J509" s="12">
        <v>0</v>
      </c>
      <c r="K509" s="12">
        <v>0</v>
      </c>
      <c r="L509" s="12">
        <v>0</v>
      </c>
      <c r="M509" s="12">
        <v>1</v>
      </c>
      <c r="N509" s="12">
        <v>0</v>
      </c>
      <c r="O509" s="12">
        <v>0</v>
      </c>
      <c r="P509" s="12">
        <v>0</v>
      </c>
      <c r="Q509" s="12">
        <v>0</v>
      </c>
      <c r="R509" s="12">
        <v>0</v>
      </c>
      <c r="S509" t="s">
        <v>164</v>
      </c>
    </row>
    <row r="510" spans="1:19" x14ac:dyDescent="0.25">
      <c r="A510" s="13">
        <v>45909.739282407405</v>
      </c>
      <c r="B510" t="s">
        <v>355</v>
      </c>
      <c r="C510" t="s">
        <v>358</v>
      </c>
      <c r="D510" t="s">
        <v>10</v>
      </c>
      <c r="E510" t="s">
        <v>11</v>
      </c>
      <c r="F510" t="s">
        <v>15</v>
      </c>
      <c r="G510">
        <v>3</v>
      </c>
      <c r="H510" s="12">
        <v>0</v>
      </c>
      <c r="I510" s="12">
        <v>0</v>
      </c>
      <c r="J510" s="12">
        <v>0</v>
      </c>
      <c r="K510" s="12">
        <v>0</v>
      </c>
      <c r="L510" s="12">
        <v>1</v>
      </c>
      <c r="M510" s="12">
        <v>0</v>
      </c>
      <c r="N510" s="12">
        <v>0</v>
      </c>
      <c r="O510" s="12">
        <v>0</v>
      </c>
      <c r="P510" s="12">
        <v>0</v>
      </c>
      <c r="Q510" s="12">
        <v>0</v>
      </c>
      <c r="R510" s="12">
        <v>0</v>
      </c>
    </row>
    <row r="511" spans="1:19" x14ac:dyDescent="0.25">
      <c r="A511" s="13">
        <v>45909.739351851851</v>
      </c>
      <c r="B511" t="s">
        <v>355</v>
      </c>
      <c r="C511" t="s">
        <v>358</v>
      </c>
      <c r="D511" t="s">
        <v>10</v>
      </c>
      <c r="E511" t="s">
        <v>11</v>
      </c>
      <c r="F511" t="s">
        <v>15</v>
      </c>
      <c r="G511">
        <v>3</v>
      </c>
      <c r="H511" s="12">
        <v>0</v>
      </c>
      <c r="I511" s="12">
        <v>0</v>
      </c>
      <c r="J511" s="12">
        <v>0</v>
      </c>
      <c r="K511" s="12">
        <v>0</v>
      </c>
      <c r="L511" s="12">
        <v>1</v>
      </c>
      <c r="M511" s="12">
        <v>0</v>
      </c>
      <c r="N511" s="12">
        <v>0</v>
      </c>
      <c r="O511" s="12">
        <v>0</v>
      </c>
      <c r="P511" s="12">
        <v>0</v>
      </c>
      <c r="Q511" s="12">
        <v>0</v>
      </c>
      <c r="R511" s="12">
        <v>0</v>
      </c>
    </row>
    <row r="512" spans="1:19" x14ac:dyDescent="0.25">
      <c r="A512" s="13">
        <v>45909.739444444444</v>
      </c>
      <c r="B512" t="s">
        <v>355</v>
      </c>
      <c r="C512" t="s">
        <v>358</v>
      </c>
      <c r="D512" t="s">
        <v>10</v>
      </c>
      <c r="E512" t="s">
        <v>11</v>
      </c>
      <c r="F512" t="s">
        <v>15</v>
      </c>
      <c r="G512">
        <v>3</v>
      </c>
      <c r="H512" s="12">
        <v>0</v>
      </c>
      <c r="I512" s="12">
        <v>0</v>
      </c>
      <c r="J512" s="12">
        <v>0</v>
      </c>
      <c r="K512" s="12">
        <v>0</v>
      </c>
      <c r="L512" s="12">
        <v>0</v>
      </c>
      <c r="M512" s="12">
        <v>0</v>
      </c>
      <c r="N512" s="12">
        <v>1</v>
      </c>
      <c r="O512" s="12">
        <v>0</v>
      </c>
      <c r="P512" s="12">
        <v>0</v>
      </c>
      <c r="Q512" s="12">
        <v>0</v>
      </c>
      <c r="R512" s="12">
        <v>0</v>
      </c>
    </row>
    <row r="513" spans="1:19" x14ac:dyDescent="0.25">
      <c r="A513" s="13">
        <v>45909.739537037036</v>
      </c>
      <c r="B513" t="s">
        <v>355</v>
      </c>
      <c r="C513" t="s">
        <v>358</v>
      </c>
      <c r="D513" t="s">
        <v>10</v>
      </c>
      <c r="E513" t="s">
        <v>11</v>
      </c>
      <c r="F513" t="s">
        <v>14</v>
      </c>
      <c r="G513">
        <v>0.5</v>
      </c>
      <c r="H513" s="12">
        <v>0</v>
      </c>
      <c r="I513" s="12">
        <v>0</v>
      </c>
      <c r="J513" s="12">
        <v>0</v>
      </c>
      <c r="K513" s="12">
        <v>0</v>
      </c>
      <c r="L513" s="12">
        <v>0</v>
      </c>
      <c r="M513" s="12">
        <v>0</v>
      </c>
      <c r="N513" s="12">
        <v>0</v>
      </c>
      <c r="O513" s="12">
        <v>0</v>
      </c>
      <c r="P513" s="12">
        <v>0</v>
      </c>
      <c r="Q513" s="12">
        <v>1</v>
      </c>
      <c r="R513" s="12">
        <v>0</v>
      </c>
    </row>
    <row r="514" spans="1:19" x14ac:dyDescent="0.25">
      <c r="A514" s="13">
        <v>45909.739641203705</v>
      </c>
      <c r="B514" t="s">
        <v>355</v>
      </c>
      <c r="C514" t="s">
        <v>358</v>
      </c>
      <c r="D514" t="s">
        <v>10</v>
      </c>
      <c r="E514" t="s">
        <v>11</v>
      </c>
      <c r="F514" t="s">
        <v>15</v>
      </c>
      <c r="G514">
        <v>3</v>
      </c>
      <c r="H514" s="12">
        <v>0</v>
      </c>
      <c r="I514" s="12">
        <v>0</v>
      </c>
      <c r="J514" s="12">
        <v>0</v>
      </c>
      <c r="K514" s="12">
        <v>0</v>
      </c>
      <c r="L514" s="12">
        <v>0</v>
      </c>
      <c r="M514" s="12">
        <v>0</v>
      </c>
      <c r="N514" s="12">
        <v>0</v>
      </c>
      <c r="O514" s="12">
        <v>1</v>
      </c>
      <c r="P514" s="12">
        <v>0</v>
      </c>
      <c r="Q514" s="12">
        <v>0</v>
      </c>
      <c r="R514" s="12">
        <v>0</v>
      </c>
    </row>
    <row r="515" spans="1:19" x14ac:dyDescent="0.25">
      <c r="A515" s="13">
        <v>45909.739722222221</v>
      </c>
      <c r="B515" t="s">
        <v>355</v>
      </c>
      <c r="C515" t="s">
        <v>358</v>
      </c>
      <c r="D515" t="s">
        <v>20</v>
      </c>
      <c r="E515" t="s">
        <v>11</v>
      </c>
      <c r="F515" t="s">
        <v>14</v>
      </c>
      <c r="G515">
        <v>0.5</v>
      </c>
      <c r="H515" s="12">
        <v>0</v>
      </c>
      <c r="I515" s="12">
        <v>0</v>
      </c>
      <c r="J515" s="12">
        <v>0</v>
      </c>
      <c r="K515" s="12">
        <v>0</v>
      </c>
      <c r="L515" s="12">
        <v>0</v>
      </c>
      <c r="M515" s="12">
        <v>0</v>
      </c>
      <c r="N515" s="12">
        <v>0</v>
      </c>
      <c r="O515" s="12">
        <v>0</v>
      </c>
      <c r="P515" s="12">
        <v>0</v>
      </c>
      <c r="Q515" s="12">
        <v>0</v>
      </c>
      <c r="R515" s="12">
        <v>0</v>
      </c>
    </row>
    <row r="516" spans="1:19" x14ac:dyDescent="0.25">
      <c r="A516" s="13">
        <v>45909.739872685182</v>
      </c>
      <c r="B516" t="s">
        <v>355</v>
      </c>
      <c r="C516" t="s">
        <v>358</v>
      </c>
      <c r="D516" t="s">
        <v>10</v>
      </c>
      <c r="E516" t="s">
        <v>11</v>
      </c>
      <c r="F516" t="s">
        <v>15</v>
      </c>
      <c r="G516">
        <v>3</v>
      </c>
      <c r="H516" s="12">
        <v>1</v>
      </c>
      <c r="I516" s="12">
        <v>0</v>
      </c>
      <c r="J516" s="12">
        <v>0</v>
      </c>
      <c r="K516" s="12">
        <v>0</v>
      </c>
      <c r="L516" s="12">
        <v>0</v>
      </c>
      <c r="M516" s="12">
        <v>0</v>
      </c>
      <c r="N516" s="12">
        <v>0</v>
      </c>
      <c r="O516" s="12">
        <v>0</v>
      </c>
      <c r="P516" s="12">
        <v>0</v>
      </c>
      <c r="Q516" s="12">
        <v>0</v>
      </c>
      <c r="R516" s="12">
        <v>0</v>
      </c>
    </row>
    <row r="517" spans="1:19" x14ac:dyDescent="0.25">
      <c r="A517" s="13">
        <v>45910.428564814814</v>
      </c>
      <c r="B517" t="s">
        <v>347</v>
      </c>
      <c r="C517" t="s">
        <v>359</v>
      </c>
      <c r="D517" t="s">
        <v>10</v>
      </c>
      <c r="E517" t="s">
        <v>17</v>
      </c>
      <c r="F517" t="s">
        <v>15</v>
      </c>
      <c r="G517">
        <v>3</v>
      </c>
      <c r="H517" s="12">
        <v>0</v>
      </c>
      <c r="I517" s="12">
        <v>0</v>
      </c>
      <c r="J517" s="12">
        <v>0</v>
      </c>
      <c r="K517" s="12">
        <v>0</v>
      </c>
      <c r="L517" s="12">
        <v>0</v>
      </c>
      <c r="M517" s="12">
        <v>0</v>
      </c>
      <c r="N517" s="12">
        <v>1</v>
      </c>
      <c r="O517" s="12">
        <v>0</v>
      </c>
      <c r="P517" s="12">
        <v>0</v>
      </c>
      <c r="Q517" s="12">
        <v>0</v>
      </c>
      <c r="R517" s="12">
        <v>0</v>
      </c>
    </row>
    <row r="518" spans="1:19" x14ac:dyDescent="0.25">
      <c r="A518" s="13">
        <v>45910.456770833334</v>
      </c>
      <c r="B518" t="s">
        <v>347</v>
      </c>
      <c r="C518" t="s">
        <v>359</v>
      </c>
      <c r="D518" t="s">
        <v>10</v>
      </c>
      <c r="E518" t="s">
        <v>11</v>
      </c>
      <c r="F518" t="s">
        <v>12</v>
      </c>
      <c r="G518">
        <v>10.5</v>
      </c>
      <c r="H518" s="12">
        <v>1</v>
      </c>
      <c r="I518" s="12">
        <v>0</v>
      </c>
      <c r="J518" s="12">
        <v>1</v>
      </c>
      <c r="K518" s="12">
        <v>0</v>
      </c>
      <c r="L518" s="12">
        <v>0</v>
      </c>
      <c r="M518" s="12">
        <v>1</v>
      </c>
      <c r="N518" s="12">
        <v>0</v>
      </c>
      <c r="O518" s="12">
        <v>0</v>
      </c>
      <c r="P518" s="12">
        <v>0</v>
      </c>
      <c r="Q518" s="12">
        <v>0</v>
      </c>
      <c r="R518" s="12">
        <v>0</v>
      </c>
    </row>
    <row r="519" spans="1:19" x14ac:dyDescent="0.25">
      <c r="A519" s="13">
        <v>45910.463263888887</v>
      </c>
      <c r="B519" t="s">
        <v>354</v>
      </c>
      <c r="C519" t="s">
        <v>359</v>
      </c>
      <c r="D519" t="s">
        <v>10</v>
      </c>
      <c r="E519" t="s">
        <v>17</v>
      </c>
      <c r="F519" t="s">
        <v>12</v>
      </c>
      <c r="G519">
        <v>10.5</v>
      </c>
      <c r="H519" s="12">
        <v>0</v>
      </c>
      <c r="I519" s="12">
        <v>0</v>
      </c>
      <c r="J519" s="12">
        <v>1</v>
      </c>
      <c r="K519" s="12">
        <v>0</v>
      </c>
      <c r="L519" s="12">
        <v>1</v>
      </c>
      <c r="M519" s="12">
        <v>0</v>
      </c>
      <c r="N519" s="12">
        <v>0</v>
      </c>
      <c r="O519" s="12">
        <v>0</v>
      </c>
      <c r="P519" s="12">
        <v>0</v>
      </c>
      <c r="Q519" s="12">
        <v>0</v>
      </c>
      <c r="R519" s="12">
        <v>0</v>
      </c>
    </row>
    <row r="520" spans="1:19" x14ac:dyDescent="0.25">
      <c r="A520" s="13">
        <v>45910.542349537034</v>
      </c>
      <c r="B520" t="s">
        <v>351</v>
      </c>
      <c r="C520" t="s">
        <v>359</v>
      </c>
      <c r="D520" t="s">
        <v>20</v>
      </c>
      <c r="E520" t="s">
        <v>17</v>
      </c>
      <c r="F520" t="s">
        <v>15</v>
      </c>
      <c r="G520">
        <v>3</v>
      </c>
      <c r="H520" s="12">
        <v>0</v>
      </c>
      <c r="I520" s="12">
        <v>0</v>
      </c>
      <c r="J520" s="12">
        <v>0</v>
      </c>
      <c r="K520" s="12">
        <v>0</v>
      </c>
      <c r="L520" s="12">
        <v>0</v>
      </c>
      <c r="M520" s="12">
        <v>0</v>
      </c>
      <c r="N520" s="12">
        <v>0</v>
      </c>
      <c r="O520" s="12">
        <v>0</v>
      </c>
      <c r="P520" s="12">
        <v>0</v>
      </c>
      <c r="Q520" s="12">
        <v>0</v>
      </c>
      <c r="R520" s="12">
        <v>1</v>
      </c>
      <c r="S520" t="s">
        <v>165</v>
      </c>
    </row>
    <row r="521" spans="1:19" x14ac:dyDescent="0.25">
      <c r="A521" s="13">
        <v>45910.604641203703</v>
      </c>
      <c r="B521" t="s">
        <v>348</v>
      </c>
      <c r="C521" t="s">
        <v>359</v>
      </c>
      <c r="D521" t="s">
        <v>20</v>
      </c>
      <c r="E521" t="s">
        <v>11</v>
      </c>
      <c r="F521" t="s">
        <v>12</v>
      </c>
      <c r="G521">
        <v>10.5</v>
      </c>
      <c r="H521" s="12">
        <v>1</v>
      </c>
      <c r="I521" s="12">
        <v>0</v>
      </c>
      <c r="J521" s="12">
        <v>1</v>
      </c>
      <c r="K521" s="12">
        <v>0</v>
      </c>
      <c r="L521" s="12">
        <v>0</v>
      </c>
      <c r="M521" s="12">
        <v>1</v>
      </c>
      <c r="N521" s="12">
        <v>0</v>
      </c>
      <c r="O521" s="12">
        <v>0</v>
      </c>
      <c r="P521" s="12">
        <v>0</v>
      </c>
      <c r="Q521" s="12">
        <v>0</v>
      </c>
      <c r="R521" s="12">
        <v>0</v>
      </c>
    </row>
    <row r="522" spans="1:19" x14ac:dyDescent="0.25">
      <c r="A522" s="13">
        <v>45910.621724537035</v>
      </c>
      <c r="B522" t="s">
        <v>348</v>
      </c>
      <c r="C522" t="s">
        <v>359</v>
      </c>
      <c r="D522" t="s">
        <v>20</v>
      </c>
      <c r="E522" t="s">
        <v>11</v>
      </c>
      <c r="F522" t="s">
        <v>15</v>
      </c>
      <c r="G522">
        <v>3</v>
      </c>
      <c r="H522" s="12">
        <v>0</v>
      </c>
      <c r="I522" s="12">
        <v>0</v>
      </c>
      <c r="J522" s="12">
        <v>0</v>
      </c>
      <c r="K522" s="12">
        <v>0</v>
      </c>
      <c r="L522" s="12">
        <v>0</v>
      </c>
      <c r="M522" s="12">
        <v>0</v>
      </c>
      <c r="N522" s="12">
        <v>0</v>
      </c>
      <c r="O522" s="12">
        <v>0</v>
      </c>
      <c r="P522" s="12">
        <v>1</v>
      </c>
      <c r="Q522" s="12">
        <v>0</v>
      </c>
      <c r="R522" s="12">
        <v>0</v>
      </c>
    </row>
    <row r="523" spans="1:19" x14ac:dyDescent="0.25">
      <c r="A523" s="13">
        <v>45912.423414351855</v>
      </c>
      <c r="B523" t="s">
        <v>347</v>
      </c>
      <c r="C523" t="s">
        <v>361</v>
      </c>
      <c r="D523" t="s">
        <v>10</v>
      </c>
      <c r="E523" t="s">
        <v>17</v>
      </c>
      <c r="F523" t="s">
        <v>14</v>
      </c>
      <c r="G523">
        <v>0.5</v>
      </c>
      <c r="H523" s="12">
        <v>0</v>
      </c>
      <c r="I523" s="12">
        <v>0</v>
      </c>
      <c r="J523" s="12">
        <v>0</v>
      </c>
      <c r="K523" s="12">
        <v>0</v>
      </c>
      <c r="L523" s="12">
        <v>0</v>
      </c>
      <c r="M523" s="12">
        <v>0</v>
      </c>
      <c r="N523" s="12">
        <v>1</v>
      </c>
      <c r="O523" s="12">
        <v>0</v>
      </c>
      <c r="P523" s="12">
        <v>0</v>
      </c>
      <c r="Q523" s="12">
        <v>0</v>
      </c>
      <c r="R523" s="12">
        <v>0</v>
      </c>
    </row>
    <row r="524" spans="1:19" x14ac:dyDescent="0.25">
      <c r="A524" s="13">
        <v>45912.423518518517</v>
      </c>
      <c r="B524" t="s">
        <v>347</v>
      </c>
      <c r="C524" t="s">
        <v>361</v>
      </c>
      <c r="D524" t="s">
        <v>10</v>
      </c>
      <c r="E524" t="s">
        <v>11</v>
      </c>
      <c r="F524" t="s">
        <v>14</v>
      </c>
      <c r="G524">
        <v>0.5</v>
      </c>
      <c r="H524" s="12">
        <v>0</v>
      </c>
      <c r="I524" s="12">
        <v>0</v>
      </c>
      <c r="J524" s="12">
        <v>0</v>
      </c>
      <c r="K524" s="12">
        <v>0</v>
      </c>
      <c r="L524" s="12">
        <v>0</v>
      </c>
      <c r="M524" s="12">
        <v>0</v>
      </c>
      <c r="N524" s="12">
        <v>1</v>
      </c>
      <c r="O524" s="12">
        <v>0</v>
      </c>
      <c r="P524" s="12">
        <v>0</v>
      </c>
      <c r="Q524" s="12">
        <v>0</v>
      </c>
      <c r="R524" s="12">
        <v>0</v>
      </c>
    </row>
    <row r="525" spans="1:19" x14ac:dyDescent="0.25">
      <c r="A525" s="13">
        <v>45912.507847222223</v>
      </c>
      <c r="B525" t="s">
        <v>350</v>
      </c>
      <c r="C525" t="s">
        <v>361</v>
      </c>
      <c r="D525" t="s">
        <v>10</v>
      </c>
      <c r="E525" t="s">
        <v>11</v>
      </c>
      <c r="F525" t="s">
        <v>14</v>
      </c>
      <c r="G525">
        <v>0.5</v>
      </c>
      <c r="H525" s="12">
        <v>0</v>
      </c>
      <c r="I525" s="12">
        <v>0</v>
      </c>
      <c r="J525" s="12">
        <v>0</v>
      </c>
      <c r="K525" s="12">
        <v>0</v>
      </c>
      <c r="L525" s="12">
        <v>0</v>
      </c>
      <c r="M525" s="12">
        <v>0</v>
      </c>
      <c r="N525" s="12">
        <v>1</v>
      </c>
      <c r="O525" s="12">
        <v>0</v>
      </c>
      <c r="P525" s="12">
        <v>0</v>
      </c>
      <c r="Q525" s="12">
        <v>0</v>
      </c>
      <c r="R525" s="12">
        <v>0</v>
      </c>
    </row>
    <row r="526" spans="1:19" x14ac:dyDescent="0.25">
      <c r="A526" s="13">
        <v>45912.508796296293</v>
      </c>
      <c r="B526" t="s">
        <v>350</v>
      </c>
      <c r="C526" t="s">
        <v>361</v>
      </c>
      <c r="D526" t="s">
        <v>10</v>
      </c>
      <c r="E526" t="s">
        <v>11</v>
      </c>
      <c r="F526" t="s">
        <v>12</v>
      </c>
      <c r="G526">
        <v>10.5</v>
      </c>
      <c r="H526" s="12">
        <v>0</v>
      </c>
      <c r="I526" s="12">
        <v>0</v>
      </c>
      <c r="J526" s="12">
        <v>0</v>
      </c>
      <c r="K526" s="12">
        <v>0</v>
      </c>
      <c r="L526" s="12">
        <v>0</v>
      </c>
      <c r="M526" s="12">
        <v>0</v>
      </c>
      <c r="N526" s="12">
        <v>0</v>
      </c>
      <c r="O526" s="12">
        <v>0</v>
      </c>
      <c r="P526" s="12">
        <v>0</v>
      </c>
      <c r="Q526" s="12">
        <v>0</v>
      </c>
      <c r="R526" s="12">
        <v>1</v>
      </c>
      <c r="S526" t="s">
        <v>166</v>
      </c>
    </row>
    <row r="527" spans="1:19" x14ac:dyDescent="0.25">
      <c r="A527" s="13">
        <v>45912.518564814818</v>
      </c>
      <c r="B527" t="s">
        <v>350</v>
      </c>
      <c r="C527" t="s">
        <v>361</v>
      </c>
      <c r="D527" t="s">
        <v>10</v>
      </c>
      <c r="E527" t="s">
        <v>11</v>
      </c>
      <c r="F527" t="s">
        <v>12</v>
      </c>
      <c r="G527">
        <v>10.5</v>
      </c>
      <c r="H527" s="12">
        <v>0</v>
      </c>
      <c r="I527" s="12">
        <v>0</v>
      </c>
      <c r="J527" s="12">
        <v>0</v>
      </c>
      <c r="K527" s="12">
        <v>0</v>
      </c>
      <c r="L527" s="12">
        <v>1</v>
      </c>
      <c r="M527" s="12">
        <v>0</v>
      </c>
      <c r="N527" s="12">
        <v>0</v>
      </c>
      <c r="O527" s="12">
        <v>0</v>
      </c>
      <c r="P527" s="12">
        <v>1</v>
      </c>
      <c r="Q527" s="12">
        <v>0</v>
      </c>
      <c r="R527" s="12">
        <v>0</v>
      </c>
    </row>
    <row r="528" spans="1:19" x14ac:dyDescent="0.25">
      <c r="A528" s="13">
        <v>45912.533784722225</v>
      </c>
      <c r="B528" t="s">
        <v>350</v>
      </c>
      <c r="C528" t="s">
        <v>361</v>
      </c>
      <c r="D528" t="s">
        <v>10</v>
      </c>
      <c r="E528" t="s">
        <v>11</v>
      </c>
      <c r="F528" t="s">
        <v>15</v>
      </c>
      <c r="G528">
        <v>3</v>
      </c>
      <c r="H528" s="12">
        <v>1</v>
      </c>
      <c r="I528" s="12">
        <v>0</v>
      </c>
      <c r="J528" s="12">
        <v>1</v>
      </c>
      <c r="K528" s="12">
        <v>0</v>
      </c>
      <c r="L528" s="12">
        <v>0</v>
      </c>
      <c r="M528" s="12">
        <v>0</v>
      </c>
      <c r="N528" s="12">
        <v>0</v>
      </c>
      <c r="O528" s="12">
        <v>0</v>
      </c>
      <c r="P528" s="12">
        <v>0</v>
      </c>
      <c r="Q528" s="12">
        <v>0</v>
      </c>
      <c r="R528" s="12">
        <v>0</v>
      </c>
    </row>
    <row r="529" spans="1:19" x14ac:dyDescent="0.25">
      <c r="A529" s="13">
        <v>45912.586793981478</v>
      </c>
      <c r="B529" t="s">
        <v>348</v>
      </c>
      <c r="C529" t="s">
        <v>361</v>
      </c>
      <c r="D529" t="s">
        <v>10</v>
      </c>
      <c r="E529" t="s">
        <v>11</v>
      </c>
      <c r="F529" t="s">
        <v>12</v>
      </c>
      <c r="G529">
        <v>10.5</v>
      </c>
      <c r="H529" s="12">
        <v>0</v>
      </c>
      <c r="I529" s="12">
        <v>0</v>
      </c>
      <c r="J529" s="12">
        <v>0</v>
      </c>
      <c r="K529" s="12">
        <v>0</v>
      </c>
      <c r="L529" s="12">
        <v>1</v>
      </c>
      <c r="M529" s="12">
        <v>0</v>
      </c>
      <c r="N529" s="12">
        <v>0</v>
      </c>
      <c r="O529" s="12">
        <v>0</v>
      </c>
      <c r="P529" s="12">
        <v>0</v>
      </c>
      <c r="Q529" s="12">
        <v>0</v>
      </c>
      <c r="R529" s="12">
        <v>0</v>
      </c>
    </row>
    <row r="530" spans="1:19" x14ac:dyDescent="0.25">
      <c r="A530" s="13">
        <v>45912.624305555553</v>
      </c>
      <c r="B530" t="s">
        <v>348</v>
      </c>
      <c r="C530" t="s">
        <v>361</v>
      </c>
      <c r="D530" t="s">
        <v>10</v>
      </c>
      <c r="E530" t="s">
        <v>17</v>
      </c>
      <c r="F530" t="s">
        <v>15</v>
      </c>
      <c r="G530">
        <v>3</v>
      </c>
      <c r="H530" s="12">
        <v>0</v>
      </c>
      <c r="I530" s="12">
        <v>0</v>
      </c>
      <c r="J530" s="12">
        <v>0</v>
      </c>
      <c r="K530" s="12">
        <v>0</v>
      </c>
      <c r="L530" s="12">
        <v>0</v>
      </c>
      <c r="M530" s="12">
        <v>0</v>
      </c>
      <c r="N530" s="12">
        <v>1</v>
      </c>
      <c r="O530" s="12">
        <v>0</v>
      </c>
      <c r="P530" s="12">
        <v>0</v>
      </c>
      <c r="Q530" s="12">
        <v>0</v>
      </c>
      <c r="R530" s="12">
        <v>0</v>
      </c>
    </row>
    <row r="531" spans="1:19" x14ac:dyDescent="0.25">
      <c r="A531" s="13">
        <v>45912.624386574076</v>
      </c>
      <c r="B531" t="s">
        <v>348</v>
      </c>
      <c r="C531" t="s">
        <v>361</v>
      </c>
      <c r="D531" t="s">
        <v>10</v>
      </c>
      <c r="E531" t="s">
        <v>17</v>
      </c>
      <c r="F531" t="s">
        <v>15</v>
      </c>
      <c r="G531">
        <v>3</v>
      </c>
      <c r="H531" s="12">
        <v>0</v>
      </c>
      <c r="I531" s="12">
        <v>0</v>
      </c>
      <c r="J531" s="12">
        <v>0</v>
      </c>
      <c r="K531" s="12">
        <v>0</v>
      </c>
      <c r="L531" s="12">
        <v>0</v>
      </c>
      <c r="M531" s="12">
        <v>0</v>
      </c>
      <c r="N531" s="12">
        <v>1</v>
      </c>
      <c r="O531" s="12">
        <v>0</v>
      </c>
      <c r="P531" s="12">
        <v>0</v>
      </c>
      <c r="Q531" s="12">
        <v>0</v>
      </c>
      <c r="R531" s="12">
        <v>0</v>
      </c>
    </row>
    <row r="532" spans="1:19" x14ac:dyDescent="0.25">
      <c r="A532" s="13">
        <v>45912.624641203707</v>
      </c>
      <c r="B532" t="s">
        <v>348</v>
      </c>
      <c r="C532" t="s">
        <v>361</v>
      </c>
      <c r="D532" t="s">
        <v>10</v>
      </c>
      <c r="E532" t="s">
        <v>11</v>
      </c>
      <c r="F532" t="s">
        <v>12</v>
      </c>
      <c r="G532">
        <v>10.5</v>
      </c>
      <c r="H532" s="12">
        <v>1</v>
      </c>
      <c r="I532" s="12">
        <v>0</v>
      </c>
      <c r="J532" s="12">
        <v>1</v>
      </c>
      <c r="K532" s="12">
        <v>0</v>
      </c>
      <c r="L532" s="12">
        <v>0</v>
      </c>
      <c r="M532" s="12">
        <v>0</v>
      </c>
      <c r="N532" s="12">
        <v>0</v>
      </c>
      <c r="O532" s="12">
        <v>0</v>
      </c>
      <c r="P532" s="12">
        <v>0</v>
      </c>
      <c r="Q532" s="12">
        <v>0</v>
      </c>
      <c r="R532" s="12">
        <v>0</v>
      </c>
      <c r="S532" t="s">
        <v>167</v>
      </c>
    </row>
    <row r="533" spans="1:19" x14ac:dyDescent="0.25">
      <c r="A533" s="13">
        <v>45912.624837962961</v>
      </c>
      <c r="B533" t="s">
        <v>348</v>
      </c>
      <c r="C533" t="s">
        <v>361</v>
      </c>
      <c r="D533" t="s">
        <v>10</v>
      </c>
      <c r="E533" t="s">
        <v>11</v>
      </c>
      <c r="F533" t="s">
        <v>12</v>
      </c>
      <c r="G533">
        <v>10.5</v>
      </c>
      <c r="H533" s="12">
        <v>0</v>
      </c>
      <c r="I533" s="12">
        <v>0</v>
      </c>
      <c r="J533" s="12">
        <v>1</v>
      </c>
      <c r="K533" s="12">
        <v>0</v>
      </c>
      <c r="L533" s="12">
        <v>1</v>
      </c>
      <c r="M533" s="12">
        <v>0</v>
      </c>
      <c r="N533" s="12">
        <v>0</v>
      </c>
      <c r="O533" s="12">
        <v>0</v>
      </c>
      <c r="P533" s="12">
        <v>0</v>
      </c>
      <c r="Q533" s="12">
        <v>0</v>
      </c>
      <c r="R533" s="12">
        <v>0</v>
      </c>
    </row>
    <row r="534" spans="1:19" x14ac:dyDescent="0.25">
      <c r="A534" s="13">
        <v>45912.625162037039</v>
      </c>
      <c r="B534" t="s">
        <v>349</v>
      </c>
      <c r="C534" t="s">
        <v>361</v>
      </c>
      <c r="D534" t="s">
        <v>10</v>
      </c>
      <c r="E534" t="s">
        <v>17</v>
      </c>
      <c r="F534" t="s">
        <v>15</v>
      </c>
      <c r="G534">
        <v>3</v>
      </c>
      <c r="H534" s="12">
        <v>0</v>
      </c>
      <c r="I534" s="12">
        <v>0</v>
      </c>
      <c r="J534" s="12">
        <v>0</v>
      </c>
      <c r="K534" s="12">
        <v>0</v>
      </c>
      <c r="L534" s="12">
        <v>0</v>
      </c>
      <c r="M534" s="12">
        <v>0</v>
      </c>
      <c r="N534" s="12">
        <v>0</v>
      </c>
      <c r="O534" s="12">
        <v>1</v>
      </c>
      <c r="P534" s="12">
        <v>0</v>
      </c>
      <c r="Q534" s="12">
        <v>0</v>
      </c>
      <c r="R534" s="12">
        <v>1</v>
      </c>
      <c r="S534" t="s">
        <v>168</v>
      </c>
    </row>
    <row r="535" spans="1:19" x14ac:dyDescent="0.25">
      <c r="A535" s="13">
        <v>45912.658900462964</v>
      </c>
      <c r="B535" t="s">
        <v>349</v>
      </c>
      <c r="C535" t="s">
        <v>361</v>
      </c>
      <c r="D535" t="s">
        <v>10</v>
      </c>
      <c r="E535" t="s">
        <v>11</v>
      </c>
      <c r="F535" t="s">
        <v>15</v>
      </c>
      <c r="G535">
        <v>3</v>
      </c>
      <c r="H535" s="12">
        <v>1</v>
      </c>
      <c r="I535" s="12">
        <v>0</v>
      </c>
      <c r="J535" s="12">
        <v>1</v>
      </c>
      <c r="K535" s="12">
        <v>0</v>
      </c>
      <c r="L535" s="12">
        <v>0</v>
      </c>
      <c r="M535" s="12">
        <v>0</v>
      </c>
      <c r="N535" s="12">
        <v>0</v>
      </c>
      <c r="O535" s="12">
        <v>0</v>
      </c>
      <c r="P535" s="12">
        <v>0</v>
      </c>
      <c r="Q535" s="12">
        <v>0</v>
      </c>
      <c r="R535" s="12">
        <v>0</v>
      </c>
    </row>
    <row r="536" spans="1:19" x14ac:dyDescent="0.25">
      <c r="A536" s="13">
        <v>45912.669189814813</v>
      </c>
      <c r="B536" t="s">
        <v>353</v>
      </c>
      <c r="C536" t="s">
        <v>361</v>
      </c>
      <c r="D536" t="s">
        <v>10</v>
      </c>
      <c r="E536" t="s">
        <v>11</v>
      </c>
      <c r="F536" t="s">
        <v>14</v>
      </c>
      <c r="G536">
        <v>0.5</v>
      </c>
      <c r="H536" s="12">
        <v>0</v>
      </c>
      <c r="I536" s="12">
        <v>0</v>
      </c>
      <c r="J536" s="12">
        <v>0</v>
      </c>
      <c r="K536" s="12">
        <v>0</v>
      </c>
      <c r="L536" s="12">
        <v>0</v>
      </c>
      <c r="M536" s="12">
        <v>0</v>
      </c>
      <c r="N536" s="12">
        <v>0</v>
      </c>
      <c r="O536" s="12">
        <v>0</v>
      </c>
      <c r="P536" s="12">
        <v>0</v>
      </c>
      <c r="Q536" s="12">
        <v>0</v>
      </c>
      <c r="R536" s="12">
        <v>1</v>
      </c>
      <c r="S536" t="s">
        <v>169</v>
      </c>
    </row>
    <row r="537" spans="1:19" x14ac:dyDescent="0.25">
      <c r="A537" s="13">
        <v>45912.669652777775</v>
      </c>
      <c r="B537" t="s">
        <v>353</v>
      </c>
      <c r="C537" t="s">
        <v>361</v>
      </c>
      <c r="D537" t="s">
        <v>10</v>
      </c>
      <c r="E537" t="s">
        <v>11</v>
      </c>
      <c r="F537" t="s">
        <v>15</v>
      </c>
      <c r="G537">
        <v>3</v>
      </c>
      <c r="H537" s="12">
        <v>0</v>
      </c>
      <c r="I537" s="12">
        <v>0</v>
      </c>
      <c r="J537" s="12">
        <v>1</v>
      </c>
      <c r="K537" s="12">
        <v>0</v>
      </c>
      <c r="L537" s="12">
        <v>1</v>
      </c>
      <c r="M537" s="12">
        <v>0</v>
      </c>
      <c r="N537" s="12">
        <v>0</v>
      </c>
      <c r="O537" s="12">
        <v>0</v>
      </c>
      <c r="P537" s="12">
        <v>0</v>
      </c>
      <c r="Q537" s="12">
        <v>0</v>
      </c>
      <c r="R537" s="12">
        <v>0</v>
      </c>
      <c r="S537" t="s">
        <v>170</v>
      </c>
    </row>
    <row r="538" spans="1:19" x14ac:dyDescent="0.25">
      <c r="A538" s="13">
        <v>45912.759918981479</v>
      </c>
      <c r="B538" t="s">
        <v>355</v>
      </c>
      <c r="C538" t="s">
        <v>361</v>
      </c>
      <c r="D538" t="s">
        <v>10</v>
      </c>
      <c r="E538" t="s">
        <v>11</v>
      </c>
      <c r="F538" t="s">
        <v>15</v>
      </c>
      <c r="G538">
        <v>3</v>
      </c>
      <c r="H538" s="12">
        <v>0</v>
      </c>
      <c r="I538" s="12">
        <v>0</v>
      </c>
      <c r="J538" s="12">
        <v>0</v>
      </c>
      <c r="K538" s="12">
        <v>0</v>
      </c>
      <c r="L538" s="12">
        <v>1</v>
      </c>
      <c r="M538" s="12">
        <v>0</v>
      </c>
      <c r="N538" s="12">
        <v>0</v>
      </c>
      <c r="O538" s="12">
        <v>0</v>
      </c>
      <c r="P538" s="12">
        <v>0</v>
      </c>
      <c r="Q538" s="12">
        <v>0</v>
      </c>
      <c r="R538" s="12">
        <v>0</v>
      </c>
    </row>
    <row r="539" spans="1:19" x14ac:dyDescent="0.25">
      <c r="A539" s="13">
        <v>45912.760231481479</v>
      </c>
      <c r="B539" t="s">
        <v>355</v>
      </c>
      <c r="C539" t="s">
        <v>361</v>
      </c>
      <c r="D539" t="s">
        <v>10</v>
      </c>
      <c r="E539" t="s">
        <v>11</v>
      </c>
      <c r="F539" t="s">
        <v>15</v>
      </c>
      <c r="G539">
        <v>3</v>
      </c>
      <c r="H539" s="12">
        <v>0</v>
      </c>
      <c r="I539" s="12">
        <v>0</v>
      </c>
      <c r="J539" s="12">
        <v>0</v>
      </c>
      <c r="K539" s="12">
        <v>0</v>
      </c>
      <c r="L539" s="12">
        <v>0</v>
      </c>
      <c r="M539" s="12">
        <v>0</v>
      </c>
      <c r="N539" s="12">
        <v>0</v>
      </c>
      <c r="O539" s="12">
        <v>0</v>
      </c>
      <c r="P539" s="12">
        <v>1</v>
      </c>
      <c r="Q539" s="12">
        <v>0</v>
      </c>
      <c r="R539" s="12">
        <v>0</v>
      </c>
    </row>
    <row r="540" spans="1:19" x14ac:dyDescent="0.25">
      <c r="A540" s="13">
        <v>45912.760312500002</v>
      </c>
      <c r="B540" t="s">
        <v>355</v>
      </c>
      <c r="C540" t="s">
        <v>361</v>
      </c>
      <c r="D540" t="s">
        <v>20</v>
      </c>
      <c r="E540" t="s">
        <v>11</v>
      </c>
      <c r="F540" t="s">
        <v>15</v>
      </c>
      <c r="G540">
        <v>3</v>
      </c>
      <c r="H540" s="12">
        <v>1</v>
      </c>
      <c r="I540" s="12">
        <v>0</v>
      </c>
      <c r="J540" s="12">
        <v>0</v>
      </c>
      <c r="K540" s="12">
        <v>0</v>
      </c>
      <c r="L540" s="12">
        <v>0</v>
      </c>
      <c r="M540" s="12">
        <v>0</v>
      </c>
      <c r="N540" s="12">
        <v>0</v>
      </c>
      <c r="O540" s="12">
        <v>0</v>
      </c>
      <c r="P540" s="12">
        <v>0</v>
      </c>
      <c r="Q540" s="12">
        <v>0</v>
      </c>
      <c r="R540" s="12">
        <v>0</v>
      </c>
    </row>
    <row r="541" spans="1:19" x14ac:dyDescent="0.25">
      <c r="A541" s="13">
        <v>45912.760439814818</v>
      </c>
      <c r="B541" t="s">
        <v>355</v>
      </c>
      <c r="C541" t="s">
        <v>361</v>
      </c>
      <c r="D541" t="s">
        <v>10</v>
      </c>
      <c r="E541" t="s">
        <v>11</v>
      </c>
      <c r="F541" t="s">
        <v>15</v>
      </c>
      <c r="G541">
        <v>3</v>
      </c>
      <c r="H541" s="12">
        <v>0</v>
      </c>
      <c r="I541" s="12">
        <v>0</v>
      </c>
      <c r="J541" s="12">
        <v>0</v>
      </c>
      <c r="K541" s="12">
        <v>0</v>
      </c>
      <c r="L541" s="12">
        <v>0</v>
      </c>
      <c r="M541" s="12">
        <v>0</v>
      </c>
      <c r="N541" s="12">
        <v>0</v>
      </c>
      <c r="O541" s="12">
        <v>1</v>
      </c>
      <c r="P541" s="12">
        <v>0</v>
      </c>
      <c r="Q541" s="12">
        <v>0</v>
      </c>
      <c r="R541" s="12">
        <v>0</v>
      </c>
    </row>
    <row r="542" spans="1:19" x14ac:dyDescent="0.25">
      <c r="A542" s="13">
        <v>45915.512557870374</v>
      </c>
      <c r="B542" t="s">
        <v>350</v>
      </c>
      <c r="C542" t="s">
        <v>363</v>
      </c>
      <c r="D542" t="s">
        <v>10</v>
      </c>
      <c r="E542" t="s">
        <v>11</v>
      </c>
      <c r="F542" t="s">
        <v>12</v>
      </c>
      <c r="G542">
        <v>10.5</v>
      </c>
      <c r="H542" s="12">
        <v>0</v>
      </c>
      <c r="I542" s="12">
        <v>0</v>
      </c>
      <c r="J542" s="12">
        <v>0</v>
      </c>
      <c r="K542" s="12">
        <v>0</v>
      </c>
      <c r="L542" s="12">
        <v>1</v>
      </c>
      <c r="M542" s="12">
        <v>0</v>
      </c>
      <c r="N542" s="12">
        <v>0</v>
      </c>
      <c r="O542" s="12">
        <v>0</v>
      </c>
      <c r="P542" s="12">
        <v>0</v>
      </c>
      <c r="Q542" s="12">
        <v>0</v>
      </c>
      <c r="R542" s="12">
        <v>0</v>
      </c>
    </row>
    <row r="543" spans="1:19" x14ac:dyDescent="0.25">
      <c r="A543" s="13">
        <v>45915.521782407406</v>
      </c>
      <c r="B543" t="s">
        <v>350</v>
      </c>
      <c r="C543" t="s">
        <v>363</v>
      </c>
      <c r="D543" t="s">
        <v>10</v>
      </c>
      <c r="E543" t="s">
        <v>11</v>
      </c>
      <c r="F543" t="s">
        <v>14</v>
      </c>
      <c r="G543">
        <v>0.5</v>
      </c>
      <c r="H543" s="12">
        <v>0</v>
      </c>
      <c r="I543" s="12">
        <v>0</v>
      </c>
      <c r="J543" s="12">
        <v>0</v>
      </c>
      <c r="K543" s="12">
        <v>0</v>
      </c>
      <c r="L543" s="12">
        <v>0</v>
      </c>
      <c r="M543" s="12">
        <v>0</v>
      </c>
      <c r="N543" s="12">
        <v>0</v>
      </c>
      <c r="O543" s="12">
        <v>0</v>
      </c>
      <c r="P543" s="12">
        <v>0</v>
      </c>
      <c r="Q543" s="12">
        <v>1</v>
      </c>
      <c r="R543" s="12">
        <v>0</v>
      </c>
    </row>
    <row r="544" spans="1:19" x14ac:dyDescent="0.25">
      <c r="A544" s="13">
        <v>45915.573437500003</v>
      </c>
      <c r="B544" t="s">
        <v>351</v>
      </c>
      <c r="C544" t="s">
        <v>363</v>
      </c>
      <c r="D544" t="s">
        <v>10</v>
      </c>
      <c r="E544" t="s">
        <v>11</v>
      </c>
      <c r="F544" t="s">
        <v>12</v>
      </c>
      <c r="G544">
        <v>10.5</v>
      </c>
      <c r="H544" s="12">
        <v>0</v>
      </c>
      <c r="I544" s="12">
        <v>1</v>
      </c>
      <c r="J544" s="12">
        <v>0</v>
      </c>
      <c r="K544" s="12">
        <v>0</v>
      </c>
      <c r="L544" s="12">
        <v>1</v>
      </c>
      <c r="M544" s="12">
        <v>0</v>
      </c>
      <c r="N544" s="12">
        <v>0</v>
      </c>
      <c r="O544" s="12">
        <v>0</v>
      </c>
      <c r="P544" s="12">
        <v>0</v>
      </c>
      <c r="Q544" s="12">
        <v>0</v>
      </c>
      <c r="R544" s="12">
        <v>0</v>
      </c>
    </row>
    <row r="545" spans="1:19" x14ac:dyDescent="0.25">
      <c r="A545" s="13">
        <v>45915.606354166666</v>
      </c>
      <c r="B545" t="s">
        <v>348</v>
      </c>
      <c r="C545" t="s">
        <v>363</v>
      </c>
      <c r="D545" t="s">
        <v>10</v>
      </c>
      <c r="E545" t="s">
        <v>11</v>
      </c>
      <c r="F545" t="s">
        <v>15</v>
      </c>
      <c r="G545">
        <v>3</v>
      </c>
      <c r="H545" s="12">
        <v>1</v>
      </c>
      <c r="I545" s="12">
        <v>0</v>
      </c>
      <c r="J545" s="12">
        <v>0</v>
      </c>
      <c r="K545" s="12">
        <v>0</v>
      </c>
      <c r="L545" s="12">
        <v>0</v>
      </c>
      <c r="M545" s="12">
        <v>0</v>
      </c>
      <c r="N545" s="12">
        <v>0</v>
      </c>
      <c r="O545" s="12">
        <v>0</v>
      </c>
      <c r="P545" s="12">
        <v>0</v>
      </c>
      <c r="Q545" s="12">
        <v>0</v>
      </c>
      <c r="R545" s="12">
        <v>0</v>
      </c>
    </row>
    <row r="546" spans="1:19" x14ac:dyDescent="0.25">
      <c r="A546" s="13">
        <v>45915.606435185182</v>
      </c>
      <c r="B546" t="s">
        <v>348</v>
      </c>
      <c r="C546" t="s">
        <v>363</v>
      </c>
      <c r="D546" t="s">
        <v>10</v>
      </c>
      <c r="E546" t="s">
        <v>11</v>
      </c>
      <c r="F546" t="s">
        <v>14</v>
      </c>
      <c r="G546">
        <v>0.5</v>
      </c>
      <c r="H546" s="12">
        <v>0</v>
      </c>
      <c r="I546" s="12">
        <v>0</v>
      </c>
      <c r="J546" s="12">
        <v>0</v>
      </c>
      <c r="K546" s="12">
        <v>0</v>
      </c>
      <c r="L546" s="12">
        <v>0</v>
      </c>
      <c r="M546" s="12">
        <v>0</v>
      </c>
      <c r="N546" s="12">
        <v>0</v>
      </c>
      <c r="O546" s="12">
        <v>0</v>
      </c>
      <c r="P546" s="12">
        <v>0</v>
      </c>
      <c r="Q546" s="12">
        <v>1</v>
      </c>
      <c r="R546" s="12">
        <v>0</v>
      </c>
      <c r="S546" t="s">
        <v>171</v>
      </c>
    </row>
    <row r="547" spans="1:19" x14ac:dyDescent="0.25">
      <c r="A547" s="13">
        <v>45915.630995370368</v>
      </c>
      <c r="B547" t="s">
        <v>349</v>
      </c>
      <c r="C547" t="s">
        <v>363</v>
      </c>
      <c r="D547" t="s">
        <v>10</v>
      </c>
      <c r="E547" t="s">
        <v>17</v>
      </c>
      <c r="F547" t="s">
        <v>18</v>
      </c>
      <c r="G547">
        <v>20</v>
      </c>
      <c r="H547" s="12">
        <v>0</v>
      </c>
      <c r="I547" s="12">
        <v>0</v>
      </c>
      <c r="J547" s="12">
        <v>0</v>
      </c>
      <c r="K547" s="12">
        <v>0</v>
      </c>
      <c r="L547" s="12">
        <v>1</v>
      </c>
      <c r="M547" s="12">
        <v>0</v>
      </c>
      <c r="N547" s="12">
        <v>0</v>
      </c>
      <c r="O547" s="12">
        <v>0</v>
      </c>
      <c r="P547" s="12">
        <v>0</v>
      </c>
      <c r="Q547" s="12">
        <v>0</v>
      </c>
      <c r="R547" s="12">
        <v>0</v>
      </c>
      <c r="S547" t="s">
        <v>172</v>
      </c>
    </row>
    <row r="548" spans="1:19" x14ac:dyDescent="0.25">
      <c r="A548" s="13">
        <v>45915.631041666667</v>
      </c>
      <c r="B548" t="s">
        <v>349</v>
      </c>
      <c r="C548" t="s">
        <v>363</v>
      </c>
      <c r="D548" t="s">
        <v>10</v>
      </c>
      <c r="E548" t="s">
        <v>11</v>
      </c>
      <c r="F548" t="s">
        <v>15</v>
      </c>
      <c r="G548">
        <v>3</v>
      </c>
      <c r="H548" s="12">
        <v>0</v>
      </c>
      <c r="I548" s="12">
        <v>0</v>
      </c>
      <c r="J548" s="12">
        <v>0</v>
      </c>
      <c r="K548" s="12">
        <v>0</v>
      </c>
      <c r="L548" s="12">
        <v>0</v>
      </c>
      <c r="M548" s="12">
        <v>0</v>
      </c>
      <c r="N548" s="12">
        <v>1</v>
      </c>
      <c r="O548" s="12">
        <v>0</v>
      </c>
      <c r="P548" s="12">
        <v>0</v>
      </c>
      <c r="Q548" s="12">
        <v>0</v>
      </c>
      <c r="R548" s="12">
        <v>0</v>
      </c>
    </row>
    <row r="549" spans="1:19" x14ac:dyDescent="0.25">
      <c r="A549" s="13">
        <v>45915.642696759256</v>
      </c>
      <c r="B549" t="s">
        <v>349</v>
      </c>
      <c r="C549" t="s">
        <v>363</v>
      </c>
      <c r="D549" t="s">
        <v>10</v>
      </c>
      <c r="E549" t="s">
        <v>11</v>
      </c>
      <c r="F549" t="s">
        <v>12</v>
      </c>
      <c r="G549">
        <v>10.5</v>
      </c>
      <c r="H549" s="12">
        <v>0</v>
      </c>
      <c r="I549" s="12">
        <v>0</v>
      </c>
      <c r="J549" s="12">
        <v>0</v>
      </c>
      <c r="K549" s="12">
        <v>0</v>
      </c>
      <c r="L549" s="12">
        <v>0</v>
      </c>
      <c r="M549" s="12">
        <v>0</v>
      </c>
      <c r="N549" s="12">
        <v>0</v>
      </c>
      <c r="O549" s="12">
        <v>0</v>
      </c>
      <c r="P549" s="12">
        <v>0</v>
      </c>
      <c r="Q549" s="12">
        <v>0</v>
      </c>
      <c r="R549" s="12">
        <v>1</v>
      </c>
      <c r="S549" t="s">
        <v>173</v>
      </c>
    </row>
    <row r="550" spans="1:19" x14ac:dyDescent="0.25">
      <c r="A550" s="13">
        <v>45915.661782407406</v>
      </c>
      <c r="B550" t="s">
        <v>349</v>
      </c>
      <c r="C550" t="s">
        <v>363</v>
      </c>
      <c r="D550" t="s">
        <v>10</v>
      </c>
      <c r="E550" t="s">
        <v>11</v>
      </c>
      <c r="F550" t="s">
        <v>15</v>
      </c>
      <c r="G550">
        <v>3</v>
      </c>
      <c r="H550" s="12">
        <v>1</v>
      </c>
      <c r="I550" s="12">
        <v>0</v>
      </c>
      <c r="J550" s="12">
        <v>0</v>
      </c>
      <c r="K550" s="12">
        <v>0</v>
      </c>
      <c r="L550" s="12">
        <v>0</v>
      </c>
      <c r="M550" s="12">
        <v>0</v>
      </c>
      <c r="N550" s="12">
        <v>0</v>
      </c>
      <c r="O550" s="12">
        <v>0</v>
      </c>
      <c r="P550" s="12">
        <v>0</v>
      </c>
      <c r="Q550" s="12">
        <v>0</v>
      </c>
      <c r="R550" s="12">
        <v>0</v>
      </c>
      <c r="S550" t="s">
        <v>174</v>
      </c>
    </row>
    <row r="551" spans="1:19" x14ac:dyDescent="0.25">
      <c r="A551" s="13">
        <v>45915.667662037034</v>
      </c>
      <c r="B551" t="s">
        <v>353</v>
      </c>
      <c r="C551" t="s">
        <v>363</v>
      </c>
      <c r="D551" t="s">
        <v>10</v>
      </c>
      <c r="E551" t="s">
        <v>11</v>
      </c>
      <c r="F551" t="s">
        <v>12</v>
      </c>
      <c r="G551">
        <v>10.5</v>
      </c>
      <c r="H551" s="12">
        <v>0</v>
      </c>
      <c r="I551" s="12">
        <v>1</v>
      </c>
      <c r="J551" s="12">
        <v>0</v>
      </c>
      <c r="K551" s="12">
        <v>0</v>
      </c>
      <c r="L551" s="12">
        <v>1</v>
      </c>
      <c r="M551" s="12">
        <v>0</v>
      </c>
      <c r="N551" s="12">
        <v>0</v>
      </c>
      <c r="O551" s="12">
        <v>0</v>
      </c>
      <c r="P551" s="12">
        <v>0</v>
      </c>
      <c r="Q551" s="12">
        <v>0</v>
      </c>
      <c r="R551" s="12">
        <v>0</v>
      </c>
    </row>
    <row r="552" spans="1:19" x14ac:dyDescent="0.25">
      <c r="A552" s="13">
        <v>45915.747395833336</v>
      </c>
      <c r="B552" t="s">
        <v>355</v>
      </c>
      <c r="C552" t="s">
        <v>363</v>
      </c>
      <c r="D552" t="s">
        <v>10</v>
      </c>
      <c r="E552" t="s">
        <v>11</v>
      </c>
      <c r="F552" t="s">
        <v>12</v>
      </c>
      <c r="G552">
        <v>10.5</v>
      </c>
      <c r="H552" s="12">
        <v>0</v>
      </c>
      <c r="I552" s="12">
        <v>0</v>
      </c>
      <c r="J552" s="12">
        <v>0</v>
      </c>
      <c r="K552" s="12">
        <v>0</v>
      </c>
      <c r="L552" s="12">
        <v>1</v>
      </c>
      <c r="M552" s="12">
        <v>0</v>
      </c>
      <c r="N552" s="12">
        <v>0</v>
      </c>
      <c r="O552" s="12">
        <v>0</v>
      </c>
      <c r="P552" s="12">
        <v>0</v>
      </c>
      <c r="Q552" s="12">
        <v>0</v>
      </c>
      <c r="R552" s="12">
        <v>0</v>
      </c>
    </row>
    <row r="553" spans="1:19" x14ac:dyDescent="0.25">
      <c r="A553" s="13">
        <v>45915.748078703706</v>
      </c>
      <c r="B553" t="s">
        <v>355</v>
      </c>
      <c r="C553" t="s">
        <v>363</v>
      </c>
      <c r="D553" t="s">
        <v>10</v>
      </c>
      <c r="E553" t="s">
        <v>11</v>
      </c>
      <c r="F553" t="s">
        <v>12</v>
      </c>
      <c r="G553">
        <v>10.5</v>
      </c>
      <c r="H553" s="12">
        <v>1</v>
      </c>
      <c r="I553" s="12">
        <v>0</v>
      </c>
      <c r="J553" s="12">
        <v>1</v>
      </c>
      <c r="K553" s="12">
        <v>0</v>
      </c>
      <c r="L553" s="12">
        <v>0</v>
      </c>
      <c r="M553" s="12">
        <v>0</v>
      </c>
      <c r="N553" s="12">
        <v>0</v>
      </c>
      <c r="O553" s="12">
        <v>0</v>
      </c>
      <c r="P553" s="12">
        <v>0</v>
      </c>
      <c r="Q553" s="12">
        <v>0</v>
      </c>
      <c r="R553" s="12">
        <v>0</v>
      </c>
    </row>
    <row r="554" spans="1:19" x14ac:dyDescent="0.25">
      <c r="A554" s="13">
        <v>45915.74827546296</v>
      </c>
      <c r="B554" t="s">
        <v>355</v>
      </c>
      <c r="C554" t="s">
        <v>363</v>
      </c>
      <c r="D554" t="s">
        <v>10</v>
      </c>
      <c r="E554" t="s">
        <v>11</v>
      </c>
      <c r="F554" t="s">
        <v>12</v>
      </c>
      <c r="G554">
        <v>10.5</v>
      </c>
      <c r="H554" s="12">
        <v>1</v>
      </c>
      <c r="I554" s="12">
        <v>0</v>
      </c>
      <c r="J554" s="12">
        <v>1</v>
      </c>
      <c r="K554" s="12">
        <v>1</v>
      </c>
      <c r="L554" s="12">
        <v>0</v>
      </c>
      <c r="M554" s="12">
        <v>0</v>
      </c>
      <c r="N554" s="12">
        <v>0</v>
      </c>
      <c r="O554" s="12">
        <v>0</v>
      </c>
      <c r="P554" s="12">
        <v>0</v>
      </c>
      <c r="Q554" s="12">
        <v>0</v>
      </c>
      <c r="R554" s="12">
        <v>0</v>
      </c>
    </row>
    <row r="555" spans="1:19" x14ac:dyDescent="0.25">
      <c r="A555" s="13">
        <v>45915.748530092591</v>
      </c>
      <c r="B555" t="s">
        <v>355</v>
      </c>
      <c r="C555" t="s">
        <v>363</v>
      </c>
      <c r="D555" t="s">
        <v>10</v>
      </c>
      <c r="E555" t="s">
        <v>11</v>
      </c>
      <c r="F555" t="s">
        <v>12</v>
      </c>
      <c r="G555">
        <v>10.5</v>
      </c>
      <c r="H555" s="12">
        <v>0</v>
      </c>
      <c r="I555" s="12">
        <v>0</v>
      </c>
      <c r="J555" s="12">
        <v>0</v>
      </c>
      <c r="K555" s="12">
        <v>0</v>
      </c>
      <c r="L555" s="12">
        <v>0</v>
      </c>
      <c r="M555" s="12">
        <v>0</v>
      </c>
      <c r="N555" s="12">
        <v>0</v>
      </c>
      <c r="O555" s="12">
        <v>0</v>
      </c>
      <c r="P555" s="12">
        <v>1</v>
      </c>
      <c r="Q555" s="12">
        <v>0</v>
      </c>
      <c r="R555" s="12">
        <v>0</v>
      </c>
    </row>
    <row r="556" spans="1:19" x14ac:dyDescent="0.25">
      <c r="A556" s="13">
        <v>45916.509120370371</v>
      </c>
      <c r="B556" t="s">
        <v>350</v>
      </c>
      <c r="C556" t="s">
        <v>358</v>
      </c>
      <c r="D556" t="s">
        <v>10</v>
      </c>
      <c r="E556" t="s">
        <v>11</v>
      </c>
      <c r="F556" t="s">
        <v>12</v>
      </c>
      <c r="G556">
        <v>10.5</v>
      </c>
      <c r="H556" s="12">
        <v>1</v>
      </c>
      <c r="I556" s="12">
        <v>0</v>
      </c>
      <c r="J556" s="12">
        <v>1</v>
      </c>
      <c r="K556" s="12">
        <v>0</v>
      </c>
      <c r="L556" s="12">
        <v>0</v>
      </c>
      <c r="M556" s="12">
        <v>0</v>
      </c>
      <c r="N556" s="12">
        <v>1</v>
      </c>
      <c r="O556" s="12">
        <v>0</v>
      </c>
      <c r="P556" s="12">
        <v>1</v>
      </c>
      <c r="Q556" s="12">
        <v>0</v>
      </c>
      <c r="R556" s="12">
        <v>0</v>
      </c>
      <c r="S556" t="s">
        <v>175</v>
      </c>
    </row>
    <row r="557" spans="1:19" x14ac:dyDescent="0.25">
      <c r="A557" s="13">
        <v>45916.518680555557</v>
      </c>
      <c r="B557" t="s">
        <v>350</v>
      </c>
      <c r="C557" t="s">
        <v>358</v>
      </c>
      <c r="D557" t="s">
        <v>10</v>
      </c>
      <c r="E557" t="s">
        <v>11</v>
      </c>
      <c r="F557" t="s">
        <v>15</v>
      </c>
      <c r="G557">
        <v>3</v>
      </c>
      <c r="H557" s="12">
        <v>0</v>
      </c>
      <c r="I557" s="12">
        <v>0</v>
      </c>
      <c r="J557" s="12">
        <v>0</v>
      </c>
      <c r="K557" s="12">
        <v>0</v>
      </c>
      <c r="L557" s="12">
        <v>0</v>
      </c>
      <c r="M557" s="12">
        <v>0</v>
      </c>
      <c r="N557" s="12">
        <v>1</v>
      </c>
      <c r="O557" s="12">
        <v>0</v>
      </c>
      <c r="P557" s="12">
        <v>0</v>
      </c>
      <c r="Q557" s="12">
        <v>0</v>
      </c>
      <c r="R557" s="12">
        <v>0</v>
      </c>
    </row>
    <row r="558" spans="1:19" x14ac:dyDescent="0.25">
      <c r="A558" s="13">
        <v>45916.567696759259</v>
      </c>
      <c r="B558" t="s">
        <v>351</v>
      </c>
      <c r="C558" t="s">
        <v>358</v>
      </c>
      <c r="D558" t="s">
        <v>10</v>
      </c>
      <c r="E558" t="s">
        <v>11</v>
      </c>
      <c r="F558" t="s">
        <v>15</v>
      </c>
      <c r="G558">
        <v>3</v>
      </c>
      <c r="H558" s="12">
        <v>0</v>
      </c>
      <c r="I558" s="12">
        <v>0</v>
      </c>
      <c r="J558" s="12">
        <v>0</v>
      </c>
      <c r="K558" s="12">
        <v>0</v>
      </c>
      <c r="L558" s="12">
        <v>0</v>
      </c>
      <c r="M558" s="12">
        <v>0</v>
      </c>
      <c r="N558" s="12">
        <v>0</v>
      </c>
      <c r="O558" s="12">
        <v>1</v>
      </c>
      <c r="P558" s="12">
        <v>0</v>
      </c>
      <c r="Q558" s="12">
        <v>0</v>
      </c>
      <c r="R558" s="12">
        <v>1</v>
      </c>
      <c r="S558" t="s">
        <v>176</v>
      </c>
    </row>
    <row r="559" spans="1:19" x14ac:dyDescent="0.25">
      <c r="A559" s="13">
        <v>45916.59337962963</v>
      </c>
      <c r="B559" t="s">
        <v>348</v>
      </c>
      <c r="C559" t="s">
        <v>358</v>
      </c>
      <c r="D559" t="s">
        <v>10</v>
      </c>
      <c r="E559" t="s">
        <v>11</v>
      </c>
      <c r="F559" t="s">
        <v>15</v>
      </c>
      <c r="G559">
        <v>3</v>
      </c>
      <c r="H559" s="12">
        <v>0</v>
      </c>
      <c r="I559" s="12">
        <v>0</v>
      </c>
      <c r="J559" s="12">
        <v>0</v>
      </c>
      <c r="K559" s="12">
        <v>0</v>
      </c>
      <c r="L559" s="12">
        <v>0</v>
      </c>
      <c r="M559" s="12">
        <v>0</v>
      </c>
      <c r="N559" s="12">
        <v>0</v>
      </c>
      <c r="O559" s="12">
        <v>1</v>
      </c>
      <c r="P559" s="12">
        <v>0</v>
      </c>
      <c r="Q559" s="12">
        <v>0</v>
      </c>
      <c r="R559" s="12">
        <v>0</v>
      </c>
    </row>
    <row r="560" spans="1:19" x14ac:dyDescent="0.25">
      <c r="A560" s="13">
        <v>45916.593425925923</v>
      </c>
      <c r="B560" t="s">
        <v>348</v>
      </c>
      <c r="C560" t="s">
        <v>358</v>
      </c>
      <c r="D560" t="s">
        <v>10</v>
      </c>
      <c r="E560" t="s">
        <v>11</v>
      </c>
      <c r="F560" t="s">
        <v>15</v>
      </c>
      <c r="G560">
        <v>3</v>
      </c>
      <c r="H560" s="12">
        <v>0</v>
      </c>
      <c r="I560" s="12">
        <v>0</v>
      </c>
      <c r="J560" s="12">
        <v>0</v>
      </c>
      <c r="K560" s="12">
        <v>0</v>
      </c>
      <c r="L560" s="12">
        <v>0</v>
      </c>
      <c r="M560" s="12">
        <v>0</v>
      </c>
      <c r="N560" s="12">
        <v>0</v>
      </c>
      <c r="O560" s="12">
        <v>1</v>
      </c>
      <c r="P560" s="12">
        <v>0</v>
      </c>
      <c r="Q560" s="12">
        <v>0</v>
      </c>
      <c r="R560" s="12">
        <v>0</v>
      </c>
    </row>
    <row r="561" spans="1:18" x14ac:dyDescent="0.25">
      <c r="A561" s="13">
        <v>45916.62159722222</v>
      </c>
      <c r="B561" t="s">
        <v>348</v>
      </c>
      <c r="C561" t="s">
        <v>358</v>
      </c>
      <c r="D561" t="s">
        <v>10</v>
      </c>
      <c r="E561" t="s">
        <v>11</v>
      </c>
      <c r="F561" t="s">
        <v>15</v>
      </c>
      <c r="G561">
        <v>3</v>
      </c>
      <c r="H561" s="12">
        <v>0</v>
      </c>
      <c r="I561" s="12">
        <v>0</v>
      </c>
      <c r="J561" s="12">
        <v>0</v>
      </c>
      <c r="K561" s="12">
        <v>0</v>
      </c>
      <c r="L561" s="12">
        <v>0</v>
      </c>
      <c r="M561" s="12">
        <v>0</v>
      </c>
      <c r="N561" s="12">
        <v>0</v>
      </c>
      <c r="O561" s="12">
        <v>1</v>
      </c>
      <c r="P561" s="12">
        <v>0</v>
      </c>
      <c r="Q561" s="12">
        <v>0</v>
      </c>
      <c r="R561" s="12">
        <v>0</v>
      </c>
    </row>
    <row r="562" spans="1:18" x14ac:dyDescent="0.25">
      <c r="A562" s="13">
        <v>45916.629155092596</v>
      </c>
      <c r="B562" t="s">
        <v>349</v>
      </c>
      <c r="C562" t="s">
        <v>358</v>
      </c>
      <c r="D562" t="s">
        <v>10</v>
      </c>
      <c r="E562" t="s">
        <v>11</v>
      </c>
      <c r="F562" t="s">
        <v>15</v>
      </c>
      <c r="G562">
        <v>3</v>
      </c>
      <c r="H562" s="12">
        <v>0</v>
      </c>
      <c r="I562" s="12">
        <v>0</v>
      </c>
      <c r="J562" s="12">
        <v>0</v>
      </c>
      <c r="K562" s="12">
        <v>0</v>
      </c>
      <c r="L562" s="12">
        <v>0</v>
      </c>
      <c r="M562" s="12">
        <v>0</v>
      </c>
      <c r="N562" s="12">
        <v>0</v>
      </c>
      <c r="O562" s="12">
        <v>1</v>
      </c>
      <c r="P562" s="12">
        <v>0</v>
      </c>
      <c r="Q562" s="12">
        <v>0</v>
      </c>
      <c r="R562" s="12">
        <v>0</v>
      </c>
    </row>
    <row r="563" spans="1:18" x14ac:dyDescent="0.25">
      <c r="A563" s="13">
        <v>45916.748078703706</v>
      </c>
      <c r="B563" t="s">
        <v>355</v>
      </c>
      <c r="C563" t="s">
        <v>358</v>
      </c>
      <c r="D563" t="s">
        <v>10</v>
      </c>
      <c r="E563" t="s">
        <v>11</v>
      </c>
      <c r="F563" t="s">
        <v>15</v>
      </c>
      <c r="G563">
        <v>3</v>
      </c>
      <c r="H563" s="12">
        <v>0</v>
      </c>
      <c r="I563" s="12">
        <v>0</v>
      </c>
      <c r="J563" s="12">
        <v>0</v>
      </c>
      <c r="K563" s="12">
        <v>0</v>
      </c>
      <c r="L563" s="12">
        <v>0</v>
      </c>
      <c r="M563" s="12">
        <v>0</v>
      </c>
      <c r="N563" s="12">
        <v>1</v>
      </c>
      <c r="O563" s="12">
        <v>0</v>
      </c>
      <c r="P563" s="12">
        <v>0</v>
      </c>
      <c r="Q563" s="12">
        <v>0</v>
      </c>
      <c r="R563" s="12">
        <v>0</v>
      </c>
    </row>
    <row r="564" spans="1:18" x14ac:dyDescent="0.25">
      <c r="A564" s="13">
        <v>45916.748148148145</v>
      </c>
      <c r="B564" t="s">
        <v>355</v>
      </c>
      <c r="C564" t="s">
        <v>358</v>
      </c>
      <c r="D564" t="s">
        <v>10</v>
      </c>
      <c r="E564" t="s">
        <v>11</v>
      </c>
      <c r="F564" t="s">
        <v>14</v>
      </c>
      <c r="G564">
        <v>0.5</v>
      </c>
      <c r="H564" s="12">
        <v>0</v>
      </c>
      <c r="I564" s="12">
        <v>0</v>
      </c>
      <c r="J564" s="12">
        <v>0</v>
      </c>
      <c r="K564" s="12">
        <v>0</v>
      </c>
      <c r="L564" s="12">
        <v>0</v>
      </c>
      <c r="M564" s="12">
        <v>0</v>
      </c>
      <c r="N564" s="12">
        <v>0</v>
      </c>
      <c r="O564" s="12">
        <v>0</v>
      </c>
      <c r="P564" s="12">
        <v>1</v>
      </c>
      <c r="Q564" s="12">
        <v>0</v>
      </c>
      <c r="R564" s="12">
        <v>0</v>
      </c>
    </row>
    <row r="565" spans="1:18" x14ac:dyDescent="0.25">
      <c r="A565" s="13">
        <v>45916.748252314814</v>
      </c>
      <c r="B565" t="s">
        <v>355</v>
      </c>
      <c r="C565" t="s">
        <v>358</v>
      </c>
      <c r="D565" t="s">
        <v>10</v>
      </c>
      <c r="E565" t="s">
        <v>11</v>
      </c>
      <c r="F565" t="s">
        <v>15</v>
      </c>
      <c r="G565">
        <v>3</v>
      </c>
      <c r="H565" s="12">
        <v>0</v>
      </c>
      <c r="I565" s="12">
        <v>0</v>
      </c>
      <c r="J565" s="12">
        <v>1</v>
      </c>
      <c r="K565" s="12">
        <v>0</v>
      </c>
      <c r="L565" s="12">
        <v>0</v>
      </c>
      <c r="M565" s="12">
        <v>0</v>
      </c>
      <c r="N565" s="12">
        <v>0</v>
      </c>
      <c r="O565" s="12">
        <v>0</v>
      </c>
      <c r="P565" s="12">
        <v>0</v>
      </c>
      <c r="Q565" s="12">
        <v>0</v>
      </c>
      <c r="R565" s="12">
        <v>0</v>
      </c>
    </row>
    <row r="566" spans="1:18" x14ac:dyDescent="0.25">
      <c r="A566" s="13">
        <v>45916.748356481483</v>
      </c>
      <c r="B566" t="s">
        <v>355</v>
      </c>
      <c r="C566" t="s">
        <v>358</v>
      </c>
      <c r="D566" t="s">
        <v>10</v>
      </c>
      <c r="E566" t="s">
        <v>11</v>
      </c>
      <c r="F566" t="s">
        <v>14</v>
      </c>
      <c r="G566">
        <v>0.5</v>
      </c>
      <c r="H566" s="12">
        <v>0</v>
      </c>
      <c r="I566" s="12">
        <v>0</v>
      </c>
      <c r="J566" s="12">
        <v>0</v>
      </c>
      <c r="K566" s="12">
        <v>0</v>
      </c>
      <c r="L566" s="12">
        <v>0</v>
      </c>
      <c r="M566" s="12">
        <v>0</v>
      </c>
      <c r="N566" s="12">
        <v>0</v>
      </c>
      <c r="O566" s="12">
        <v>0</v>
      </c>
      <c r="P566" s="12">
        <v>1</v>
      </c>
      <c r="Q566" s="12">
        <v>0</v>
      </c>
      <c r="R566" s="12">
        <v>0</v>
      </c>
    </row>
    <row r="567" spans="1:18" x14ac:dyDescent="0.25">
      <c r="A567" s="13">
        <v>45916.748449074075</v>
      </c>
      <c r="B567" t="s">
        <v>355</v>
      </c>
      <c r="C567" t="s">
        <v>358</v>
      </c>
      <c r="D567" t="s">
        <v>10</v>
      </c>
      <c r="E567" t="s">
        <v>11</v>
      </c>
      <c r="F567" t="s">
        <v>14</v>
      </c>
      <c r="G567">
        <v>0.5</v>
      </c>
      <c r="H567" s="12">
        <v>0</v>
      </c>
      <c r="I567" s="12">
        <v>0</v>
      </c>
      <c r="J567" s="12">
        <v>0</v>
      </c>
      <c r="K567" s="12">
        <v>0</v>
      </c>
      <c r="L567" s="12">
        <v>0</v>
      </c>
      <c r="M567" s="12">
        <v>0</v>
      </c>
      <c r="N567" s="12">
        <v>0</v>
      </c>
      <c r="O567" s="12">
        <v>0</v>
      </c>
      <c r="P567" s="12">
        <v>0</v>
      </c>
      <c r="Q567" s="12">
        <v>0</v>
      </c>
      <c r="R567" s="12">
        <v>1</v>
      </c>
    </row>
    <row r="568" spans="1:18" x14ac:dyDescent="0.25">
      <c r="A568" s="13">
        <v>45917.444733796299</v>
      </c>
      <c r="B568" t="s">
        <v>347</v>
      </c>
      <c r="C568" t="s">
        <v>359</v>
      </c>
      <c r="D568" t="s">
        <v>10</v>
      </c>
      <c r="E568" t="s">
        <v>11</v>
      </c>
      <c r="F568" t="s">
        <v>12</v>
      </c>
      <c r="G568">
        <v>10.5</v>
      </c>
      <c r="H568" s="12">
        <v>0</v>
      </c>
      <c r="I568" s="12">
        <v>0</v>
      </c>
      <c r="J568" s="12">
        <v>1</v>
      </c>
      <c r="K568" s="12">
        <v>0</v>
      </c>
      <c r="L568" s="12">
        <v>1</v>
      </c>
      <c r="M568" s="12">
        <v>0</v>
      </c>
      <c r="N568" s="12">
        <v>0</v>
      </c>
      <c r="O568" s="12">
        <v>0</v>
      </c>
      <c r="P568" s="12">
        <v>0</v>
      </c>
      <c r="Q568" s="12">
        <v>0</v>
      </c>
      <c r="R568" s="12">
        <v>0</v>
      </c>
    </row>
    <row r="569" spans="1:18" x14ac:dyDescent="0.25">
      <c r="A569" s="13">
        <v>45917.444953703707</v>
      </c>
      <c r="B569" t="s">
        <v>347</v>
      </c>
      <c r="C569" t="s">
        <v>359</v>
      </c>
      <c r="D569" t="s">
        <v>10</v>
      </c>
      <c r="E569" t="s">
        <v>17</v>
      </c>
      <c r="F569" t="s">
        <v>14</v>
      </c>
      <c r="G569">
        <v>0.5</v>
      </c>
      <c r="H569" s="12">
        <v>0</v>
      </c>
      <c r="I569" s="12">
        <v>0</v>
      </c>
      <c r="J569" s="12">
        <v>0</v>
      </c>
      <c r="K569" s="12">
        <v>0</v>
      </c>
      <c r="L569" s="12">
        <v>0</v>
      </c>
      <c r="M569" s="12">
        <v>0</v>
      </c>
      <c r="N569" s="12">
        <v>0</v>
      </c>
      <c r="O569" s="12">
        <v>1</v>
      </c>
      <c r="P569" s="12">
        <v>1</v>
      </c>
      <c r="Q569" s="12">
        <v>0</v>
      </c>
      <c r="R569" s="12">
        <v>0</v>
      </c>
    </row>
    <row r="570" spans="1:18" x14ac:dyDescent="0.25">
      <c r="A570" s="13">
        <v>45917.583958333336</v>
      </c>
      <c r="B570" t="s">
        <v>348</v>
      </c>
      <c r="C570" t="s">
        <v>359</v>
      </c>
      <c r="D570" t="s">
        <v>10</v>
      </c>
      <c r="E570" t="s">
        <v>11</v>
      </c>
      <c r="F570" t="s">
        <v>12</v>
      </c>
      <c r="G570">
        <v>10.5</v>
      </c>
      <c r="H570" s="12">
        <v>0</v>
      </c>
      <c r="I570" s="12">
        <v>0</v>
      </c>
      <c r="J570" s="12">
        <v>0</v>
      </c>
      <c r="K570" s="12">
        <v>0</v>
      </c>
      <c r="L570" s="12">
        <v>0</v>
      </c>
      <c r="M570" s="12">
        <v>0</v>
      </c>
      <c r="N570" s="12">
        <v>0</v>
      </c>
      <c r="O570" s="12">
        <v>0</v>
      </c>
      <c r="P570" s="12">
        <v>1</v>
      </c>
      <c r="Q570" s="12">
        <v>0</v>
      </c>
      <c r="R570" s="12">
        <v>0</v>
      </c>
    </row>
    <row r="571" spans="1:18" x14ac:dyDescent="0.25">
      <c r="A571" s="13">
        <v>45917.602881944447</v>
      </c>
      <c r="B571" t="s">
        <v>348</v>
      </c>
      <c r="C571" t="s">
        <v>359</v>
      </c>
      <c r="D571" t="s">
        <v>10</v>
      </c>
      <c r="E571" t="s">
        <v>17</v>
      </c>
      <c r="F571" t="s">
        <v>14</v>
      </c>
      <c r="G571">
        <v>0.5</v>
      </c>
      <c r="H571" s="12">
        <v>0</v>
      </c>
      <c r="I571" s="12">
        <v>0</v>
      </c>
      <c r="J571" s="12">
        <v>0</v>
      </c>
      <c r="K571" s="12">
        <v>0</v>
      </c>
      <c r="L571" s="12">
        <v>0</v>
      </c>
      <c r="M571" s="12">
        <v>0</v>
      </c>
      <c r="N571" s="12">
        <v>0</v>
      </c>
      <c r="O571" s="12">
        <v>0</v>
      </c>
      <c r="P571" s="12">
        <v>1</v>
      </c>
      <c r="Q571" s="12">
        <v>0</v>
      </c>
      <c r="R571" s="12">
        <v>0</v>
      </c>
    </row>
    <row r="572" spans="1:18" x14ac:dyDescent="0.25">
      <c r="A572" s="13">
        <v>45917.744432870371</v>
      </c>
      <c r="B572" t="s">
        <v>355</v>
      </c>
      <c r="C572" t="s">
        <v>359</v>
      </c>
      <c r="D572" t="s">
        <v>10</v>
      </c>
      <c r="E572" t="s">
        <v>11</v>
      </c>
      <c r="F572" t="s">
        <v>15</v>
      </c>
      <c r="G572">
        <v>3</v>
      </c>
      <c r="H572" s="12">
        <v>1</v>
      </c>
      <c r="I572" s="12">
        <v>0</v>
      </c>
      <c r="J572" s="12">
        <v>1</v>
      </c>
      <c r="K572" s="12">
        <v>0</v>
      </c>
      <c r="L572" s="12">
        <v>0</v>
      </c>
      <c r="M572" s="12">
        <v>0</v>
      </c>
      <c r="N572" s="12">
        <v>0</v>
      </c>
      <c r="O572" s="12">
        <v>0</v>
      </c>
      <c r="P572" s="12">
        <v>0</v>
      </c>
      <c r="Q572" s="12">
        <v>0</v>
      </c>
      <c r="R572" s="12">
        <v>0</v>
      </c>
    </row>
    <row r="573" spans="1:18" x14ac:dyDescent="0.25">
      <c r="A573" s="13">
        <v>45917.744803240741</v>
      </c>
      <c r="B573" t="s">
        <v>355</v>
      </c>
      <c r="C573" t="s">
        <v>359</v>
      </c>
      <c r="D573" t="s">
        <v>10</v>
      </c>
      <c r="E573" t="s">
        <v>11</v>
      </c>
      <c r="F573" t="s">
        <v>15</v>
      </c>
      <c r="G573">
        <v>3</v>
      </c>
      <c r="H573" s="12">
        <v>0</v>
      </c>
      <c r="I573" s="12">
        <v>0</v>
      </c>
      <c r="J573" s="12">
        <v>0</v>
      </c>
      <c r="K573" s="12">
        <v>0</v>
      </c>
      <c r="L573" s="12">
        <v>1</v>
      </c>
      <c r="M573" s="12">
        <v>0</v>
      </c>
      <c r="N573" s="12">
        <v>0</v>
      </c>
      <c r="O573" s="12">
        <v>0</v>
      </c>
      <c r="P573" s="12">
        <v>0</v>
      </c>
      <c r="Q573" s="12">
        <v>0</v>
      </c>
      <c r="R573" s="12">
        <v>0</v>
      </c>
    </row>
    <row r="574" spans="1:18" x14ac:dyDescent="0.25">
      <c r="A574" s="13">
        <v>45917.744895833333</v>
      </c>
      <c r="B574" t="s">
        <v>355</v>
      </c>
      <c r="C574" t="s">
        <v>359</v>
      </c>
      <c r="D574" t="s">
        <v>10</v>
      </c>
      <c r="E574" t="s">
        <v>11</v>
      </c>
      <c r="F574" t="s">
        <v>14</v>
      </c>
      <c r="G574">
        <v>0.5</v>
      </c>
      <c r="H574" s="12">
        <v>0</v>
      </c>
      <c r="I574" s="12">
        <v>0</v>
      </c>
      <c r="J574" s="12">
        <v>0</v>
      </c>
      <c r="K574" s="12">
        <v>0</v>
      </c>
      <c r="L574" s="12">
        <v>0</v>
      </c>
      <c r="M574" s="12">
        <v>0</v>
      </c>
      <c r="N574" s="12">
        <v>0</v>
      </c>
      <c r="O574" s="12">
        <v>0</v>
      </c>
      <c r="P574" s="12">
        <v>0</v>
      </c>
      <c r="Q574" s="12">
        <v>1</v>
      </c>
      <c r="R574" s="12">
        <v>0</v>
      </c>
    </row>
    <row r="575" spans="1:18" x14ac:dyDescent="0.25">
      <c r="A575" s="13">
        <v>45918.390902777777</v>
      </c>
      <c r="B575" t="s">
        <v>352</v>
      </c>
      <c r="C575" t="s">
        <v>360</v>
      </c>
      <c r="D575" t="s">
        <v>10</v>
      </c>
      <c r="E575" t="s">
        <v>11</v>
      </c>
      <c r="F575" t="s">
        <v>12</v>
      </c>
      <c r="G575">
        <v>10.5</v>
      </c>
      <c r="H575" s="12">
        <v>1</v>
      </c>
      <c r="I575" s="12">
        <v>0</v>
      </c>
      <c r="J575" s="12">
        <v>1</v>
      </c>
      <c r="K575" s="12">
        <v>0</v>
      </c>
      <c r="L575" s="12">
        <v>0</v>
      </c>
      <c r="M575" s="12">
        <v>0</v>
      </c>
      <c r="N575" s="12">
        <v>0</v>
      </c>
      <c r="O575" s="12">
        <v>0</v>
      </c>
      <c r="P575" s="12">
        <v>0</v>
      </c>
      <c r="Q575" s="12">
        <v>0</v>
      </c>
      <c r="R575" s="12">
        <v>0</v>
      </c>
    </row>
    <row r="576" spans="1:18" x14ac:dyDescent="0.25">
      <c r="A576" s="13">
        <v>45918.457152777781</v>
      </c>
      <c r="B576" t="s">
        <v>347</v>
      </c>
      <c r="C576" t="s">
        <v>360</v>
      </c>
      <c r="D576" t="s">
        <v>10</v>
      </c>
      <c r="E576" t="s">
        <v>11</v>
      </c>
      <c r="F576" t="s">
        <v>12</v>
      </c>
      <c r="G576">
        <v>10.5</v>
      </c>
      <c r="H576" s="12">
        <v>0</v>
      </c>
      <c r="I576" s="12">
        <v>0</v>
      </c>
      <c r="J576" s="12">
        <v>0</v>
      </c>
      <c r="K576" s="12">
        <v>0</v>
      </c>
      <c r="L576" s="12">
        <v>1</v>
      </c>
      <c r="M576" s="12">
        <v>0</v>
      </c>
      <c r="N576" s="12">
        <v>0</v>
      </c>
      <c r="O576" s="12">
        <v>0</v>
      </c>
      <c r="P576" s="12">
        <v>0</v>
      </c>
      <c r="Q576" s="12">
        <v>0</v>
      </c>
      <c r="R576" s="12">
        <v>0</v>
      </c>
    </row>
    <row r="577" spans="1:19" x14ac:dyDescent="0.25">
      <c r="A577" s="13">
        <v>45918.53261574074</v>
      </c>
      <c r="B577" t="s">
        <v>350</v>
      </c>
      <c r="C577" t="s">
        <v>360</v>
      </c>
      <c r="D577" t="s">
        <v>10</v>
      </c>
      <c r="E577" t="s">
        <v>11</v>
      </c>
      <c r="F577" t="s">
        <v>12</v>
      </c>
      <c r="G577">
        <v>10.5</v>
      </c>
      <c r="H577" s="12">
        <v>1</v>
      </c>
      <c r="I577" s="12">
        <v>0</v>
      </c>
      <c r="J577" s="12">
        <v>1</v>
      </c>
      <c r="K577" s="12">
        <v>1</v>
      </c>
      <c r="L577" s="12">
        <v>0</v>
      </c>
      <c r="M577" s="12">
        <v>0</v>
      </c>
      <c r="N577" s="12">
        <v>0</v>
      </c>
      <c r="O577" s="12">
        <v>0</v>
      </c>
      <c r="P577" s="12">
        <v>0</v>
      </c>
      <c r="Q577" s="12">
        <v>0</v>
      </c>
      <c r="R577" s="12">
        <v>0</v>
      </c>
    </row>
    <row r="578" spans="1:19" x14ac:dyDescent="0.25">
      <c r="A578" s="13">
        <v>45918.532766203702</v>
      </c>
      <c r="B578" t="s">
        <v>350</v>
      </c>
      <c r="C578" t="s">
        <v>360</v>
      </c>
      <c r="D578" t="s">
        <v>10</v>
      </c>
      <c r="E578" t="s">
        <v>11</v>
      </c>
      <c r="F578" t="s">
        <v>18</v>
      </c>
      <c r="G578">
        <v>20</v>
      </c>
      <c r="H578" s="12">
        <v>0</v>
      </c>
      <c r="I578" s="12">
        <v>0</v>
      </c>
      <c r="J578" s="12">
        <v>0</v>
      </c>
      <c r="K578" s="12">
        <v>0</v>
      </c>
      <c r="L578" s="12">
        <v>1</v>
      </c>
      <c r="M578" s="12">
        <v>0</v>
      </c>
      <c r="N578" s="12">
        <v>0</v>
      </c>
      <c r="O578" s="12">
        <v>0</v>
      </c>
      <c r="P578" s="12">
        <v>0</v>
      </c>
      <c r="Q578" s="12">
        <v>0</v>
      </c>
      <c r="R578" s="12">
        <v>0</v>
      </c>
    </row>
    <row r="579" spans="1:19" x14ac:dyDescent="0.25">
      <c r="A579" s="13">
        <v>45918.538564814815</v>
      </c>
      <c r="B579" t="s">
        <v>350</v>
      </c>
      <c r="C579" t="s">
        <v>360</v>
      </c>
      <c r="D579" t="s">
        <v>10</v>
      </c>
      <c r="E579" t="s">
        <v>11</v>
      </c>
      <c r="F579" t="s">
        <v>15</v>
      </c>
      <c r="G579">
        <v>3</v>
      </c>
      <c r="H579" s="12">
        <v>1</v>
      </c>
      <c r="I579" s="12">
        <v>0</v>
      </c>
      <c r="J579" s="12">
        <v>1</v>
      </c>
      <c r="K579" s="12">
        <v>0</v>
      </c>
      <c r="L579" s="12">
        <v>0</v>
      </c>
      <c r="M579" s="12">
        <v>0</v>
      </c>
      <c r="N579" s="12">
        <v>0</v>
      </c>
      <c r="O579" s="12">
        <v>0</v>
      </c>
      <c r="P579" s="12">
        <v>0</v>
      </c>
      <c r="Q579" s="12">
        <v>0</v>
      </c>
      <c r="R579" s="12">
        <v>0</v>
      </c>
    </row>
    <row r="580" spans="1:19" x14ac:dyDescent="0.25">
      <c r="A580" s="13">
        <v>45919.413541666669</v>
      </c>
      <c r="B580" t="s">
        <v>352</v>
      </c>
      <c r="C580" t="s">
        <v>361</v>
      </c>
      <c r="D580" t="s">
        <v>10</v>
      </c>
      <c r="E580" t="s">
        <v>11</v>
      </c>
      <c r="F580" t="s">
        <v>12</v>
      </c>
      <c r="G580">
        <v>10.5</v>
      </c>
      <c r="H580" s="12">
        <v>0</v>
      </c>
      <c r="I580" s="12">
        <v>0</v>
      </c>
      <c r="J580" s="12">
        <v>0</v>
      </c>
      <c r="K580" s="12">
        <v>0</v>
      </c>
      <c r="L580" s="12">
        <v>0</v>
      </c>
      <c r="M580" s="12">
        <v>0</v>
      </c>
      <c r="N580" s="12">
        <v>0</v>
      </c>
      <c r="O580" s="12">
        <v>1</v>
      </c>
      <c r="P580" s="12">
        <v>0</v>
      </c>
      <c r="Q580" s="12">
        <v>0</v>
      </c>
      <c r="R580" s="12">
        <v>0</v>
      </c>
    </row>
    <row r="581" spans="1:19" x14ac:dyDescent="0.25">
      <c r="A581" s="13">
        <v>45919.522280092591</v>
      </c>
      <c r="B581" t="s">
        <v>350</v>
      </c>
      <c r="C581" t="s">
        <v>361</v>
      </c>
      <c r="D581" t="s">
        <v>10</v>
      </c>
      <c r="E581" t="s">
        <v>11</v>
      </c>
      <c r="F581" t="s">
        <v>18</v>
      </c>
      <c r="G581">
        <v>20</v>
      </c>
      <c r="H581" s="12">
        <v>1</v>
      </c>
      <c r="I581" s="12">
        <v>0</v>
      </c>
      <c r="J581" s="12">
        <v>0</v>
      </c>
      <c r="K581" s="12">
        <v>1</v>
      </c>
      <c r="L581" s="12">
        <v>0</v>
      </c>
      <c r="M581" s="12">
        <v>0</v>
      </c>
      <c r="N581" s="12">
        <v>0</v>
      </c>
      <c r="O581" s="12">
        <v>0</v>
      </c>
      <c r="P581" s="12">
        <v>0</v>
      </c>
      <c r="Q581" s="12">
        <v>0</v>
      </c>
      <c r="R581" s="12">
        <v>0</v>
      </c>
    </row>
    <row r="582" spans="1:19" x14ac:dyDescent="0.25">
      <c r="A582" s="13">
        <v>45919.522465277776</v>
      </c>
      <c r="B582" t="s">
        <v>350</v>
      </c>
      <c r="C582" t="s">
        <v>361</v>
      </c>
      <c r="D582" t="s">
        <v>10</v>
      </c>
      <c r="E582" t="s">
        <v>11</v>
      </c>
      <c r="F582" t="s">
        <v>18</v>
      </c>
      <c r="G582">
        <v>20</v>
      </c>
      <c r="H582" s="12">
        <v>0</v>
      </c>
      <c r="I582" s="12">
        <v>0</v>
      </c>
      <c r="J582" s="12">
        <v>0</v>
      </c>
      <c r="K582" s="12">
        <v>0</v>
      </c>
      <c r="L582" s="12">
        <v>1</v>
      </c>
      <c r="M582" s="12">
        <v>0</v>
      </c>
      <c r="N582" s="12">
        <v>0</v>
      </c>
      <c r="O582" s="12">
        <v>0</v>
      </c>
      <c r="P582" s="12">
        <v>0</v>
      </c>
      <c r="Q582" s="12">
        <v>0</v>
      </c>
      <c r="R582" s="12">
        <v>0</v>
      </c>
    </row>
    <row r="583" spans="1:19" x14ac:dyDescent="0.25">
      <c r="A583" s="13">
        <v>45919.589803240742</v>
      </c>
      <c r="B583" t="s">
        <v>348</v>
      </c>
      <c r="C583" t="s">
        <v>361</v>
      </c>
      <c r="D583" t="s">
        <v>10</v>
      </c>
      <c r="E583" t="s">
        <v>11</v>
      </c>
      <c r="F583" t="s">
        <v>15</v>
      </c>
      <c r="G583">
        <v>3</v>
      </c>
      <c r="H583" s="12">
        <v>0</v>
      </c>
      <c r="I583" s="12">
        <v>0</v>
      </c>
      <c r="J583" s="12">
        <v>0</v>
      </c>
      <c r="K583" s="12">
        <v>0</v>
      </c>
      <c r="L583" s="12">
        <v>0</v>
      </c>
      <c r="M583" s="12">
        <v>0</v>
      </c>
      <c r="N583" s="12">
        <v>0</v>
      </c>
      <c r="O583" s="12">
        <v>0</v>
      </c>
      <c r="P583" s="12">
        <v>0</v>
      </c>
      <c r="Q583" s="12">
        <v>0</v>
      </c>
      <c r="R583" s="12">
        <v>1</v>
      </c>
      <c r="S583" t="s">
        <v>177</v>
      </c>
    </row>
    <row r="584" spans="1:19" x14ac:dyDescent="0.25">
      <c r="A584" s="13">
        <v>45919.667500000003</v>
      </c>
      <c r="B584" t="s">
        <v>353</v>
      </c>
      <c r="C584" t="s">
        <v>361</v>
      </c>
      <c r="D584" t="s">
        <v>10</v>
      </c>
      <c r="E584" t="s">
        <v>11</v>
      </c>
      <c r="F584" t="s">
        <v>15</v>
      </c>
      <c r="G584">
        <v>3</v>
      </c>
      <c r="H584" s="12">
        <v>0</v>
      </c>
      <c r="I584" s="12">
        <v>0</v>
      </c>
      <c r="J584" s="12">
        <v>0</v>
      </c>
      <c r="K584" s="12">
        <v>0</v>
      </c>
      <c r="L584" s="12">
        <v>0</v>
      </c>
      <c r="M584" s="12">
        <v>0</v>
      </c>
      <c r="N584" s="12">
        <v>0</v>
      </c>
      <c r="O584" s="12">
        <v>0</v>
      </c>
      <c r="P584" s="12">
        <v>0</v>
      </c>
      <c r="Q584" s="12">
        <v>0</v>
      </c>
      <c r="R584" s="12">
        <v>1</v>
      </c>
      <c r="S584" t="s">
        <v>178</v>
      </c>
    </row>
    <row r="585" spans="1:19" x14ac:dyDescent="0.25">
      <c r="A585" s="13">
        <v>45920.460347222222</v>
      </c>
      <c r="B585" t="s">
        <v>354</v>
      </c>
      <c r="C585" t="s">
        <v>362</v>
      </c>
      <c r="D585" t="s">
        <v>10</v>
      </c>
      <c r="E585" t="s">
        <v>11</v>
      </c>
      <c r="F585" t="s">
        <v>15</v>
      </c>
      <c r="G585">
        <v>3</v>
      </c>
      <c r="H585" s="12">
        <v>0</v>
      </c>
      <c r="I585" s="12">
        <v>0</v>
      </c>
      <c r="J585" s="12">
        <v>0</v>
      </c>
      <c r="K585" s="12">
        <v>0</v>
      </c>
      <c r="L585" s="12">
        <v>0</v>
      </c>
      <c r="M585" s="12">
        <v>0</v>
      </c>
      <c r="N585" s="12">
        <v>0</v>
      </c>
      <c r="O585" s="12">
        <v>0</v>
      </c>
      <c r="P585" s="12">
        <v>1</v>
      </c>
      <c r="Q585" s="12">
        <v>0</v>
      </c>
      <c r="R585" s="12">
        <v>0</v>
      </c>
      <c r="S585" t="s">
        <v>179</v>
      </c>
    </row>
    <row r="586" spans="1:19" x14ac:dyDescent="0.25">
      <c r="A586" s="13">
        <v>45922.4841087963</v>
      </c>
      <c r="B586" t="s">
        <v>354</v>
      </c>
      <c r="C586" t="s">
        <v>363</v>
      </c>
      <c r="D586" t="s">
        <v>10</v>
      </c>
      <c r="E586" t="s">
        <v>17</v>
      </c>
      <c r="F586" t="s">
        <v>12</v>
      </c>
      <c r="G586">
        <v>10.5</v>
      </c>
      <c r="H586" s="12">
        <v>0</v>
      </c>
      <c r="I586" s="12">
        <v>0</v>
      </c>
      <c r="J586" s="12">
        <v>0</v>
      </c>
      <c r="K586" s="12">
        <v>0</v>
      </c>
      <c r="L586" s="12">
        <v>0</v>
      </c>
      <c r="M586" s="12">
        <v>0</v>
      </c>
      <c r="N586" s="12">
        <v>0</v>
      </c>
      <c r="O586" s="12">
        <v>0</v>
      </c>
      <c r="P586" s="12">
        <v>0</v>
      </c>
      <c r="Q586" s="12">
        <v>1</v>
      </c>
      <c r="R586" s="12">
        <v>0</v>
      </c>
    </row>
    <row r="587" spans="1:19" x14ac:dyDescent="0.25">
      <c r="A587" s="13">
        <v>45922.4843287037</v>
      </c>
      <c r="B587" t="s">
        <v>354</v>
      </c>
      <c r="C587" t="s">
        <v>363</v>
      </c>
      <c r="D587" t="s">
        <v>10</v>
      </c>
      <c r="E587" t="s">
        <v>11</v>
      </c>
      <c r="F587" t="s">
        <v>14</v>
      </c>
      <c r="G587">
        <v>0.5</v>
      </c>
      <c r="H587" s="12">
        <v>0</v>
      </c>
      <c r="I587" s="12">
        <v>0</v>
      </c>
      <c r="J587" s="12">
        <v>0</v>
      </c>
      <c r="K587" s="12">
        <v>0</v>
      </c>
      <c r="L587" s="12">
        <v>0</v>
      </c>
      <c r="M587" s="12">
        <v>0</v>
      </c>
      <c r="N587" s="12">
        <v>0</v>
      </c>
      <c r="O587" s="12">
        <v>1</v>
      </c>
      <c r="P587" s="12">
        <v>0</v>
      </c>
      <c r="Q587" s="12">
        <v>0</v>
      </c>
      <c r="R587" s="12">
        <v>0</v>
      </c>
    </row>
    <row r="588" spans="1:19" x14ac:dyDescent="0.25">
      <c r="A588" s="13">
        <v>45922.484513888892</v>
      </c>
      <c r="B588" t="s">
        <v>354</v>
      </c>
      <c r="C588" t="s">
        <v>363</v>
      </c>
      <c r="D588" t="s">
        <v>10</v>
      </c>
      <c r="E588" t="s">
        <v>11</v>
      </c>
      <c r="F588" t="s">
        <v>12</v>
      </c>
      <c r="G588">
        <v>10.5</v>
      </c>
      <c r="H588" s="12">
        <v>1</v>
      </c>
      <c r="I588" s="12">
        <v>0</v>
      </c>
      <c r="J588" s="12">
        <v>1</v>
      </c>
      <c r="K588" s="12">
        <v>0</v>
      </c>
      <c r="L588" s="12">
        <v>0</v>
      </c>
      <c r="M588" s="12">
        <v>0</v>
      </c>
      <c r="N588" s="12">
        <v>0</v>
      </c>
      <c r="O588" s="12">
        <v>0</v>
      </c>
      <c r="P588" s="12">
        <v>0</v>
      </c>
      <c r="Q588" s="12">
        <v>0</v>
      </c>
      <c r="R588" s="12">
        <v>0</v>
      </c>
    </row>
    <row r="589" spans="1:19" x14ac:dyDescent="0.25">
      <c r="A589" s="13">
        <v>45922.484652777777</v>
      </c>
      <c r="B589" t="s">
        <v>354</v>
      </c>
      <c r="C589" t="s">
        <v>363</v>
      </c>
      <c r="D589" t="s">
        <v>10</v>
      </c>
      <c r="E589" t="s">
        <v>11</v>
      </c>
      <c r="F589" t="s">
        <v>15</v>
      </c>
      <c r="G589">
        <v>3</v>
      </c>
      <c r="H589" s="12">
        <v>1</v>
      </c>
      <c r="I589" s="12">
        <v>0</v>
      </c>
      <c r="J589" s="12">
        <v>1</v>
      </c>
      <c r="K589" s="12">
        <v>0</v>
      </c>
      <c r="L589" s="12">
        <v>0</v>
      </c>
      <c r="M589" s="12">
        <v>0</v>
      </c>
      <c r="N589" s="12">
        <v>0</v>
      </c>
      <c r="O589" s="12">
        <v>0</v>
      </c>
      <c r="P589" s="12">
        <v>0</v>
      </c>
      <c r="Q589" s="12">
        <v>0</v>
      </c>
      <c r="R589" s="12">
        <v>0</v>
      </c>
    </row>
    <row r="590" spans="1:19" x14ac:dyDescent="0.25">
      <c r="A590" s="13">
        <v>45922.484872685185</v>
      </c>
      <c r="B590" t="s">
        <v>354</v>
      </c>
      <c r="C590" t="s">
        <v>363</v>
      </c>
      <c r="D590" t="s">
        <v>10</v>
      </c>
      <c r="E590" t="s">
        <v>11</v>
      </c>
      <c r="F590" t="s">
        <v>14</v>
      </c>
      <c r="G590">
        <v>0.5</v>
      </c>
      <c r="H590" s="12">
        <v>0</v>
      </c>
      <c r="I590" s="12">
        <v>0</v>
      </c>
      <c r="J590" s="12">
        <v>0</v>
      </c>
      <c r="K590" s="12">
        <v>0</v>
      </c>
      <c r="L590" s="12">
        <v>0</v>
      </c>
      <c r="M590" s="12">
        <v>0</v>
      </c>
      <c r="N590" s="12">
        <v>0</v>
      </c>
      <c r="O590" s="12">
        <v>1</v>
      </c>
      <c r="P590" s="12">
        <v>0</v>
      </c>
      <c r="Q590" s="12">
        <v>0</v>
      </c>
      <c r="R590" s="12">
        <v>0</v>
      </c>
    </row>
    <row r="591" spans="1:19" x14ac:dyDescent="0.25">
      <c r="A591" s="13">
        <v>45922.499745370369</v>
      </c>
      <c r="B591" t="s">
        <v>354</v>
      </c>
      <c r="C591" t="s">
        <v>363</v>
      </c>
      <c r="D591" t="s">
        <v>10</v>
      </c>
      <c r="E591" t="s">
        <v>17</v>
      </c>
      <c r="F591" t="s">
        <v>14</v>
      </c>
      <c r="G591">
        <v>0.5</v>
      </c>
      <c r="H591" s="12">
        <v>0</v>
      </c>
      <c r="I591" s="12">
        <v>0</v>
      </c>
      <c r="J591" s="12">
        <v>0</v>
      </c>
      <c r="K591" s="12">
        <v>0</v>
      </c>
      <c r="L591" s="12">
        <v>0</v>
      </c>
      <c r="M591" s="12">
        <v>0</v>
      </c>
      <c r="N591" s="12">
        <v>0</v>
      </c>
      <c r="O591" s="12">
        <v>1</v>
      </c>
      <c r="P591" s="12">
        <v>0</v>
      </c>
      <c r="Q591" s="12">
        <v>0</v>
      </c>
      <c r="R591" s="12">
        <v>0</v>
      </c>
    </row>
    <row r="592" spans="1:19" x14ac:dyDescent="0.25">
      <c r="A592" s="13">
        <v>45922.499861111108</v>
      </c>
      <c r="B592" t="s">
        <v>354</v>
      </c>
      <c r="C592" t="s">
        <v>363</v>
      </c>
      <c r="D592" t="s">
        <v>10</v>
      </c>
      <c r="E592" t="s">
        <v>11</v>
      </c>
      <c r="F592" t="s">
        <v>14</v>
      </c>
      <c r="G592">
        <v>0.5</v>
      </c>
      <c r="H592" s="12">
        <v>0</v>
      </c>
      <c r="I592" s="12">
        <v>0</v>
      </c>
      <c r="J592" s="12">
        <v>0</v>
      </c>
      <c r="K592" s="12">
        <v>0</v>
      </c>
      <c r="L592" s="12">
        <v>0</v>
      </c>
      <c r="M592" s="12">
        <v>0</v>
      </c>
      <c r="N592" s="12">
        <v>0</v>
      </c>
      <c r="O592" s="12">
        <v>1</v>
      </c>
      <c r="P592" s="12">
        <v>0</v>
      </c>
      <c r="Q592" s="12">
        <v>0</v>
      </c>
      <c r="R592" s="12">
        <v>0</v>
      </c>
    </row>
    <row r="593" spans="1:19" x14ac:dyDescent="0.25">
      <c r="A593" s="13">
        <v>45922.503125000003</v>
      </c>
      <c r="B593" t="s">
        <v>350</v>
      </c>
      <c r="C593" t="s">
        <v>363</v>
      </c>
      <c r="D593" t="s">
        <v>10</v>
      </c>
      <c r="E593" t="s">
        <v>17</v>
      </c>
      <c r="F593" t="s">
        <v>14</v>
      </c>
      <c r="G593">
        <v>0.5</v>
      </c>
      <c r="H593" s="12">
        <v>0</v>
      </c>
      <c r="I593" s="12">
        <v>0</v>
      </c>
      <c r="J593" s="12">
        <v>0</v>
      </c>
      <c r="K593" s="12">
        <v>0</v>
      </c>
      <c r="L593" s="12">
        <v>0</v>
      </c>
      <c r="M593" s="12">
        <v>0</v>
      </c>
      <c r="N593" s="12">
        <v>0</v>
      </c>
      <c r="O593" s="12">
        <v>1</v>
      </c>
      <c r="P593" s="12">
        <v>0</v>
      </c>
      <c r="Q593" s="12">
        <v>0</v>
      </c>
      <c r="R593" s="12">
        <v>0</v>
      </c>
    </row>
    <row r="594" spans="1:19" x14ac:dyDescent="0.25">
      <c r="A594" s="13">
        <v>45922.510891203703</v>
      </c>
      <c r="B594" t="s">
        <v>350</v>
      </c>
      <c r="C594" t="s">
        <v>363</v>
      </c>
      <c r="D594" t="s">
        <v>20</v>
      </c>
      <c r="E594" t="s">
        <v>11</v>
      </c>
      <c r="F594" t="s">
        <v>15</v>
      </c>
      <c r="G594">
        <v>3</v>
      </c>
      <c r="H594" s="12">
        <v>0</v>
      </c>
      <c r="I594" s="12">
        <v>0</v>
      </c>
      <c r="J594" s="12">
        <v>1</v>
      </c>
      <c r="K594" s="12">
        <v>0</v>
      </c>
      <c r="L594" s="12">
        <v>0</v>
      </c>
      <c r="M594" s="12">
        <v>0</v>
      </c>
      <c r="N594" s="12">
        <v>0</v>
      </c>
      <c r="O594" s="12">
        <v>0</v>
      </c>
      <c r="P594" s="12">
        <v>0</v>
      </c>
      <c r="Q594" s="12">
        <v>0</v>
      </c>
      <c r="R594" s="12">
        <v>0</v>
      </c>
    </row>
    <row r="595" spans="1:19" x14ac:dyDescent="0.25">
      <c r="A595" s="13">
        <v>45922.510983796295</v>
      </c>
      <c r="B595" t="s">
        <v>350</v>
      </c>
      <c r="C595" t="s">
        <v>363</v>
      </c>
      <c r="D595" t="s">
        <v>10</v>
      </c>
      <c r="E595" t="s">
        <v>11</v>
      </c>
      <c r="F595" t="s">
        <v>12</v>
      </c>
      <c r="G595">
        <v>10.5</v>
      </c>
      <c r="H595" s="12">
        <v>0</v>
      </c>
      <c r="I595" s="12">
        <v>0</v>
      </c>
      <c r="J595" s="12">
        <v>0</v>
      </c>
      <c r="K595" s="12">
        <v>0</v>
      </c>
      <c r="L595" s="12">
        <v>0</v>
      </c>
      <c r="M595" s="12">
        <v>0</v>
      </c>
      <c r="N595" s="12">
        <v>1</v>
      </c>
      <c r="O595" s="12">
        <v>0</v>
      </c>
      <c r="P595" s="12">
        <v>0</v>
      </c>
      <c r="Q595" s="12">
        <v>0</v>
      </c>
      <c r="R595" s="12">
        <v>0</v>
      </c>
    </row>
    <row r="596" spans="1:19" x14ac:dyDescent="0.25">
      <c r="A596" s="13">
        <v>45922.542314814818</v>
      </c>
      <c r="B596" t="s">
        <v>351</v>
      </c>
      <c r="C596" t="s">
        <v>363</v>
      </c>
      <c r="D596" t="s">
        <v>10</v>
      </c>
      <c r="E596" t="s">
        <v>11</v>
      </c>
      <c r="F596" t="s">
        <v>15</v>
      </c>
      <c r="G596">
        <v>3</v>
      </c>
      <c r="H596" s="12">
        <v>0</v>
      </c>
      <c r="I596" s="12">
        <v>0</v>
      </c>
      <c r="J596" s="12">
        <v>0</v>
      </c>
      <c r="K596" s="12">
        <v>0</v>
      </c>
      <c r="L596" s="12">
        <v>0</v>
      </c>
      <c r="M596" s="12">
        <v>0</v>
      </c>
      <c r="N596" s="12">
        <v>0</v>
      </c>
      <c r="O596" s="12">
        <v>0</v>
      </c>
      <c r="P596" s="12">
        <v>1</v>
      </c>
      <c r="Q596" s="12">
        <v>0</v>
      </c>
      <c r="R596" s="12">
        <v>0</v>
      </c>
    </row>
    <row r="597" spans="1:19" x14ac:dyDescent="0.25">
      <c r="A597" s="13">
        <v>45922.56821759259</v>
      </c>
      <c r="B597" t="s">
        <v>351</v>
      </c>
      <c r="C597" t="s">
        <v>363</v>
      </c>
      <c r="D597" t="s">
        <v>10</v>
      </c>
      <c r="E597" t="s">
        <v>11</v>
      </c>
      <c r="F597" t="s">
        <v>14</v>
      </c>
      <c r="G597">
        <v>0.5</v>
      </c>
      <c r="H597" s="12">
        <v>0</v>
      </c>
      <c r="I597" s="12">
        <v>0</v>
      </c>
      <c r="J597" s="12">
        <v>0</v>
      </c>
      <c r="K597" s="12">
        <v>0</v>
      </c>
      <c r="L597" s="12">
        <v>0</v>
      </c>
      <c r="M597" s="12">
        <v>0</v>
      </c>
      <c r="N597" s="12">
        <v>0</v>
      </c>
      <c r="O597" s="12">
        <v>1</v>
      </c>
      <c r="P597" s="12">
        <v>0</v>
      </c>
      <c r="Q597" s="12">
        <v>0</v>
      </c>
      <c r="R597" s="12">
        <v>0</v>
      </c>
    </row>
    <row r="598" spans="1:19" x14ac:dyDescent="0.25">
      <c r="A598" s="13">
        <v>45922.568460648145</v>
      </c>
      <c r="B598" t="s">
        <v>351</v>
      </c>
      <c r="C598" t="s">
        <v>363</v>
      </c>
      <c r="D598" t="s">
        <v>10</v>
      </c>
      <c r="E598" t="s">
        <v>11</v>
      </c>
      <c r="F598" t="s">
        <v>14</v>
      </c>
      <c r="G598">
        <v>0.5</v>
      </c>
      <c r="H598" s="12">
        <v>1</v>
      </c>
      <c r="I598" s="12">
        <v>0</v>
      </c>
      <c r="J598" s="12">
        <v>0</v>
      </c>
      <c r="K598" s="12">
        <v>0</v>
      </c>
      <c r="L598" s="12">
        <v>0</v>
      </c>
      <c r="M598" s="12">
        <v>0</v>
      </c>
      <c r="N598" s="12">
        <v>0</v>
      </c>
      <c r="O598" s="12">
        <v>0</v>
      </c>
      <c r="P598" s="12">
        <v>0</v>
      </c>
      <c r="Q598" s="12">
        <v>0</v>
      </c>
      <c r="R598" s="12">
        <v>0</v>
      </c>
    </row>
    <row r="599" spans="1:19" x14ac:dyDescent="0.25">
      <c r="A599" s="13">
        <v>45922.569618055553</v>
      </c>
      <c r="B599" t="s">
        <v>351</v>
      </c>
      <c r="C599" t="s">
        <v>363</v>
      </c>
      <c r="D599" t="s">
        <v>10</v>
      </c>
      <c r="E599" t="s">
        <v>11</v>
      </c>
      <c r="F599" t="s">
        <v>15</v>
      </c>
      <c r="G599">
        <v>3</v>
      </c>
      <c r="H599" s="12">
        <v>0</v>
      </c>
      <c r="I599" s="12">
        <v>0</v>
      </c>
      <c r="J599" s="12">
        <v>0</v>
      </c>
      <c r="K599" s="12">
        <v>0</v>
      </c>
      <c r="L599" s="12">
        <v>0</v>
      </c>
      <c r="M599" s="12">
        <v>0</v>
      </c>
      <c r="N599" s="12">
        <v>0</v>
      </c>
      <c r="O599" s="12">
        <v>1</v>
      </c>
      <c r="P599" s="12">
        <v>0</v>
      </c>
      <c r="Q599" s="12">
        <v>0</v>
      </c>
      <c r="R599" s="12">
        <v>0</v>
      </c>
    </row>
    <row r="600" spans="1:19" x14ac:dyDescent="0.25">
      <c r="A600" s="13">
        <v>45922.573634259257</v>
      </c>
      <c r="B600" t="s">
        <v>351</v>
      </c>
      <c r="C600" t="s">
        <v>363</v>
      </c>
      <c r="D600" t="s">
        <v>10</v>
      </c>
      <c r="E600" t="s">
        <v>11</v>
      </c>
      <c r="F600" t="s">
        <v>15</v>
      </c>
      <c r="G600">
        <v>3</v>
      </c>
      <c r="H600" s="12">
        <v>0</v>
      </c>
      <c r="I600" s="12">
        <v>0</v>
      </c>
      <c r="J600" s="12">
        <v>0</v>
      </c>
      <c r="K600" s="12">
        <v>0</v>
      </c>
      <c r="L600" s="12">
        <v>0</v>
      </c>
      <c r="M600" s="12">
        <v>0</v>
      </c>
      <c r="N600" s="12">
        <v>1</v>
      </c>
      <c r="O600" s="12">
        <v>1</v>
      </c>
      <c r="P600" s="12">
        <v>0</v>
      </c>
      <c r="Q600" s="12">
        <v>0</v>
      </c>
      <c r="R600" s="12">
        <v>0</v>
      </c>
    </row>
    <row r="601" spans="1:19" x14ac:dyDescent="0.25">
      <c r="A601" s="13">
        <v>45922.585428240738</v>
      </c>
      <c r="B601" t="s">
        <v>348</v>
      </c>
      <c r="C601" t="s">
        <v>363</v>
      </c>
      <c r="D601" t="s">
        <v>10</v>
      </c>
      <c r="E601" t="s">
        <v>17</v>
      </c>
      <c r="F601" t="s">
        <v>12</v>
      </c>
      <c r="G601">
        <v>10.5</v>
      </c>
      <c r="H601" s="12">
        <v>0</v>
      </c>
      <c r="I601" s="12">
        <v>0</v>
      </c>
      <c r="J601" s="12">
        <v>0</v>
      </c>
      <c r="K601" s="12">
        <v>0</v>
      </c>
      <c r="L601" s="12">
        <v>0</v>
      </c>
      <c r="M601" s="12">
        <v>0</v>
      </c>
      <c r="N601" s="12">
        <v>0</v>
      </c>
      <c r="O601" s="12">
        <v>1</v>
      </c>
      <c r="P601" s="12">
        <v>0</v>
      </c>
      <c r="Q601" s="12">
        <v>0</v>
      </c>
      <c r="R601" s="12">
        <v>0</v>
      </c>
      <c r="S601" t="s">
        <v>180</v>
      </c>
    </row>
    <row r="602" spans="1:19" x14ac:dyDescent="0.25">
      <c r="A602" s="13">
        <v>45922.597222222219</v>
      </c>
      <c r="B602" t="s">
        <v>348</v>
      </c>
      <c r="C602" t="s">
        <v>363</v>
      </c>
      <c r="D602" t="s">
        <v>10</v>
      </c>
      <c r="E602" t="s">
        <v>11</v>
      </c>
      <c r="F602" t="s">
        <v>15</v>
      </c>
      <c r="G602">
        <v>3</v>
      </c>
      <c r="H602" s="12">
        <v>0</v>
      </c>
      <c r="I602" s="12">
        <v>0</v>
      </c>
      <c r="J602" s="12">
        <v>0</v>
      </c>
      <c r="K602" s="12">
        <v>0</v>
      </c>
      <c r="L602" s="12">
        <v>0</v>
      </c>
      <c r="M602" s="12">
        <v>0</v>
      </c>
      <c r="N602" s="12">
        <v>0</v>
      </c>
      <c r="O602" s="12">
        <v>0</v>
      </c>
      <c r="P602" s="12">
        <v>1</v>
      </c>
      <c r="Q602" s="12">
        <v>0</v>
      </c>
      <c r="R602" s="12">
        <v>0</v>
      </c>
      <c r="S602" t="s">
        <v>181</v>
      </c>
    </row>
    <row r="603" spans="1:19" x14ac:dyDescent="0.25">
      <c r="A603" s="13">
        <v>45922.621828703705</v>
      </c>
      <c r="B603" t="s">
        <v>348</v>
      </c>
      <c r="C603" t="s">
        <v>363</v>
      </c>
      <c r="D603" t="s">
        <v>10</v>
      </c>
      <c r="E603" t="s">
        <v>11</v>
      </c>
      <c r="F603" t="s">
        <v>15</v>
      </c>
      <c r="G603">
        <v>3</v>
      </c>
      <c r="H603" s="12">
        <v>1</v>
      </c>
      <c r="I603" s="12">
        <v>0</v>
      </c>
      <c r="J603" s="12">
        <v>0</v>
      </c>
      <c r="K603" s="12">
        <v>0</v>
      </c>
      <c r="L603" s="12">
        <v>0</v>
      </c>
      <c r="M603" s="12">
        <v>0</v>
      </c>
      <c r="N603" s="12">
        <v>0</v>
      </c>
      <c r="O603" s="12">
        <v>0</v>
      </c>
      <c r="P603" s="12">
        <v>0</v>
      </c>
      <c r="Q603" s="12">
        <v>0</v>
      </c>
      <c r="R603" s="12">
        <v>0</v>
      </c>
      <c r="S603" t="s">
        <v>182</v>
      </c>
    </row>
    <row r="604" spans="1:19" x14ac:dyDescent="0.25">
      <c r="A604" s="13">
        <v>45923.530347222222</v>
      </c>
      <c r="B604" t="s">
        <v>350</v>
      </c>
      <c r="C604" t="s">
        <v>358</v>
      </c>
      <c r="D604" t="s">
        <v>10</v>
      </c>
      <c r="E604" t="s">
        <v>11</v>
      </c>
      <c r="F604" t="s">
        <v>15</v>
      </c>
      <c r="G604">
        <v>3</v>
      </c>
      <c r="H604" s="12">
        <v>0</v>
      </c>
      <c r="I604" s="12">
        <v>0</v>
      </c>
      <c r="J604" s="12">
        <v>0</v>
      </c>
      <c r="K604" s="12">
        <v>0</v>
      </c>
      <c r="L604" s="12">
        <v>0</v>
      </c>
      <c r="M604" s="12">
        <v>0</v>
      </c>
      <c r="N604" s="12">
        <v>0</v>
      </c>
      <c r="O604" s="12">
        <v>1</v>
      </c>
      <c r="P604" s="12">
        <v>0</v>
      </c>
      <c r="Q604" s="12">
        <v>0</v>
      </c>
      <c r="R604" s="12">
        <v>0</v>
      </c>
    </row>
    <row r="605" spans="1:19" x14ac:dyDescent="0.25">
      <c r="A605" s="13">
        <v>45923.530474537038</v>
      </c>
      <c r="B605" t="s">
        <v>350</v>
      </c>
      <c r="C605" t="s">
        <v>358</v>
      </c>
      <c r="D605" t="s">
        <v>10</v>
      </c>
      <c r="E605" t="s">
        <v>11</v>
      </c>
      <c r="F605" t="s">
        <v>14</v>
      </c>
      <c r="G605">
        <v>0.5</v>
      </c>
      <c r="H605" s="12">
        <v>0</v>
      </c>
      <c r="I605" s="12">
        <v>0</v>
      </c>
      <c r="J605" s="12">
        <v>0</v>
      </c>
      <c r="K605" s="12">
        <v>0</v>
      </c>
      <c r="L605" s="12">
        <v>0</v>
      </c>
      <c r="M605" s="12">
        <v>0</v>
      </c>
      <c r="N605" s="12">
        <v>0</v>
      </c>
      <c r="O605" s="12">
        <v>1</v>
      </c>
      <c r="P605" s="12">
        <v>0</v>
      </c>
      <c r="Q605" s="12">
        <v>0</v>
      </c>
      <c r="R605" s="12">
        <v>0</v>
      </c>
    </row>
    <row r="606" spans="1:19" x14ac:dyDescent="0.25">
      <c r="A606" s="13">
        <v>45923.530613425923</v>
      </c>
      <c r="B606" t="s">
        <v>350</v>
      </c>
      <c r="C606" t="s">
        <v>358</v>
      </c>
      <c r="D606" t="s">
        <v>10</v>
      </c>
      <c r="E606" t="s">
        <v>11</v>
      </c>
      <c r="F606" t="s">
        <v>15</v>
      </c>
      <c r="G606">
        <v>3</v>
      </c>
      <c r="H606" s="12">
        <v>0</v>
      </c>
      <c r="I606" s="12">
        <v>0</v>
      </c>
      <c r="J606" s="12">
        <v>0</v>
      </c>
      <c r="K606" s="12">
        <v>0</v>
      </c>
      <c r="L606" s="12">
        <v>0</v>
      </c>
      <c r="M606" s="12">
        <v>0</v>
      </c>
      <c r="N606" s="12">
        <v>1</v>
      </c>
      <c r="O606" s="12">
        <v>0</v>
      </c>
      <c r="P606" s="12">
        <v>0</v>
      </c>
      <c r="Q606" s="12">
        <v>0</v>
      </c>
      <c r="R606" s="12">
        <v>0</v>
      </c>
    </row>
    <row r="607" spans="1:19" x14ac:dyDescent="0.25">
      <c r="A607" s="13">
        <v>45923.534803240742</v>
      </c>
      <c r="B607" t="s">
        <v>350</v>
      </c>
      <c r="C607" t="s">
        <v>358</v>
      </c>
      <c r="D607" t="s">
        <v>20</v>
      </c>
      <c r="E607" t="s">
        <v>17</v>
      </c>
      <c r="F607" t="s">
        <v>15</v>
      </c>
      <c r="G607">
        <v>3</v>
      </c>
      <c r="H607" s="12">
        <v>1</v>
      </c>
      <c r="I607" s="12">
        <v>0</v>
      </c>
      <c r="J607" s="12">
        <v>1</v>
      </c>
      <c r="K607" s="12">
        <v>0</v>
      </c>
      <c r="L607" s="12">
        <v>0</v>
      </c>
      <c r="M607" s="12">
        <v>0</v>
      </c>
      <c r="N607" s="12">
        <v>0</v>
      </c>
      <c r="O607" s="12">
        <v>0</v>
      </c>
      <c r="P607" s="12">
        <v>0</v>
      </c>
      <c r="Q607" s="12">
        <v>0</v>
      </c>
      <c r="R607" s="12">
        <v>0</v>
      </c>
    </row>
    <row r="608" spans="1:19" x14ac:dyDescent="0.25">
      <c r="A608" s="13">
        <v>45924.505601851852</v>
      </c>
      <c r="B608" t="s">
        <v>350</v>
      </c>
      <c r="C608" t="s">
        <v>359</v>
      </c>
      <c r="D608" t="s">
        <v>10</v>
      </c>
      <c r="E608" t="s">
        <v>11</v>
      </c>
      <c r="F608" t="s">
        <v>12</v>
      </c>
      <c r="G608">
        <v>10.5</v>
      </c>
      <c r="H608" s="12">
        <v>0</v>
      </c>
      <c r="I608" s="12">
        <v>1</v>
      </c>
      <c r="J608" s="12">
        <v>1</v>
      </c>
      <c r="K608" s="12">
        <v>1</v>
      </c>
      <c r="L608" s="12">
        <v>0</v>
      </c>
      <c r="M608" s="12">
        <v>0</v>
      </c>
      <c r="N608" s="12">
        <v>0</v>
      </c>
      <c r="O608" s="12">
        <v>0</v>
      </c>
      <c r="P608" s="12">
        <v>0</v>
      </c>
      <c r="Q608" s="12">
        <v>0</v>
      </c>
      <c r="R608" s="12">
        <v>0</v>
      </c>
    </row>
    <row r="609" spans="1:18" x14ac:dyDescent="0.25">
      <c r="A609" s="13">
        <v>45924.50577546296</v>
      </c>
      <c r="B609" t="s">
        <v>350</v>
      </c>
      <c r="C609" t="s">
        <v>359</v>
      </c>
      <c r="D609" t="s">
        <v>10</v>
      </c>
      <c r="E609" t="s">
        <v>11</v>
      </c>
      <c r="F609" t="s">
        <v>12</v>
      </c>
      <c r="G609">
        <v>10.5</v>
      </c>
      <c r="H609" s="12">
        <v>1</v>
      </c>
      <c r="I609" s="12">
        <v>0</v>
      </c>
      <c r="J609" s="12">
        <v>1</v>
      </c>
      <c r="K609" s="12">
        <v>0</v>
      </c>
      <c r="L609" s="12">
        <v>0</v>
      </c>
      <c r="M609" s="12">
        <v>0</v>
      </c>
      <c r="N609" s="12">
        <v>0</v>
      </c>
      <c r="O609" s="12">
        <v>0</v>
      </c>
      <c r="P609" s="12">
        <v>0</v>
      </c>
      <c r="Q609" s="12">
        <v>0</v>
      </c>
      <c r="R609" s="12">
        <v>0</v>
      </c>
    </row>
    <row r="610" spans="1:18" x14ac:dyDescent="0.25">
      <c r="A610" s="13">
        <v>45924.505949074075</v>
      </c>
      <c r="B610" t="s">
        <v>350</v>
      </c>
      <c r="C610" t="s">
        <v>359</v>
      </c>
      <c r="D610" t="s">
        <v>10</v>
      </c>
      <c r="E610" t="s">
        <v>11</v>
      </c>
      <c r="F610" t="s">
        <v>14</v>
      </c>
      <c r="G610">
        <v>0.5</v>
      </c>
      <c r="H610" s="12">
        <v>0</v>
      </c>
      <c r="I610" s="12">
        <v>0</v>
      </c>
      <c r="J610" s="12">
        <v>0</v>
      </c>
      <c r="K610" s="12">
        <v>0</v>
      </c>
      <c r="L610" s="12">
        <v>0</v>
      </c>
      <c r="M610" s="12">
        <v>0</v>
      </c>
      <c r="N610" s="12">
        <v>0</v>
      </c>
      <c r="O610" s="12">
        <v>1</v>
      </c>
      <c r="P610" s="12">
        <v>0</v>
      </c>
      <c r="Q610" s="12">
        <v>0</v>
      </c>
      <c r="R610" s="12">
        <v>0</v>
      </c>
    </row>
    <row r="611" spans="1:18" x14ac:dyDescent="0.25">
      <c r="A611" s="13">
        <v>45924.541944444441</v>
      </c>
      <c r="B611" t="s">
        <v>351</v>
      </c>
      <c r="C611" t="s">
        <v>359</v>
      </c>
      <c r="D611" t="s">
        <v>10</v>
      </c>
      <c r="E611" t="s">
        <v>11</v>
      </c>
      <c r="F611" t="s">
        <v>12</v>
      </c>
      <c r="G611">
        <v>10.5</v>
      </c>
      <c r="H611" s="12">
        <v>1</v>
      </c>
      <c r="I611" s="12">
        <v>0</v>
      </c>
      <c r="J611" s="12">
        <v>1</v>
      </c>
      <c r="K611" s="12">
        <v>0</v>
      </c>
      <c r="L611" s="12">
        <v>0</v>
      </c>
      <c r="M611" s="12">
        <v>0</v>
      </c>
      <c r="N611" s="12">
        <v>0</v>
      </c>
      <c r="O611" s="12">
        <v>0</v>
      </c>
      <c r="P611" s="12">
        <v>1</v>
      </c>
      <c r="Q611" s="12">
        <v>0</v>
      </c>
      <c r="R611" s="12">
        <v>0</v>
      </c>
    </row>
    <row r="612" spans="1:18" x14ac:dyDescent="0.25">
      <c r="A612" s="13">
        <v>45924.591168981482</v>
      </c>
      <c r="B612" t="s">
        <v>348</v>
      </c>
      <c r="C612" t="s">
        <v>359</v>
      </c>
      <c r="D612" t="s">
        <v>10</v>
      </c>
      <c r="E612" t="s">
        <v>11</v>
      </c>
      <c r="F612" t="s">
        <v>15</v>
      </c>
      <c r="G612">
        <v>3</v>
      </c>
      <c r="H612" s="12">
        <v>1</v>
      </c>
      <c r="I612" s="12">
        <v>0</v>
      </c>
      <c r="J612" s="12">
        <v>1</v>
      </c>
      <c r="K612" s="12">
        <v>0</v>
      </c>
      <c r="L612" s="12">
        <v>0</v>
      </c>
      <c r="M612" s="12">
        <v>1</v>
      </c>
      <c r="N612" s="12">
        <v>0</v>
      </c>
      <c r="O612" s="12">
        <v>0</v>
      </c>
      <c r="P612" s="12">
        <v>0</v>
      </c>
      <c r="Q612" s="12">
        <v>0</v>
      </c>
      <c r="R612" s="12">
        <v>0</v>
      </c>
    </row>
    <row r="613" spans="1:18" x14ac:dyDescent="0.25">
      <c r="A613" s="13">
        <v>45924.617881944447</v>
      </c>
      <c r="B613" t="s">
        <v>348</v>
      </c>
      <c r="C613" t="s">
        <v>359</v>
      </c>
      <c r="D613" t="s">
        <v>10</v>
      </c>
      <c r="E613" t="s">
        <v>11</v>
      </c>
      <c r="F613" t="s">
        <v>15</v>
      </c>
      <c r="G613">
        <v>3</v>
      </c>
      <c r="H613" s="12">
        <v>0</v>
      </c>
      <c r="I613" s="12">
        <v>1</v>
      </c>
      <c r="J613" s="12">
        <v>1</v>
      </c>
      <c r="K613" s="12">
        <v>0</v>
      </c>
      <c r="L613" s="12">
        <v>0</v>
      </c>
      <c r="M613" s="12">
        <v>1</v>
      </c>
      <c r="N613" s="12">
        <v>0</v>
      </c>
      <c r="O613" s="12">
        <v>0</v>
      </c>
      <c r="P613" s="12">
        <v>0</v>
      </c>
      <c r="Q613" s="12">
        <v>1</v>
      </c>
      <c r="R613" s="12">
        <v>0</v>
      </c>
    </row>
    <row r="614" spans="1:18" x14ac:dyDescent="0.25">
      <c r="A614" s="13">
        <v>45924.746458333335</v>
      </c>
      <c r="B614" t="s">
        <v>355</v>
      </c>
      <c r="C614" t="s">
        <v>359</v>
      </c>
      <c r="D614" t="s">
        <v>10</v>
      </c>
      <c r="E614" t="s">
        <v>11</v>
      </c>
      <c r="F614" t="s">
        <v>15</v>
      </c>
      <c r="G614">
        <v>3</v>
      </c>
      <c r="H614" s="12">
        <v>1</v>
      </c>
      <c r="I614" s="12">
        <v>0</v>
      </c>
      <c r="J614" s="12">
        <v>1</v>
      </c>
      <c r="K614" s="12">
        <v>0</v>
      </c>
      <c r="L614" s="12">
        <v>0</v>
      </c>
      <c r="M614" s="12">
        <v>0</v>
      </c>
      <c r="N614" s="12">
        <v>0</v>
      </c>
      <c r="O614" s="12">
        <v>0</v>
      </c>
      <c r="P614" s="12">
        <v>0</v>
      </c>
      <c r="Q614" s="12">
        <v>0</v>
      </c>
      <c r="R614" s="12">
        <v>0</v>
      </c>
    </row>
    <row r="615" spans="1:18" x14ac:dyDescent="0.25">
      <c r="A615" s="13">
        <v>45924.746539351851</v>
      </c>
      <c r="B615" t="s">
        <v>355</v>
      </c>
      <c r="C615" t="s">
        <v>359</v>
      </c>
      <c r="D615" t="s">
        <v>10</v>
      </c>
      <c r="E615" t="s">
        <v>11</v>
      </c>
      <c r="F615" t="s">
        <v>15</v>
      </c>
      <c r="G615">
        <v>3</v>
      </c>
      <c r="H615" s="12">
        <v>0</v>
      </c>
      <c r="I615" s="12">
        <v>0</v>
      </c>
      <c r="J615" s="12">
        <v>0</v>
      </c>
      <c r="K615" s="12">
        <v>0</v>
      </c>
      <c r="L615" s="12">
        <v>1</v>
      </c>
      <c r="M615" s="12">
        <v>0</v>
      </c>
      <c r="N615" s="12">
        <v>0</v>
      </c>
      <c r="O615" s="12">
        <v>0</v>
      </c>
      <c r="P615" s="12">
        <v>0</v>
      </c>
      <c r="Q615" s="12">
        <v>0</v>
      </c>
      <c r="R615" s="12">
        <v>0</v>
      </c>
    </row>
    <row r="616" spans="1:18" x14ac:dyDescent="0.25">
      <c r="A616" s="13">
        <v>45924.746712962966</v>
      </c>
      <c r="B616" t="s">
        <v>355</v>
      </c>
      <c r="C616" t="s">
        <v>359</v>
      </c>
      <c r="D616" t="s">
        <v>20</v>
      </c>
      <c r="E616" t="s">
        <v>11</v>
      </c>
      <c r="F616" t="s">
        <v>15</v>
      </c>
      <c r="G616">
        <v>3</v>
      </c>
      <c r="H616" s="12">
        <v>0</v>
      </c>
      <c r="I616" s="12">
        <v>0</v>
      </c>
      <c r="J616" s="12">
        <v>0</v>
      </c>
      <c r="K616" s="12">
        <v>0</v>
      </c>
      <c r="L616" s="12">
        <v>0</v>
      </c>
      <c r="M616" s="12">
        <v>0</v>
      </c>
      <c r="N616" s="12">
        <v>0</v>
      </c>
      <c r="O616" s="12">
        <v>0</v>
      </c>
      <c r="P616" s="12">
        <v>0</v>
      </c>
      <c r="Q616" s="12">
        <v>1</v>
      </c>
      <c r="R616" s="12">
        <v>0</v>
      </c>
    </row>
    <row r="617" spans="1:18" x14ac:dyDescent="0.25">
      <c r="A617" s="13">
        <v>45924.746979166666</v>
      </c>
      <c r="B617" t="s">
        <v>355</v>
      </c>
      <c r="C617" t="s">
        <v>359</v>
      </c>
      <c r="D617" t="s">
        <v>20</v>
      </c>
      <c r="E617" t="s">
        <v>11</v>
      </c>
      <c r="F617" t="s">
        <v>15</v>
      </c>
      <c r="G617">
        <v>3</v>
      </c>
      <c r="H617" s="12">
        <v>0</v>
      </c>
      <c r="I617" s="12">
        <v>0</v>
      </c>
      <c r="J617" s="12">
        <v>0</v>
      </c>
      <c r="K617" s="12">
        <v>0</v>
      </c>
      <c r="L617" s="12">
        <v>0</v>
      </c>
      <c r="M617" s="12">
        <v>0</v>
      </c>
      <c r="N617" s="12">
        <v>0</v>
      </c>
      <c r="O617" s="12">
        <v>0</v>
      </c>
      <c r="P617" s="12">
        <v>1</v>
      </c>
      <c r="Q617" s="12">
        <v>1</v>
      </c>
      <c r="R617" s="12">
        <v>0</v>
      </c>
    </row>
    <row r="618" spans="1:18" x14ac:dyDescent="0.25">
      <c r="A618" s="13">
        <v>45924.747662037036</v>
      </c>
      <c r="B618" t="s">
        <v>355</v>
      </c>
      <c r="C618" t="s">
        <v>359</v>
      </c>
      <c r="D618" t="s">
        <v>10</v>
      </c>
      <c r="E618" t="s">
        <v>11</v>
      </c>
      <c r="F618" t="s">
        <v>15</v>
      </c>
      <c r="G618">
        <v>3</v>
      </c>
      <c r="H618" s="12">
        <v>0</v>
      </c>
      <c r="I618" s="12">
        <v>0</v>
      </c>
      <c r="J618" s="12">
        <v>0</v>
      </c>
      <c r="K618" s="12">
        <v>0</v>
      </c>
      <c r="L618" s="12">
        <v>0</v>
      </c>
      <c r="M618" s="12">
        <v>1</v>
      </c>
      <c r="N618" s="12">
        <v>0</v>
      </c>
      <c r="O618" s="12">
        <v>0</v>
      </c>
      <c r="P618" s="12">
        <v>0</v>
      </c>
      <c r="Q618" s="12">
        <v>0</v>
      </c>
      <c r="R618" s="12">
        <v>0</v>
      </c>
    </row>
    <row r="619" spans="1:18" x14ac:dyDescent="0.25">
      <c r="A619" s="13">
        <v>45925.475960648146</v>
      </c>
      <c r="B619" t="s">
        <v>354</v>
      </c>
      <c r="C619" t="s">
        <v>360</v>
      </c>
      <c r="D619" t="s">
        <v>10</v>
      </c>
      <c r="E619" t="s">
        <v>11</v>
      </c>
      <c r="F619" t="s">
        <v>18</v>
      </c>
      <c r="G619">
        <v>20</v>
      </c>
      <c r="H619" s="12">
        <v>1</v>
      </c>
      <c r="I619" s="12">
        <v>0</v>
      </c>
      <c r="J619" s="12">
        <v>1</v>
      </c>
      <c r="K619" s="12">
        <v>0</v>
      </c>
      <c r="L619" s="12">
        <v>0</v>
      </c>
      <c r="M619" s="12">
        <v>1</v>
      </c>
      <c r="N619" s="12">
        <v>0</v>
      </c>
      <c r="O619" s="12">
        <v>0</v>
      </c>
      <c r="P619" s="12">
        <v>0</v>
      </c>
      <c r="Q619" s="12">
        <v>0</v>
      </c>
      <c r="R619" s="12">
        <v>0</v>
      </c>
    </row>
    <row r="620" spans="1:18" x14ac:dyDescent="0.25">
      <c r="A620" s="13">
        <v>45925.476099537038</v>
      </c>
      <c r="B620" t="s">
        <v>354</v>
      </c>
      <c r="C620" t="s">
        <v>360</v>
      </c>
      <c r="D620" t="s">
        <v>20</v>
      </c>
      <c r="E620" t="s">
        <v>11</v>
      </c>
      <c r="F620" t="s">
        <v>14</v>
      </c>
      <c r="G620">
        <v>0.5</v>
      </c>
      <c r="H620" s="12">
        <v>0</v>
      </c>
      <c r="I620" s="12">
        <v>0</v>
      </c>
      <c r="J620" s="12">
        <v>0</v>
      </c>
      <c r="K620" s="12">
        <v>0</v>
      </c>
      <c r="L620" s="12">
        <v>0</v>
      </c>
      <c r="M620" s="12">
        <v>0</v>
      </c>
      <c r="N620" s="12">
        <v>0</v>
      </c>
      <c r="O620" s="12">
        <v>0</v>
      </c>
      <c r="P620" s="12">
        <v>0</v>
      </c>
      <c r="Q620" s="12">
        <v>1</v>
      </c>
      <c r="R620" s="12">
        <v>0</v>
      </c>
    </row>
    <row r="621" spans="1:18" x14ac:dyDescent="0.25">
      <c r="A621" s="13">
        <v>45925.496770833335</v>
      </c>
      <c r="B621" t="s">
        <v>354</v>
      </c>
      <c r="C621" t="s">
        <v>360</v>
      </c>
      <c r="D621" t="s">
        <v>10</v>
      </c>
      <c r="E621" t="s">
        <v>11</v>
      </c>
      <c r="F621" t="s">
        <v>12</v>
      </c>
      <c r="G621">
        <v>10.5</v>
      </c>
      <c r="H621" s="12">
        <v>0</v>
      </c>
      <c r="I621" s="12">
        <v>0</v>
      </c>
      <c r="J621" s="12">
        <v>0</v>
      </c>
      <c r="K621" s="12">
        <v>0</v>
      </c>
      <c r="L621" s="12">
        <v>0</v>
      </c>
      <c r="M621" s="12">
        <v>1</v>
      </c>
      <c r="N621" s="12">
        <v>0</v>
      </c>
      <c r="O621" s="12">
        <v>0</v>
      </c>
      <c r="P621" s="12">
        <v>0</v>
      </c>
      <c r="Q621" s="12">
        <v>0</v>
      </c>
      <c r="R621" s="12">
        <v>0</v>
      </c>
    </row>
    <row r="622" spans="1:18" x14ac:dyDescent="0.25">
      <c r="A622" s="13">
        <v>45925.540046296293</v>
      </c>
      <c r="B622" t="s">
        <v>350</v>
      </c>
      <c r="C622" t="s">
        <v>360</v>
      </c>
      <c r="D622" t="s">
        <v>10</v>
      </c>
      <c r="E622" t="s">
        <v>11</v>
      </c>
      <c r="F622" t="s">
        <v>15</v>
      </c>
      <c r="G622">
        <v>3</v>
      </c>
      <c r="H622" s="12">
        <v>1</v>
      </c>
      <c r="I622" s="12">
        <v>0</v>
      </c>
      <c r="J622" s="12">
        <v>0</v>
      </c>
      <c r="K622" s="12">
        <v>0</v>
      </c>
      <c r="L622" s="12">
        <v>0</v>
      </c>
      <c r="M622" s="12">
        <v>0</v>
      </c>
      <c r="N622" s="12">
        <v>0</v>
      </c>
      <c r="O622" s="12">
        <v>0</v>
      </c>
      <c r="P622" s="12">
        <v>0</v>
      </c>
      <c r="Q622" s="12">
        <v>0</v>
      </c>
      <c r="R622" s="12">
        <v>0</v>
      </c>
    </row>
    <row r="623" spans="1:18" x14ac:dyDescent="0.25">
      <c r="A623" s="13">
        <v>45925.575613425928</v>
      </c>
      <c r="B623" t="s">
        <v>351</v>
      </c>
      <c r="C623" t="s">
        <v>360</v>
      </c>
      <c r="D623" t="s">
        <v>10</v>
      </c>
      <c r="E623" t="s">
        <v>11</v>
      </c>
      <c r="F623" t="s">
        <v>14</v>
      </c>
      <c r="G623">
        <v>0.5</v>
      </c>
      <c r="H623" s="12">
        <v>0</v>
      </c>
      <c r="I623" s="12">
        <v>0</v>
      </c>
      <c r="J623" s="12">
        <v>0</v>
      </c>
      <c r="K623" s="12">
        <v>0</v>
      </c>
      <c r="L623" s="12">
        <v>0</v>
      </c>
      <c r="M623" s="12">
        <v>0</v>
      </c>
      <c r="N623" s="12">
        <v>0</v>
      </c>
      <c r="O623" s="12">
        <v>0</v>
      </c>
      <c r="P623" s="12">
        <v>0</v>
      </c>
      <c r="Q623" s="12">
        <v>1</v>
      </c>
      <c r="R623" s="12">
        <v>0</v>
      </c>
    </row>
    <row r="624" spans="1:18" x14ac:dyDescent="0.25">
      <c r="A624" s="13">
        <v>45925.625752314816</v>
      </c>
      <c r="B624" t="s">
        <v>349</v>
      </c>
      <c r="C624" t="s">
        <v>360</v>
      </c>
      <c r="D624" t="s">
        <v>10</v>
      </c>
      <c r="E624" t="s">
        <v>11</v>
      </c>
      <c r="F624" t="s">
        <v>12</v>
      </c>
      <c r="G624">
        <v>10.5</v>
      </c>
      <c r="H624" s="12">
        <v>0</v>
      </c>
      <c r="I624" s="12">
        <v>0</v>
      </c>
      <c r="J624" s="12">
        <v>0</v>
      </c>
      <c r="K624" s="12">
        <v>0</v>
      </c>
      <c r="L624" s="12">
        <v>1</v>
      </c>
      <c r="M624" s="12">
        <v>0</v>
      </c>
      <c r="N624" s="12">
        <v>0</v>
      </c>
      <c r="O624" s="12">
        <v>0</v>
      </c>
      <c r="P624" s="12">
        <v>0</v>
      </c>
      <c r="Q624" s="12">
        <v>0</v>
      </c>
      <c r="R624" s="12">
        <v>0</v>
      </c>
    </row>
    <row r="625" spans="1:19" x14ac:dyDescent="0.25">
      <c r="A625" s="13">
        <v>45925.745462962965</v>
      </c>
      <c r="B625" t="s">
        <v>355</v>
      </c>
      <c r="C625" t="s">
        <v>360</v>
      </c>
      <c r="D625" t="s">
        <v>10</v>
      </c>
      <c r="E625" t="s">
        <v>11</v>
      </c>
      <c r="F625" t="s">
        <v>12</v>
      </c>
      <c r="G625">
        <v>10.5</v>
      </c>
      <c r="H625" s="12">
        <v>1</v>
      </c>
      <c r="I625" s="12">
        <v>0</v>
      </c>
      <c r="J625" s="12">
        <v>1</v>
      </c>
      <c r="K625" s="12">
        <v>0</v>
      </c>
      <c r="L625" s="12">
        <v>0</v>
      </c>
      <c r="M625" s="12">
        <v>0</v>
      </c>
      <c r="N625" s="12">
        <v>0</v>
      </c>
      <c r="O625" s="12">
        <v>0</v>
      </c>
      <c r="P625" s="12">
        <v>0</v>
      </c>
      <c r="Q625" s="12">
        <v>0</v>
      </c>
      <c r="R625" s="12">
        <v>0</v>
      </c>
    </row>
    <row r="626" spans="1:19" x14ac:dyDescent="0.25">
      <c r="A626" s="13">
        <v>45925.745555555557</v>
      </c>
      <c r="B626" t="s">
        <v>355</v>
      </c>
      <c r="C626" t="s">
        <v>360</v>
      </c>
      <c r="D626" t="s">
        <v>10</v>
      </c>
      <c r="E626" t="s">
        <v>11</v>
      </c>
      <c r="F626" t="s">
        <v>15</v>
      </c>
      <c r="G626">
        <v>3</v>
      </c>
      <c r="H626" s="12">
        <v>0</v>
      </c>
      <c r="I626" s="12">
        <v>0</v>
      </c>
      <c r="J626" s="12">
        <v>0</v>
      </c>
      <c r="K626" s="12">
        <v>0</v>
      </c>
      <c r="L626" s="12">
        <v>1</v>
      </c>
      <c r="M626" s="12">
        <v>0</v>
      </c>
      <c r="N626" s="12">
        <v>0</v>
      </c>
      <c r="O626" s="12">
        <v>0</v>
      </c>
      <c r="P626" s="12">
        <v>0</v>
      </c>
      <c r="Q626" s="12">
        <v>0</v>
      </c>
      <c r="R626" s="12">
        <v>0</v>
      </c>
    </row>
    <row r="627" spans="1:19" x14ac:dyDescent="0.25">
      <c r="A627" s="13">
        <v>45925.745636574073</v>
      </c>
      <c r="B627" t="s">
        <v>355</v>
      </c>
      <c r="C627" t="s">
        <v>360</v>
      </c>
      <c r="D627" t="s">
        <v>10</v>
      </c>
      <c r="E627" t="s">
        <v>11</v>
      </c>
      <c r="F627" t="s">
        <v>15</v>
      </c>
      <c r="G627">
        <v>3</v>
      </c>
      <c r="H627" s="12">
        <v>0</v>
      </c>
      <c r="I627" s="12">
        <v>0</v>
      </c>
      <c r="J627" s="12">
        <v>0</v>
      </c>
      <c r="K627" s="12">
        <v>0</v>
      </c>
      <c r="L627" s="12">
        <v>0</v>
      </c>
      <c r="M627" s="12">
        <v>0</v>
      </c>
      <c r="N627" s="12">
        <v>1</v>
      </c>
      <c r="O627" s="12">
        <v>0</v>
      </c>
      <c r="P627" s="12">
        <v>0</v>
      </c>
      <c r="Q627" s="12">
        <v>0</v>
      </c>
      <c r="R627" s="12">
        <v>0</v>
      </c>
    </row>
    <row r="628" spans="1:19" x14ac:dyDescent="0.25">
      <c r="A628" s="13">
        <v>45925.745706018519</v>
      </c>
      <c r="B628" t="s">
        <v>355</v>
      </c>
      <c r="C628" t="s">
        <v>360</v>
      </c>
      <c r="D628" t="s">
        <v>10</v>
      </c>
      <c r="E628" t="s">
        <v>11</v>
      </c>
      <c r="F628" t="s">
        <v>14</v>
      </c>
      <c r="G628">
        <v>0.5</v>
      </c>
      <c r="H628" s="12">
        <v>0</v>
      </c>
      <c r="I628" s="12">
        <v>0</v>
      </c>
      <c r="J628" s="12">
        <v>0</v>
      </c>
      <c r="K628" s="12">
        <v>0</v>
      </c>
      <c r="L628" s="12">
        <v>0</v>
      </c>
      <c r="M628" s="12">
        <v>0</v>
      </c>
      <c r="N628" s="12">
        <v>0</v>
      </c>
      <c r="O628" s="12">
        <v>0</v>
      </c>
      <c r="P628" s="12">
        <v>0</v>
      </c>
      <c r="Q628" s="12">
        <v>1</v>
      </c>
      <c r="R628" s="12">
        <v>0</v>
      </c>
    </row>
    <row r="629" spans="1:19" x14ac:dyDescent="0.25">
      <c r="A629" s="13">
        <v>45925.74596064815</v>
      </c>
      <c r="B629" t="s">
        <v>355</v>
      </c>
      <c r="C629" t="s">
        <v>360</v>
      </c>
      <c r="D629" t="s">
        <v>10</v>
      </c>
      <c r="E629" t="s">
        <v>11</v>
      </c>
      <c r="F629" t="s">
        <v>14</v>
      </c>
      <c r="G629">
        <v>0.5</v>
      </c>
      <c r="H629" s="12">
        <v>0</v>
      </c>
      <c r="I629" s="12">
        <v>0</v>
      </c>
      <c r="J629" s="12">
        <v>0</v>
      </c>
      <c r="K629" s="12">
        <v>0</v>
      </c>
      <c r="L629" s="12">
        <v>0</v>
      </c>
      <c r="M629" s="12">
        <v>0</v>
      </c>
      <c r="N629" s="12">
        <v>0</v>
      </c>
      <c r="O629" s="12">
        <v>0</v>
      </c>
      <c r="P629" s="12">
        <v>1</v>
      </c>
      <c r="Q629" s="12">
        <v>0</v>
      </c>
      <c r="R629" s="12">
        <v>0</v>
      </c>
    </row>
    <row r="630" spans="1:19" x14ac:dyDescent="0.25">
      <c r="A630" s="13">
        <v>45926.397986111115</v>
      </c>
      <c r="B630" t="s">
        <v>352</v>
      </c>
      <c r="C630" t="s">
        <v>361</v>
      </c>
      <c r="D630" t="s">
        <v>10</v>
      </c>
      <c r="E630" t="s">
        <v>11</v>
      </c>
      <c r="F630" t="s">
        <v>14</v>
      </c>
      <c r="G630">
        <v>0.5</v>
      </c>
      <c r="H630" s="12">
        <v>0</v>
      </c>
      <c r="I630" s="12">
        <v>0</v>
      </c>
      <c r="J630" s="12">
        <v>0</v>
      </c>
      <c r="K630" s="12">
        <v>0</v>
      </c>
      <c r="L630" s="12">
        <v>0</v>
      </c>
      <c r="M630" s="12">
        <v>0</v>
      </c>
      <c r="N630" s="12">
        <v>0</v>
      </c>
      <c r="O630" s="12">
        <v>0</v>
      </c>
      <c r="P630" s="12">
        <v>0</v>
      </c>
      <c r="Q630" s="12">
        <v>1</v>
      </c>
      <c r="R630" s="12">
        <v>0</v>
      </c>
    </row>
    <row r="631" spans="1:19" x14ac:dyDescent="0.25">
      <c r="A631" s="13">
        <v>45926.467395833337</v>
      </c>
      <c r="B631" t="s">
        <v>354</v>
      </c>
      <c r="C631" t="s">
        <v>361</v>
      </c>
      <c r="D631" t="s">
        <v>10</v>
      </c>
      <c r="E631" t="s">
        <v>11</v>
      </c>
      <c r="F631" t="s">
        <v>15</v>
      </c>
      <c r="G631">
        <v>3</v>
      </c>
      <c r="H631" s="12">
        <v>1</v>
      </c>
      <c r="I631" s="12">
        <v>0</v>
      </c>
      <c r="J631" s="12">
        <v>0</v>
      </c>
      <c r="K631" s="12">
        <v>0</v>
      </c>
      <c r="L631" s="12">
        <v>0</v>
      </c>
      <c r="M631" s="12">
        <v>0</v>
      </c>
      <c r="N631" s="12">
        <v>0</v>
      </c>
      <c r="O631" s="12">
        <v>0</v>
      </c>
      <c r="P631" s="12">
        <v>0</v>
      </c>
      <c r="Q631" s="12">
        <v>0</v>
      </c>
      <c r="R631" s="12">
        <v>0</v>
      </c>
    </row>
    <row r="632" spans="1:19" x14ac:dyDescent="0.25">
      <c r="A632" s="13">
        <v>45926.576932870368</v>
      </c>
      <c r="B632" t="s">
        <v>351</v>
      </c>
      <c r="C632" t="s">
        <v>361</v>
      </c>
      <c r="D632" t="s">
        <v>10</v>
      </c>
      <c r="E632" t="s">
        <v>11</v>
      </c>
      <c r="F632" t="s">
        <v>14</v>
      </c>
      <c r="G632">
        <v>0.5</v>
      </c>
      <c r="H632" s="12">
        <v>0</v>
      </c>
      <c r="I632" s="12">
        <v>0</v>
      </c>
      <c r="J632" s="12">
        <v>0</v>
      </c>
      <c r="K632" s="12">
        <v>0</v>
      </c>
      <c r="L632" s="12">
        <v>0</v>
      </c>
      <c r="M632" s="12">
        <v>0</v>
      </c>
      <c r="N632" s="12">
        <v>0</v>
      </c>
      <c r="O632" s="12">
        <v>0</v>
      </c>
      <c r="P632" s="12">
        <v>1</v>
      </c>
      <c r="Q632" s="12">
        <v>0</v>
      </c>
      <c r="R632" s="12">
        <v>0</v>
      </c>
    </row>
    <row r="633" spans="1:19" x14ac:dyDescent="0.25">
      <c r="A633" s="13">
        <v>45926.746944444443</v>
      </c>
      <c r="B633" t="s">
        <v>355</v>
      </c>
      <c r="C633" t="s">
        <v>361</v>
      </c>
      <c r="D633" t="s">
        <v>10</v>
      </c>
      <c r="E633" t="s">
        <v>11</v>
      </c>
      <c r="F633" t="s">
        <v>15</v>
      </c>
      <c r="G633">
        <v>3</v>
      </c>
      <c r="H633" s="12">
        <v>0</v>
      </c>
      <c r="I633" s="12">
        <v>0</v>
      </c>
      <c r="J633" s="12">
        <v>0</v>
      </c>
      <c r="K633" s="12">
        <v>0</v>
      </c>
      <c r="L633" s="12">
        <v>1</v>
      </c>
      <c r="M633" s="12">
        <v>0</v>
      </c>
      <c r="N633" s="12">
        <v>0</v>
      </c>
      <c r="O633" s="12">
        <v>0</v>
      </c>
      <c r="P633" s="12">
        <v>0</v>
      </c>
      <c r="Q633" s="12">
        <v>0</v>
      </c>
      <c r="R633" s="12">
        <v>0</v>
      </c>
    </row>
    <row r="634" spans="1:19" x14ac:dyDescent="0.25">
      <c r="A634" s="13">
        <v>45926.747071759259</v>
      </c>
      <c r="B634" t="s">
        <v>355</v>
      </c>
      <c r="C634" t="s">
        <v>361</v>
      </c>
      <c r="D634" t="s">
        <v>10</v>
      </c>
      <c r="E634" t="s">
        <v>11</v>
      </c>
      <c r="F634" t="s">
        <v>12</v>
      </c>
      <c r="G634">
        <v>10.5</v>
      </c>
      <c r="H634" s="12">
        <v>0</v>
      </c>
      <c r="I634" s="12">
        <v>0</v>
      </c>
      <c r="J634" s="12">
        <v>0</v>
      </c>
      <c r="K634" s="12">
        <v>0</v>
      </c>
      <c r="L634" s="12">
        <v>1</v>
      </c>
      <c r="M634" s="12">
        <v>0</v>
      </c>
      <c r="N634" s="12">
        <v>0</v>
      </c>
      <c r="O634" s="12">
        <v>0</v>
      </c>
      <c r="P634" s="12">
        <v>0</v>
      </c>
      <c r="Q634" s="12">
        <v>0</v>
      </c>
      <c r="R634" s="12">
        <v>0</v>
      </c>
    </row>
    <row r="635" spans="1:19" x14ac:dyDescent="0.25">
      <c r="A635" s="13">
        <v>45926.747187499997</v>
      </c>
      <c r="B635" t="s">
        <v>355</v>
      </c>
      <c r="C635" t="s">
        <v>361</v>
      </c>
      <c r="D635" t="s">
        <v>10</v>
      </c>
      <c r="E635" t="s">
        <v>11</v>
      </c>
      <c r="F635" t="s">
        <v>15</v>
      </c>
      <c r="G635">
        <v>3</v>
      </c>
      <c r="H635" s="12">
        <v>1</v>
      </c>
      <c r="I635" s="12">
        <v>0</v>
      </c>
      <c r="J635" s="12">
        <v>1</v>
      </c>
      <c r="K635" s="12">
        <v>0</v>
      </c>
      <c r="L635" s="12">
        <v>0</v>
      </c>
      <c r="M635" s="12">
        <v>0</v>
      </c>
      <c r="N635" s="12">
        <v>0</v>
      </c>
      <c r="O635" s="12">
        <v>0</v>
      </c>
      <c r="P635" s="12">
        <v>0</v>
      </c>
      <c r="Q635" s="12">
        <v>0</v>
      </c>
      <c r="R635" s="12">
        <v>0</v>
      </c>
    </row>
    <row r="636" spans="1:19" x14ac:dyDescent="0.25">
      <c r="A636" s="13">
        <v>45926.747488425928</v>
      </c>
      <c r="B636" t="s">
        <v>355</v>
      </c>
      <c r="C636" t="s">
        <v>361</v>
      </c>
      <c r="D636" t="s">
        <v>10</v>
      </c>
      <c r="E636" t="s">
        <v>11</v>
      </c>
      <c r="F636" t="s">
        <v>15</v>
      </c>
      <c r="G636">
        <v>3</v>
      </c>
      <c r="H636" s="12">
        <v>1</v>
      </c>
      <c r="I636" s="12">
        <v>0</v>
      </c>
      <c r="J636" s="12">
        <v>0</v>
      </c>
      <c r="K636" s="12">
        <v>0</v>
      </c>
      <c r="L636" s="12">
        <v>0</v>
      </c>
      <c r="M636" s="12">
        <v>0</v>
      </c>
      <c r="N636" s="12">
        <v>0</v>
      </c>
      <c r="O636" s="12">
        <v>0</v>
      </c>
      <c r="P636" s="12">
        <v>0</v>
      </c>
      <c r="Q636" s="12">
        <v>0</v>
      </c>
      <c r="R636" s="12">
        <v>0</v>
      </c>
    </row>
    <row r="637" spans="1:19" x14ac:dyDescent="0.25">
      <c r="A637" s="13">
        <v>45926.74763888889</v>
      </c>
      <c r="B637" t="s">
        <v>355</v>
      </c>
      <c r="C637" t="s">
        <v>361</v>
      </c>
      <c r="D637" t="s">
        <v>10</v>
      </c>
      <c r="E637" t="s">
        <v>11</v>
      </c>
      <c r="F637" t="s">
        <v>14</v>
      </c>
      <c r="G637">
        <v>0.5</v>
      </c>
      <c r="H637" s="12">
        <v>0</v>
      </c>
      <c r="I637" s="12">
        <v>0</v>
      </c>
      <c r="J637" s="12">
        <v>0</v>
      </c>
      <c r="K637" s="12">
        <v>0</v>
      </c>
      <c r="L637" s="12">
        <v>0</v>
      </c>
      <c r="M637" s="12">
        <v>0</v>
      </c>
      <c r="N637" s="12">
        <v>0</v>
      </c>
      <c r="O637" s="12">
        <v>0</v>
      </c>
      <c r="P637" s="12">
        <v>0</v>
      </c>
      <c r="Q637" s="12">
        <v>1</v>
      </c>
      <c r="R637" s="12">
        <v>0</v>
      </c>
    </row>
    <row r="638" spans="1:19" x14ac:dyDescent="0.25">
      <c r="A638" s="13">
        <v>45926.747731481482</v>
      </c>
      <c r="B638" t="s">
        <v>355</v>
      </c>
      <c r="C638" t="s">
        <v>361</v>
      </c>
      <c r="D638" t="s">
        <v>10</v>
      </c>
      <c r="E638" t="s">
        <v>11</v>
      </c>
      <c r="F638" t="s">
        <v>14</v>
      </c>
      <c r="G638">
        <v>0.5</v>
      </c>
      <c r="H638" s="12">
        <v>0</v>
      </c>
      <c r="I638" s="12">
        <v>0</v>
      </c>
      <c r="J638" s="12">
        <v>0</v>
      </c>
      <c r="K638" s="12">
        <v>0</v>
      </c>
      <c r="L638" s="12">
        <v>0</v>
      </c>
      <c r="M638" s="12">
        <v>0</v>
      </c>
      <c r="N638" s="12">
        <v>0</v>
      </c>
      <c r="O638" s="12">
        <v>0</v>
      </c>
      <c r="P638" s="12">
        <v>0</v>
      </c>
      <c r="Q638" s="12">
        <v>1</v>
      </c>
      <c r="R638" s="12">
        <v>0</v>
      </c>
    </row>
    <row r="639" spans="1:19" x14ac:dyDescent="0.25">
      <c r="A639" s="13">
        <v>45926.747870370367</v>
      </c>
      <c r="B639" t="s">
        <v>355</v>
      </c>
      <c r="C639" t="s">
        <v>361</v>
      </c>
      <c r="D639" t="s">
        <v>10</v>
      </c>
      <c r="E639" t="s">
        <v>11</v>
      </c>
      <c r="F639" t="s">
        <v>15</v>
      </c>
      <c r="G639">
        <v>3</v>
      </c>
      <c r="H639" s="12">
        <v>0</v>
      </c>
      <c r="I639" s="12">
        <v>0</v>
      </c>
      <c r="J639" s="12">
        <v>0</v>
      </c>
      <c r="K639" s="12">
        <v>0</v>
      </c>
      <c r="L639" s="12">
        <v>0</v>
      </c>
      <c r="M639" s="12">
        <v>0</v>
      </c>
      <c r="N639" s="12">
        <v>0</v>
      </c>
      <c r="O639" s="12">
        <v>0</v>
      </c>
      <c r="P639" s="12">
        <v>1</v>
      </c>
      <c r="Q639" s="12">
        <v>0</v>
      </c>
      <c r="R639" s="12">
        <v>0</v>
      </c>
    </row>
    <row r="640" spans="1:19" x14ac:dyDescent="0.25">
      <c r="A640" s="13">
        <v>45927.429062499999</v>
      </c>
      <c r="B640" t="s">
        <v>347</v>
      </c>
      <c r="C640" t="s">
        <v>362</v>
      </c>
      <c r="D640" t="s">
        <v>10</v>
      </c>
      <c r="E640" t="s">
        <v>11</v>
      </c>
      <c r="F640" t="s">
        <v>14</v>
      </c>
      <c r="G640">
        <v>0.5</v>
      </c>
      <c r="H640" s="12">
        <v>0</v>
      </c>
      <c r="I640" s="12">
        <v>0</v>
      </c>
      <c r="J640" s="12">
        <v>0</v>
      </c>
      <c r="K640" s="12">
        <v>0</v>
      </c>
      <c r="L640" s="12">
        <v>0</v>
      </c>
      <c r="M640" s="12">
        <v>0</v>
      </c>
      <c r="N640" s="12">
        <v>0</v>
      </c>
      <c r="O640" s="12">
        <v>0</v>
      </c>
      <c r="P640" s="12">
        <v>1</v>
      </c>
      <c r="Q640" s="12">
        <v>0</v>
      </c>
      <c r="R640" s="12">
        <v>0</v>
      </c>
      <c r="S640" t="s">
        <v>183</v>
      </c>
    </row>
    <row r="641" spans="1:19" x14ac:dyDescent="0.25">
      <c r="A641" s="13">
        <v>45927.429618055554</v>
      </c>
      <c r="B641" t="s">
        <v>347</v>
      </c>
      <c r="C641" t="s">
        <v>362</v>
      </c>
      <c r="D641" t="s">
        <v>10</v>
      </c>
      <c r="E641" t="s">
        <v>11</v>
      </c>
      <c r="F641" t="s">
        <v>15</v>
      </c>
      <c r="G641">
        <v>3</v>
      </c>
      <c r="H641" s="12">
        <v>1</v>
      </c>
      <c r="I641" s="12">
        <v>0</v>
      </c>
      <c r="J641" s="12">
        <v>0</v>
      </c>
      <c r="K641" s="12">
        <v>0</v>
      </c>
      <c r="L641" s="12">
        <v>0</v>
      </c>
      <c r="M641" s="12">
        <v>0</v>
      </c>
      <c r="N641" s="12">
        <v>0</v>
      </c>
      <c r="O641" s="12">
        <v>0</v>
      </c>
      <c r="P641" s="12">
        <v>0</v>
      </c>
      <c r="Q641" s="12">
        <v>0</v>
      </c>
      <c r="R641" s="12">
        <v>1</v>
      </c>
      <c r="S641" t="s">
        <v>184</v>
      </c>
    </row>
    <row r="642" spans="1:19" x14ac:dyDescent="0.25">
      <c r="A642" s="13">
        <v>45927.441736111112</v>
      </c>
      <c r="B642" t="s">
        <v>347</v>
      </c>
      <c r="C642" t="s">
        <v>362</v>
      </c>
      <c r="D642" t="s">
        <v>10</v>
      </c>
      <c r="E642" t="s">
        <v>11</v>
      </c>
      <c r="F642" t="s">
        <v>15</v>
      </c>
      <c r="G642">
        <v>3</v>
      </c>
      <c r="H642" s="12">
        <v>0</v>
      </c>
      <c r="I642" s="12">
        <v>0</v>
      </c>
      <c r="J642" s="12">
        <v>0</v>
      </c>
      <c r="K642" s="12">
        <v>0</v>
      </c>
      <c r="L642" s="12">
        <v>0</v>
      </c>
      <c r="M642" s="12">
        <v>0</v>
      </c>
      <c r="N642" s="12">
        <v>0</v>
      </c>
      <c r="O642" s="12">
        <v>1</v>
      </c>
      <c r="P642" s="12">
        <v>1</v>
      </c>
      <c r="Q642" s="12">
        <v>0</v>
      </c>
      <c r="R642" s="12">
        <v>0</v>
      </c>
    </row>
    <row r="643" spans="1:19" x14ac:dyDescent="0.25">
      <c r="A643" s="13">
        <v>45927.446111111109</v>
      </c>
      <c r="B643" t="s">
        <v>347</v>
      </c>
      <c r="C643" t="s">
        <v>362</v>
      </c>
      <c r="D643" t="s">
        <v>10</v>
      </c>
      <c r="E643" t="s">
        <v>11</v>
      </c>
      <c r="F643" t="s">
        <v>14</v>
      </c>
      <c r="G643">
        <v>0.5</v>
      </c>
      <c r="H643" s="12">
        <v>0</v>
      </c>
      <c r="I643" s="12">
        <v>0</v>
      </c>
      <c r="J643" s="12">
        <v>0</v>
      </c>
      <c r="K643" s="12">
        <v>0</v>
      </c>
      <c r="L643" s="12">
        <v>0</v>
      </c>
      <c r="M643" s="12">
        <v>0</v>
      </c>
      <c r="N643" s="12">
        <v>0</v>
      </c>
      <c r="O643" s="12">
        <v>0</v>
      </c>
      <c r="P643" s="12">
        <v>1</v>
      </c>
      <c r="Q643" s="12">
        <v>0</v>
      </c>
      <c r="R643" s="12">
        <v>0</v>
      </c>
    </row>
    <row r="644" spans="1:19" x14ac:dyDescent="0.25">
      <c r="A644" s="13">
        <v>45927.481192129628</v>
      </c>
      <c r="B644" t="s">
        <v>354</v>
      </c>
      <c r="C644" t="s">
        <v>362</v>
      </c>
      <c r="D644" t="s">
        <v>10</v>
      </c>
      <c r="E644" t="s">
        <v>11</v>
      </c>
      <c r="F644" t="s">
        <v>15</v>
      </c>
      <c r="G644">
        <v>3</v>
      </c>
      <c r="H644" s="12">
        <v>0</v>
      </c>
      <c r="I644" s="12">
        <v>0</v>
      </c>
      <c r="J644" s="12">
        <v>0</v>
      </c>
      <c r="K644" s="12">
        <v>0</v>
      </c>
      <c r="L644" s="12">
        <v>0</v>
      </c>
      <c r="M644" s="12">
        <v>0</v>
      </c>
      <c r="N644" s="12">
        <v>1</v>
      </c>
      <c r="O644" s="12">
        <v>0</v>
      </c>
      <c r="P644" s="12">
        <v>0</v>
      </c>
      <c r="Q644" s="12">
        <v>0</v>
      </c>
      <c r="R644" s="12">
        <v>0</v>
      </c>
    </row>
    <row r="645" spans="1:19" x14ac:dyDescent="0.25">
      <c r="A645" s="13">
        <v>45929.523321759261</v>
      </c>
      <c r="B645" t="s">
        <v>350</v>
      </c>
      <c r="C645" t="s">
        <v>363</v>
      </c>
      <c r="D645" t="s">
        <v>10</v>
      </c>
      <c r="E645" t="s">
        <v>17</v>
      </c>
      <c r="F645" t="s">
        <v>12</v>
      </c>
      <c r="G645">
        <v>10.5</v>
      </c>
      <c r="H645" s="12">
        <v>0</v>
      </c>
      <c r="I645" s="12">
        <v>0</v>
      </c>
      <c r="J645" s="12">
        <v>0</v>
      </c>
      <c r="K645" s="12">
        <v>0</v>
      </c>
      <c r="L645" s="12">
        <v>0</v>
      </c>
      <c r="M645" s="12">
        <v>0</v>
      </c>
      <c r="N645" s="12">
        <v>1</v>
      </c>
      <c r="O645" s="12">
        <v>0</v>
      </c>
      <c r="P645" s="12">
        <v>0</v>
      </c>
      <c r="Q645" s="12">
        <v>0</v>
      </c>
      <c r="R645" s="12">
        <v>0</v>
      </c>
    </row>
    <row r="646" spans="1:19" x14ac:dyDescent="0.25">
      <c r="A646" s="13">
        <v>45929.580335648148</v>
      </c>
      <c r="B646" t="s">
        <v>351</v>
      </c>
      <c r="C646" t="s">
        <v>363</v>
      </c>
      <c r="D646" t="s">
        <v>10</v>
      </c>
      <c r="E646" t="s">
        <v>11</v>
      </c>
      <c r="F646" t="s">
        <v>12</v>
      </c>
      <c r="G646">
        <v>10.5</v>
      </c>
      <c r="H646" s="12">
        <v>0</v>
      </c>
      <c r="I646" s="12">
        <v>0</v>
      </c>
      <c r="J646" s="12">
        <v>0</v>
      </c>
      <c r="K646" s="12">
        <v>0</v>
      </c>
      <c r="L646" s="12">
        <v>1</v>
      </c>
      <c r="M646" s="12">
        <v>0</v>
      </c>
      <c r="N646" s="12">
        <v>0</v>
      </c>
      <c r="O646" s="12">
        <v>0</v>
      </c>
      <c r="P646" s="12">
        <v>0</v>
      </c>
      <c r="Q646" s="12">
        <v>0</v>
      </c>
      <c r="R646" s="12">
        <v>0</v>
      </c>
    </row>
    <row r="647" spans="1:19" x14ac:dyDescent="0.25">
      <c r="A647" s="13">
        <v>45929.580393518518</v>
      </c>
      <c r="B647" t="s">
        <v>351</v>
      </c>
      <c r="C647" t="s">
        <v>363</v>
      </c>
      <c r="D647" t="s">
        <v>10</v>
      </c>
      <c r="E647" t="s">
        <v>11</v>
      </c>
      <c r="F647" t="s">
        <v>14</v>
      </c>
      <c r="G647">
        <v>0.5</v>
      </c>
      <c r="H647" s="12">
        <v>0</v>
      </c>
      <c r="I647" s="12">
        <v>0</v>
      </c>
      <c r="J647" s="12">
        <v>0</v>
      </c>
      <c r="K647" s="12">
        <v>0</v>
      </c>
      <c r="L647" s="12">
        <v>0</v>
      </c>
      <c r="M647" s="12">
        <v>0</v>
      </c>
      <c r="N647" s="12">
        <v>0</v>
      </c>
      <c r="O647" s="12">
        <v>0</v>
      </c>
      <c r="P647" s="12">
        <v>0</v>
      </c>
      <c r="Q647" s="12">
        <v>1</v>
      </c>
      <c r="R647" s="12">
        <v>0</v>
      </c>
    </row>
    <row r="648" spans="1:19" x14ac:dyDescent="0.25">
      <c r="A648" s="13">
        <v>45929.607430555552</v>
      </c>
      <c r="B648" t="s">
        <v>348</v>
      </c>
      <c r="C648" t="s">
        <v>363</v>
      </c>
      <c r="D648" t="s">
        <v>10</v>
      </c>
      <c r="E648" t="s">
        <v>11</v>
      </c>
      <c r="F648" t="s">
        <v>15</v>
      </c>
      <c r="G648">
        <v>3</v>
      </c>
      <c r="H648" s="12">
        <v>1</v>
      </c>
      <c r="I648" s="12">
        <v>0</v>
      </c>
      <c r="J648" s="12">
        <v>0</v>
      </c>
      <c r="K648" s="12">
        <v>0</v>
      </c>
      <c r="L648" s="12">
        <v>0</v>
      </c>
      <c r="M648" s="12">
        <v>0</v>
      </c>
      <c r="N648" s="12">
        <v>0</v>
      </c>
      <c r="O648" s="12">
        <v>0</v>
      </c>
      <c r="P648" s="12">
        <v>0</v>
      </c>
      <c r="Q648" s="12">
        <v>0</v>
      </c>
      <c r="R648" s="12">
        <v>0</v>
      </c>
    </row>
    <row r="649" spans="1:19" x14ac:dyDescent="0.25">
      <c r="A649" s="13">
        <v>45929.617129629631</v>
      </c>
      <c r="B649" t="s">
        <v>348</v>
      </c>
      <c r="C649" t="s">
        <v>363</v>
      </c>
      <c r="D649" t="s">
        <v>20</v>
      </c>
      <c r="E649" t="s">
        <v>11</v>
      </c>
      <c r="F649" t="s">
        <v>15</v>
      </c>
      <c r="G649">
        <v>3</v>
      </c>
      <c r="H649" s="12">
        <v>0</v>
      </c>
      <c r="I649" s="12">
        <v>1</v>
      </c>
      <c r="J649" s="12">
        <v>0</v>
      </c>
      <c r="K649" s="12">
        <v>0</v>
      </c>
      <c r="L649" s="12">
        <v>0</v>
      </c>
      <c r="M649" s="12">
        <v>0</v>
      </c>
      <c r="N649" s="12">
        <v>0</v>
      </c>
      <c r="O649" s="12">
        <v>0</v>
      </c>
      <c r="P649" s="12">
        <v>0</v>
      </c>
      <c r="Q649" s="12">
        <v>0</v>
      </c>
      <c r="R649" s="12">
        <v>0</v>
      </c>
      <c r="S649" t="s">
        <v>185</v>
      </c>
    </row>
    <row r="650" spans="1:19" x14ac:dyDescent="0.25">
      <c r="A650" s="13">
        <v>45929.628125000003</v>
      </c>
      <c r="B650" t="s">
        <v>349</v>
      </c>
      <c r="C650" t="s">
        <v>363</v>
      </c>
      <c r="D650" t="s">
        <v>10</v>
      </c>
      <c r="E650" t="s">
        <v>11</v>
      </c>
      <c r="F650" t="s">
        <v>15</v>
      </c>
      <c r="G650">
        <v>3</v>
      </c>
      <c r="H650" s="12">
        <v>0</v>
      </c>
      <c r="I650" s="12">
        <v>0</v>
      </c>
      <c r="J650" s="12">
        <v>0</v>
      </c>
      <c r="K650" s="12">
        <v>0</v>
      </c>
      <c r="L650" s="12">
        <v>0</v>
      </c>
      <c r="M650" s="12">
        <v>0</v>
      </c>
      <c r="N650" s="12">
        <v>1</v>
      </c>
      <c r="O650" s="12">
        <v>0</v>
      </c>
      <c r="P650" s="12">
        <v>0</v>
      </c>
      <c r="Q650" s="12">
        <v>0</v>
      </c>
      <c r="R650" s="12">
        <v>0</v>
      </c>
    </row>
    <row r="651" spans="1:19" x14ac:dyDescent="0.25">
      <c r="A651" s="13">
        <v>45929.66474537037</v>
      </c>
      <c r="B651" t="s">
        <v>349</v>
      </c>
      <c r="C651" t="s">
        <v>363</v>
      </c>
      <c r="D651" t="s">
        <v>10</v>
      </c>
      <c r="E651" t="s">
        <v>11</v>
      </c>
      <c r="F651" t="s">
        <v>15</v>
      </c>
      <c r="G651">
        <v>3</v>
      </c>
      <c r="H651" s="12">
        <v>0</v>
      </c>
      <c r="I651" s="12">
        <v>0</v>
      </c>
      <c r="J651" s="12">
        <v>0</v>
      </c>
      <c r="K651" s="12">
        <v>0</v>
      </c>
      <c r="L651" s="12">
        <v>0</v>
      </c>
      <c r="M651" s="12">
        <v>0</v>
      </c>
      <c r="N651" s="12">
        <v>0</v>
      </c>
      <c r="O651" s="12">
        <v>1</v>
      </c>
      <c r="P651" s="12">
        <v>0</v>
      </c>
      <c r="Q651" s="12">
        <v>0</v>
      </c>
      <c r="R651" s="12">
        <v>0</v>
      </c>
    </row>
    <row r="652" spans="1:19" x14ac:dyDescent="0.25">
      <c r="A652" s="13">
        <v>45929.665162037039</v>
      </c>
      <c r="B652" t="s">
        <v>349</v>
      </c>
      <c r="C652" t="s">
        <v>363</v>
      </c>
      <c r="D652" t="s">
        <v>10</v>
      </c>
      <c r="E652" t="s">
        <v>11</v>
      </c>
      <c r="F652" t="s">
        <v>14</v>
      </c>
      <c r="G652">
        <v>0.5</v>
      </c>
      <c r="H652" s="12">
        <v>0</v>
      </c>
      <c r="I652" s="12">
        <v>0</v>
      </c>
      <c r="J652" s="12">
        <v>0</v>
      </c>
      <c r="K652" s="12">
        <v>0</v>
      </c>
      <c r="L652" s="12">
        <v>0</v>
      </c>
      <c r="M652" s="12">
        <v>0</v>
      </c>
      <c r="N652" s="12">
        <v>0</v>
      </c>
      <c r="O652" s="12">
        <v>0</v>
      </c>
      <c r="P652" s="12">
        <v>0</v>
      </c>
      <c r="Q652" s="12">
        <v>1</v>
      </c>
      <c r="R652" s="12">
        <v>0</v>
      </c>
    </row>
    <row r="653" spans="1:19" x14ac:dyDescent="0.25">
      <c r="A653" s="13">
        <v>45929.665300925924</v>
      </c>
      <c r="B653" t="s">
        <v>349</v>
      </c>
      <c r="C653" t="s">
        <v>363</v>
      </c>
      <c r="D653" t="s">
        <v>10</v>
      </c>
      <c r="E653" t="s">
        <v>11</v>
      </c>
      <c r="F653" t="s">
        <v>15</v>
      </c>
      <c r="G653">
        <v>3</v>
      </c>
      <c r="H653" s="12">
        <v>0</v>
      </c>
      <c r="I653" s="12">
        <v>0</v>
      </c>
      <c r="J653" s="12">
        <v>0</v>
      </c>
      <c r="K653" s="12">
        <v>0</v>
      </c>
      <c r="L653" s="12">
        <v>0</v>
      </c>
      <c r="M653" s="12">
        <v>0</v>
      </c>
      <c r="N653" s="12">
        <v>0</v>
      </c>
      <c r="O653" s="12">
        <v>0</v>
      </c>
      <c r="P653" s="12">
        <v>1</v>
      </c>
      <c r="Q653" s="12">
        <v>1</v>
      </c>
      <c r="R653" s="12">
        <v>0</v>
      </c>
      <c r="S653" t="s">
        <v>186</v>
      </c>
    </row>
    <row r="654" spans="1:19" x14ac:dyDescent="0.25">
      <c r="A654" s="13">
        <v>45929.670497685183</v>
      </c>
      <c r="B654" t="s">
        <v>353</v>
      </c>
      <c r="C654" t="s">
        <v>363</v>
      </c>
      <c r="D654" t="s">
        <v>10</v>
      </c>
      <c r="E654" t="s">
        <v>11</v>
      </c>
      <c r="F654" t="s">
        <v>12</v>
      </c>
      <c r="G654">
        <v>10.5</v>
      </c>
      <c r="H654" s="12">
        <v>0</v>
      </c>
      <c r="I654" s="12">
        <v>0</v>
      </c>
      <c r="J654" s="12">
        <v>0</v>
      </c>
      <c r="K654" s="12">
        <v>0</v>
      </c>
      <c r="L654" s="12">
        <v>0</v>
      </c>
      <c r="M654" s="12">
        <v>0</v>
      </c>
      <c r="N654" s="12">
        <v>0</v>
      </c>
      <c r="O654" s="12">
        <v>1</v>
      </c>
      <c r="P654" s="12">
        <v>0</v>
      </c>
      <c r="Q654" s="12">
        <v>0</v>
      </c>
      <c r="R654" s="12">
        <v>0</v>
      </c>
    </row>
    <row r="655" spans="1:19" x14ac:dyDescent="0.25">
      <c r="A655" s="13">
        <v>45929.692106481481</v>
      </c>
      <c r="B655" t="s">
        <v>353</v>
      </c>
      <c r="C655" t="s">
        <v>363</v>
      </c>
      <c r="D655" t="s">
        <v>10</v>
      </c>
      <c r="E655" t="s">
        <v>11</v>
      </c>
      <c r="F655" t="s">
        <v>14</v>
      </c>
      <c r="G655">
        <v>0.5</v>
      </c>
      <c r="H655" s="12">
        <v>0</v>
      </c>
      <c r="I655" s="12">
        <v>0</v>
      </c>
      <c r="J655" s="12">
        <v>0</v>
      </c>
      <c r="K655" s="12">
        <v>0</v>
      </c>
      <c r="L655" s="12">
        <v>0</v>
      </c>
      <c r="M655" s="12">
        <v>0</v>
      </c>
      <c r="N655" s="12">
        <v>0</v>
      </c>
      <c r="O655" s="12">
        <v>0</v>
      </c>
      <c r="P655" s="12">
        <v>0</v>
      </c>
      <c r="Q655" s="12">
        <v>1</v>
      </c>
      <c r="R655" s="12">
        <v>0</v>
      </c>
      <c r="S655" t="s">
        <v>187</v>
      </c>
    </row>
    <row r="656" spans="1:19" x14ac:dyDescent="0.25">
      <c r="A656" s="13">
        <v>45929.692407407405</v>
      </c>
      <c r="B656" t="s">
        <v>353</v>
      </c>
      <c r="C656" t="s">
        <v>363</v>
      </c>
      <c r="D656" t="s">
        <v>10</v>
      </c>
      <c r="E656" t="s">
        <v>11</v>
      </c>
      <c r="F656" t="s">
        <v>15</v>
      </c>
      <c r="G656">
        <v>3</v>
      </c>
      <c r="H656" s="12">
        <v>0</v>
      </c>
      <c r="I656" s="12">
        <v>0</v>
      </c>
      <c r="J656" s="12">
        <v>0</v>
      </c>
      <c r="K656" s="12">
        <v>0</v>
      </c>
      <c r="L656" s="12">
        <v>0</v>
      </c>
      <c r="M656" s="12">
        <v>0</v>
      </c>
      <c r="N656" s="12">
        <v>0</v>
      </c>
      <c r="O656" s="12">
        <v>0</v>
      </c>
      <c r="P656" s="12">
        <v>1</v>
      </c>
      <c r="Q656" s="12">
        <v>0</v>
      </c>
      <c r="R656" s="12">
        <v>0</v>
      </c>
      <c r="S656" t="s">
        <v>188</v>
      </c>
    </row>
    <row r="657" spans="1:19" x14ac:dyDescent="0.25">
      <c r="A657" s="13">
        <v>45930.509722222225</v>
      </c>
      <c r="B657" t="s">
        <v>350</v>
      </c>
      <c r="C657" t="s">
        <v>358</v>
      </c>
      <c r="D657" t="s">
        <v>10</v>
      </c>
      <c r="E657" t="s">
        <v>11</v>
      </c>
      <c r="F657" t="s">
        <v>12</v>
      </c>
      <c r="G657">
        <v>10.5</v>
      </c>
      <c r="H657" s="12">
        <v>0</v>
      </c>
      <c r="I657" s="12">
        <v>0</v>
      </c>
      <c r="J657" s="12">
        <v>0</v>
      </c>
      <c r="K657" s="12">
        <v>0</v>
      </c>
      <c r="L657" s="12">
        <v>1</v>
      </c>
      <c r="M657" s="12">
        <v>0</v>
      </c>
      <c r="N657" s="12">
        <v>0</v>
      </c>
      <c r="O657" s="12">
        <v>0</v>
      </c>
      <c r="P657" s="12">
        <v>0</v>
      </c>
      <c r="Q657" s="12">
        <v>0</v>
      </c>
      <c r="R657" s="12">
        <v>0</v>
      </c>
    </row>
    <row r="658" spans="1:19" x14ac:dyDescent="0.25">
      <c r="A658" s="13">
        <v>45930.595983796295</v>
      </c>
      <c r="B658" t="s">
        <v>348</v>
      </c>
      <c r="C658" t="s">
        <v>358</v>
      </c>
      <c r="D658" t="s">
        <v>10</v>
      </c>
      <c r="E658" t="s">
        <v>11</v>
      </c>
      <c r="F658" t="s">
        <v>15</v>
      </c>
      <c r="G658">
        <v>3</v>
      </c>
      <c r="H658" s="12">
        <v>0</v>
      </c>
      <c r="I658" s="12">
        <v>0</v>
      </c>
      <c r="J658" s="12">
        <v>0</v>
      </c>
      <c r="K658" s="12">
        <v>0</v>
      </c>
      <c r="L658" s="12">
        <v>0</v>
      </c>
      <c r="M658" s="12">
        <v>0</v>
      </c>
      <c r="N658" s="12">
        <v>1</v>
      </c>
      <c r="O658" s="12">
        <v>0</v>
      </c>
      <c r="P658" s="12">
        <v>0</v>
      </c>
      <c r="Q658" s="12">
        <v>0</v>
      </c>
      <c r="R658" s="12">
        <v>0</v>
      </c>
    </row>
    <row r="659" spans="1:19" x14ac:dyDescent="0.25">
      <c r="A659" s="13">
        <v>45930.608796296299</v>
      </c>
      <c r="B659" t="s">
        <v>348</v>
      </c>
      <c r="C659" t="s">
        <v>358</v>
      </c>
      <c r="D659" t="s">
        <v>10</v>
      </c>
      <c r="E659" t="s">
        <v>11</v>
      </c>
      <c r="F659" t="s">
        <v>18</v>
      </c>
      <c r="G659">
        <v>20</v>
      </c>
      <c r="H659" s="12">
        <v>0</v>
      </c>
      <c r="I659" s="12">
        <v>0</v>
      </c>
      <c r="J659" s="12">
        <v>0</v>
      </c>
      <c r="K659" s="12">
        <v>0</v>
      </c>
      <c r="L659" s="12">
        <v>1</v>
      </c>
      <c r="M659" s="12">
        <v>0</v>
      </c>
      <c r="N659" s="12">
        <v>0</v>
      </c>
      <c r="O659" s="12">
        <v>0</v>
      </c>
      <c r="P659" s="12">
        <v>0</v>
      </c>
      <c r="Q659" s="12">
        <v>0</v>
      </c>
      <c r="R659" s="12">
        <v>0</v>
      </c>
    </row>
    <row r="660" spans="1:19" x14ac:dyDescent="0.25">
      <c r="A660" s="13">
        <v>45931.445162037038</v>
      </c>
      <c r="B660" t="s">
        <v>347</v>
      </c>
      <c r="C660" t="s">
        <v>359</v>
      </c>
      <c r="D660" t="s">
        <v>10</v>
      </c>
      <c r="E660" t="s">
        <v>11</v>
      </c>
      <c r="F660" t="s">
        <v>18</v>
      </c>
      <c r="G660">
        <v>20</v>
      </c>
      <c r="H660" s="12">
        <v>0</v>
      </c>
      <c r="I660" s="12">
        <v>1</v>
      </c>
      <c r="J660" s="12">
        <v>1</v>
      </c>
      <c r="K660" s="12">
        <v>0</v>
      </c>
      <c r="L660" s="12">
        <v>1</v>
      </c>
      <c r="M660" s="12">
        <v>1</v>
      </c>
      <c r="N660" s="12">
        <v>0</v>
      </c>
      <c r="O660" s="12">
        <v>0</v>
      </c>
      <c r="P660" s="12">
        <v>1</v>
      </c>
      <c r="Q660" s="12">
        <v>0</v>
      </c>
      <c r="R660" s="12">
        <v>0</v>
      </c>
    </row>
    <row r="661" spans="1:19" x14ac:dyDescent="0.25">
      <c r="A661" s="13">
        <v>45931.454976851855</v>
      </c>
      <c r="B661" t="s">
        <v>347</v>
      </c>
      <c r="C661" t="s">
        <v>359</v>
      </c>
      <c r="D661" t="s">
        <v>10</v>
      </c>
      <c r="E661" t="s">
        <v>11</v>
      </c>
      <c r="F661" t="s">
        <v>15</v>
      </c>
      <c r="G661">
        <v>3</v>
      </c>
      <c r="H661" s="12">
        <v>0</v>
      </c>
      <c r="I661" s="12">
        <v>0</v>
      </c>
      <c r="J661" s="12">
        <v>0</v>
      </c>
      <c r="K661" s="12">
        <v>0</v>
      </c>
      <c r="L661" s="12">
        <v>0</v>
      </c>
      <c r="M661" s="12">
        <v>0</v>
      </c>
      <c r="N661" s="12">
        <v>0</v>
      </c>
      <c r="O661" s="12">
        <v>0</v>
      </c>
      <c r="P661" s="12">
        <v>0</v>
      </c>
      <c r="Q661" s="12">
        <v>0</v>
      </c>
      <c r="R661" s="12">
        <v>1</v>
      </c>
      <c r="S661" t="s">
        <v>189</v>
      </c>
    </row>
    <row r="662" spans="1:19" x14ac:dyDescent="0.25">
      <c r="A662" s="13">
        <v>45931.52553240741</v>
      </c>
      <c r="B662" t="s">
        <v>350</v>
      </c>
      <c r="C662" t="s">
        <v>359</v>
      </c>
      <c r="D662" t="s">
        <v>10</v>
      </c>
      <c r="E662" t="s">
        <v>11</v>
      </c>
      <c r="F662" t="s">
        <v>12</v>
      </c>
      <c r="G662">
        <v>10.5</v>
      </c>
      <c r="H662" s="12">
        <v>0</v>
      </c>
      <c r="I662" s="12">
        <v>0</v>
      </c>
      <c r="J662" s="12">
        <v>1</v>
      </c>
      <c r="K662" s="12">
        <v>0</v>
      </c>
      <c r="L662" s="12">
        <v>1</v>
      </c>
      <c r="M662" s="12">
        <v>0</v>
      </c>
      <c r="N662" s="12">
        <v>0</v>
      </c>
      <c r="O662" s="12">
        <v>0</v>
      </c>
      <c r="P662" s="12">
        <v>0</v>
      </c>
      <c r="Q662" s="12">
        <v>0</v>
      </c>
      <c r="R662" s="12">
        <v>0</v>
      </c>
    </row>
    <row r="663" spans="1:19" x14ac:dyDescent="0.25">
      <c r="A663" s="13">
        <v>45931.52584490741</v>
      </c>
      <c r="B663" t="s">
        <v>350</v>
      </c>
      <c r="C663" t="s">
        <v>359</v>
      </c>
      <c r="D663" t="s">
        <v>10</v>
      </c>
      <c r="E663" t="s">
        <v>11</v>
      </c>
      <c r="F663" t="s">
        <v>12</v>
      </c>
      <c r="G663">
        <v>10.5</v>
      </c>
      <c r="H663" s="12">
        <v>0</v>
      </c>
      <c r="I663" s="12">
        <v>0</v>
      </c>
      <c r="J663" s="12">
        <v>0</v>
      </c>
      <c r="K663" s="12">
        <v>0</v>
      </c>
      <c r="L663" s="12">
        <v>0</v>
      </c>
      <c r="M663" s="12">
        <v>0</v>
      </c>
      <c r="N663" s="12">
        <v>1</v>
      </c>
      <c r="O663" s="12">
        <v>1</v>
      </c>
      <c r="P663" s="12">
        <v>0</v>
      </c>
      <c r="Q663" s="12">
        <v>0</v>
      </c>
      <c r="R663" s="12">
        <v>0</v>
      </c>
    </row>
    <row r="664" spans="1:19" x14ac:dyDescent="0.25">
      <c r="A664" s="13">
        <v>45931.526030092595</v>
      </c>
      <c r="B664" t="s">
        <v>350</v>
      </c>
      <c r="C664" t="s">
        <v>359</v>
      </c>
      <c r="D664" t="s">
        <v>10</v>
      </c>
      <c r="E664" t="s">
        <v>11</v>
      </c>
      <c r="F664" t="s">
        <v>15</v>
      </c>
      <c r="G664">
        <v>3</v>
      </c>
      <c r="H664" s="12">
        <v>0</v>
      </c>
      <c r="I664" s="12">
        <v>0</v>
      </c>
      <c r="J664" s="12">
        <v>0</v>
      </c>
      <c r="K664" s="12">
        <v>0</v>
      </c>
      <c r="L664" s="12">
        <v>0</v>
      </c>
      <c r="M664" s="12">
        <v>0</v>
      </c>
      <c r="N664" s="12">
        <v>0</v>
      </c>
      <c r="O664" s="12">
        <v>0</v>
      </c>
      <c r="P664" s="12">
        <v>1</v>
      </c>
      <c r="Q664" s="12">
        <v>0</v>
      </c>
      <c r="R664" s="12">
        <v>0</v>
      </c>
    </row>
    <row r="665" spans="1:19" x14ac:dyDescent="0.25">
      <c r="A665" s="13">
        <v>45931.610011574077</v>
      </c>
      <c r="B665" t="s">
        <v>348</v>
      </c>
      <c r="C665" t="s">
        <v>359</v>
      </c>
      <c r="D665" t="s">
        <v>10</v>
      </c>
      <c r="E665" t="s">
        <v>11</v>
      </c>
      <c r="F665" t="s">
        <v>12</v>
      </c>
      <c r="G665">
        <v>10.5</v>
      </c>
      <c r="H665" s="12">
        <v>0</v>
      </c>
      <c r="I665" s="12">
        <v>0</v>
      </c>
      <c r="J665" s="12">
        <v>1</v>
      </c>
      <c r="K665" s="12">
        <v>0</v>
      </c>
      <c r="L665" s="12">
        <v>1</v>
      </c>
      <c r="M665" s="12">
        <v>0</v>
      </c>
      <c r="N665" s="12">
        <v>0</v>
      </c>
      <c r="O665" s="12">
        <v>0</v>
      </c>
      <c r="P665" s="12">
        <v>1</v>
      </c>
      <c r="Q665" s="12">
        <v>0</v>
      </c>
      <c r="R665" s="12">
        <v>0</v>
      </c>
    </row>
    <row r="666" spans="1:19" x14ac:dyDescent="0.25">
      <c r="A666" s="13">
        <v>45931.610069444447</v>
      </c>
      <c r="B666" t="s">
        <v>348</v>
      </c>
      <c r="C666" t="s">
        <v>359</v>
      </c>
      <c r="D666" t="s">
        <v>10</v>
      </c>
      <c r="E666" t="s">
        <v>11</v>
      </c>
      <c r="F666" t="s">
        <v>15</v>
      </c>
      <c r="G666">
        <v>3</v>
      </c>
      <c r="H666" s="12">
        <v>0</v>
      </c>
      <c r="I666" s="12">
        <v>0</v>
      </c>
      <c r="J666" s="12">
        <v>0</v>
      </c>
      <c r="K666" s="12">
        <v>0</v>
      </c>
      <c r="L666" s="12">
        <v>0</v>
      </c>
      <c r="M666" s="12">
        <v>0</v>
      </c>
      <c r="N666" s="12">
        <v>0</v>
      </c>
      <c r="O666" s="12">
        <v>0</v>
      </c>
      <c r="P666" s="12">
        <v>1</v>
      </c>
      <c r="Q666" s="12">
        <v>0</v>
      </c>
      <c r="R666" s="12">
        <v>0</v>
      </c>
    </row>
    <row r="667" spans="1:19" x14ac:dyDescent="0.25">
      <c r="A667" s="13">
        <v>45931.625983796293</v>
      </c>
      <c r="B667" t="s">
        <v>349</v>
      </c>
      <c r="C667" t="s">
        <v>359</v>
      </c>
      <c r="D667" t="s">
        <v>10</v>
      </c>
      <c r="E667" t="s">
        <v>11</v>
      </c>
      <c r="F667" t="s">
        <v>15</v>
      </c>
      <c r="G667">
        <v>3</v>
      </c>
      <c r="H667" s="12">
        <v>0</v>
      </c>
      <c r="I667" s="12">
        <v>0</v>
      </c>
      <c r="J667" s="12">
        <v>0</v>
      </c>
      <c r="K667" s="12">
        <v>0</v>
      </c>
      <c r="L667" s="12">
        <v>0</v>
      </c>
      <c r="M667" s="12">
        <v>0</v>
      </c>
      <c r="N667" s="12">
        <v>1</v>
      </c>
      <c r="O667" s="12">
        <v>0</v>
      </c>
      <c r="P667" s="12">
        <v>0</v>
      </c>
      <c r="Q667" s="12">
        <v>0</v>
      </c>
      <c r="R667" s="12">
        <v>0</v>
      </c>
    </row>
    <row r="668" spans="1:19" x14ac:dyDescent="0.25">
      <c r="A668" s="13">
        <v>45931.750069444446</v>
      </c>
      <c r="B668" t="s">
        <v>355</v>
      </c>
      <c r="C668" t="s">
        <v>359</v>
      </c>
      <c r="D668" t="s">
        <v>10</v>
      </c>
      <c r="E668" t="s">
        <v>11</v>
      </c>
      <c r="F668" t="s">
        <v>15</v>
      </c>
      <c r="G668">
        <v>3</v>
      </c>
      <c r="H668" s="12">
        <v>0</v>
      </c>
      <c r="I668" s="12">
        <v>0</v>
      </c>
      <c r="J668" s="12">
        <v>0</v>
      </c>
      <c r="K668" s="12">
        <v>0</v>
      </c>
      <c r="L668" s="12">
        <v>0</v>
      </c>
      <c r="M668" s="12">
        <v>0</v>
      </c>
      <c r="N668" s="12">
        <v>1</v>
      </c>
      <c r="O668" s="12">
        <v>0</v>
      </c>
      <c r="P668" s="12">
        <v>0</v>
      </c>
      <c r="Q668" s="12">
        <v>0</v>
      </c>
      <c r="R668" s="12">
        <v>0</v>
      </c>
    </row>
    <row r="669" spans="1:19" x14ac:dyDescent="0.25">
      <c r="A669" s="13">
        <v>45931.750138888892</v>
      </c>
      <c r="B669" t="s">
        <v>355</v>
      </c>
      <c r="C669" t="s">
        <v>359</v>
      </c>
      <c r="D669" t="s">
        <v>10</v>
      </c>
      <c r="E669" t="s">
        <v>11</v>
      </c>
      <c r="F669" t="s">
        <v>15</v>
      </c>
      <c r="G669">
        <v>3</v>
      </c>
      <c r="H669" s="12">
        <v>0</v>
      </c>
      <c r="I669" s="12">
        <v>0</v>
      </c>
      <c r="J669" s="12">
        <v>0</v>
      </c>
      <c r="K669" s="12">
        <v>0</v>
      </c>
      <c r="L669" s="12">
        <v>0</v>
      </c>
      <c r="M669" s="12">
        <v>0</v>
      </c>
      <c r="N669" s="12">
        <v>1</v>
      </c>
      <c r="O669" s="12">
        <v>0</v>
      </c>
      <c r="P669" s="12">
        <v>0</v>
      </c>
      <c r="Q669" s="12">
        <v>0</v>
      </c>
      <c r="R669" s="12">
        <v>0</v>
      </c>
    </row>
    <row r="670" spans="1:19" x14ac:dyDescent="0.25">
      <c r="A670" s="13">
        <v>45931.750439814816</v>
      </c>
      <c r="B670" t="s">
        <v>355</v>
      </c>
      <c r="C670" t="s">
        <v>359</v>
      </c>
      <c r="D670" t="s">
        <v>10</v>
      </c>
      <c r="E670" t="s">
        <v>11</v>
      </c>
      <c r="F670" t="s">
        <v>15</v>
      </c>
      <c r="G670">
        <v>3</v>
      </c>
      <c r="H670" s="12">
        <v>0</v>
      </c>
      <c r="I670" s="12">
        <v>0</v>
      </c>
      <c r="J670" s="12">
        <v>0</v>
      </c>
      <c r="K670" s="12">
        <v>0</v>
      </c>
      <c r="L670" s="12">
        <v>1</v>
      </c>
      <c r="M670" s="12">
        <v>0</v>
      </c>
      <c r="N670" s="12">
        <v>0</v>
      </c>
      <c r="O670" s="12">
        <v>0</v>
      </c>
      <c r="P670" s="12">
        <v>0</v>
      </c>
      <c r="Q670" s="12">
        <v>0</v>
      </c>
      <c r="R670" s="12">
        <v>0</v>
      </c>
    </row>
    <row r="671" spans="1:19" x14ac:dyDescent="0.25">
      <c r="A671" s="13">
        <v>45931.750578703701</v>
      </c>
      <c r="B671" t="s">
        <v>355</v>
      </c>
      <c r="C671" t="s">
        <v>359</v>
      </c>
      <c r="D671" t="s">
        <v>10</v>
      </c>
      <c r="E671" t="s">
        <v>11</v>
      </c>
      <c r="F671" t="s">
        <v>15</v>
      </c>
      <c r="G671">
        <v>3</v>
      </c>
      <c r="H671" s="12">
        <v>0</v>
      </c>
      <c r="I671" s="12">
        <v>0</v>
      </c>
      <c r="J671" s="12">
        <v>0</v>
      </c>
      <c r="K671" s="12">
        <v>0</v>
      </c>
      <c r="L671" s="12">
        <v>0</v>
      </c>
      <c r="M671" s="12">
        <v>0</v>
      </c>
      <c r="N671" s="12">
        <v>0</v>
      </c>
      <c r="O671" s="12">
        <v>1</v>
      </c>
      <c r="P671" s="12">
        <v>0</v>
      </c>
      <c r="Q671" s="12">
        <v>0</v>
      </c>
      <c r="R671" s="12">
        <v>0</v>
      </c>
    </row>
    <row r="672" spans="1:19" x14ac:dyDescent="0.25">
      <c r="A672" s="13">
        <v>45931.750821759262</v>
      </c>
      <c r="B672" t="s">
        <v>355</v>
      </c>
      <c r="C672" t="s">
        <v>359</v>
      </c>
      <c r="D672" t="s">
        <v>10</v>
      </c>
      <c r="E672" t="s">
        <v>11</v>
      </c>
      <c r="F672" t="s">
        <v>14</v>
      </c>
      <c r="G672">
        <v>0.5</v>
      </c>
      <c r="H672" s="12">
        <v>0</v>
      </c>
      <c r="I672" s="12">
        <v>0</v>
      </c>
      <c r="J672" s="12">
        <v>0</v>
      </c>
      <c r="K672" s="12">
        <v>0</v>
      </c>
      <c r="L672" s="12">
        <v>0</v>
      </c>
      <c r="M672" s="12">
        <v>0</v>
      </c>
      <c r="N672" s="12">
        <v>0</v>
      </c>
      <c r="O672" s="12">
        <v>0</v>
      </c>
      <c r="P672" s="12">
        <v>0</v>
      </c>
      <c r="Q672" s="12">
        <v>1</v>
      </c>
      <c r="R672" s="12">
        <v>0</v>
      </c>
    </row>
    <row r="673" spans="1:19" x14ac:dyDescent="0.25">
      <c r="A673" s="13">
        <v>45932.392256944448</v>
      </c>
      <c r="B673" t="s">
        <v>352</v>
      </c>
      <c r="C673" t="s">
        <v>360</v>
      </c>
      <c r="D673" t="s">
        <v>10</v>
      </c>
      <c r="E673" t="s">
        <v>17</v>
      </c>
      <c r="F673" t="s">
        <v>12</v>
      </c>
      <c r="G673">
        <v>10.5</v>
      </c>
      <c r="H673" s="12">
        <v>0</v>
      </c>
      <c r="I673" s="12">
        <v>0</v>
      </c>
      <c r="J673" s="12">
        <v>1</v>
      </c>
      <c r="K673" s="12">
        <v>0</v>
      </c>
      <c r="L673" s="12">
        <v>1</v>
      </c>
      <c r="M673" s="12">
        <v>0</v>
      </c>
      <c r="N673" s="12">
        <v>0</v>
      </c>
      <c r="O673" s="12">
        <v>0</v>
      </c>
      <c r="P673" s="12">
        <v>0</v>
      </c>
      <c r="Q673" s="12">
        <v>0</v>
      </c>
      <c r="R673" s="12">
        <v>0</v>
      </c>
    </row>
    <row r="674" spans="1:19" x14ac:dyDescent="0.25">
      <c r="A674" s="13">
        <v>45932.392488425925</v>
      </c>
      <c r="B674" t="s">
        <v>352</v>
      </c>
      <c r="C674" t="s">
        <v>360</v>
      </c>
      <c r="D674" t="s">
        <v>10</v>
      </c>
      <c r="E674" t="s">
        <v>11</v>
      </c>
      <c r="F674" t="s">
        <v>12</v>
      </c>
      <c r="G674">
        <v>10.5</v>
      </c>
      <c r="H674" s="12">
        <v>1</v>
      </c>
      <c r="I674" s="12">
        <v>0</v>
      </c>
      <c r="J674" s="12">
        <v>1</v>
      </c>
      <c r="K674" s="12">
        <v>0</v>
      </c>
      <c r="L674" s="12">
        <v>0</v>
      </c>
      <c r="M674" s="12">
        <v>1</v>
      </c>
      <c r="N674" s="12">
        <v>0</v>
      </c>
      <c r="O674" s="12">
        <v>0</v>
      </c>
      <c r="P674" s="12">
        <v>0</v>
      </c>
      <c r="Q674" s="12">
        <v>0</v>
      </c>
      <c r="R674" s="12">
        <v>0</v>
      </c>
    </row>
    <row r="675" spans="1:19" x14ac:dyDescent="0.25">
      <c r="A675" s="13">
        <v>45932.41238425926</v>
      </c>
      <c r="B675" t="s">
        <v>352</v>
      </c>
      <c r="C675" t="s">
        <v>360</v>
      </c>
      <c r="D675" t="s">
        <v>10</v>
      </c>
      <c r="E675" t="s">
        <v>11</v>
      </c>
      <c r="F675" t="s">
        <v>14</v>
      </c>
      <c r="G675">
        <v>0.5</v>
      </c>
      <c r="H675" s="12">
        <v>0</v>
      </c>
      <c r="I675" s="12">
        <v>0</v>
      </c>
      <c r="J675" s="12">
        <v>0</v>
      </c>
      <c r="K675" s="12">
        <v>0</v>
      </c>
      <c r="L675" s="12">
        <v>0</v>
      </c>
      <c r="M675" s="12">
        <v>0</v>
      </c>
      <c r="N675" s="12">
        <v>0</v>
      </c>
      <c r="O675" s="12">
        <v>0</v>
      </c>
      <c r="P675" s="12">
        <v>0</v>
      </c>
      <c r="Q675" s="12">
        <v>1</v>
      </c>
      <c r="R675" s="12">
        <v>0</v>
      </c>
    </row>
    <row r="676" spans="1:19" x14ac:dyDescent="0.25">
      <c r="A676" s="13">
        <v>45932.525393518517</v>
      </c>
      <c r="B676" t="s">
        <v>350</v>
      </c>
      <c r="C676" t="s">
        <v>360</v>
      </c>
      <c r="D676" t="s">
        <v>10</v>
      </c>
      <c r="E676" t="s">
        <v>11</v>
      </c>
      <c r="F676" t="s">
        <v>15</v>
      </c>
      <c r="G676">
        <v>3</v>
      </c>
      <c r="H676" s="12">
        <v>0</v>
      </c>
      <c r="I676" s="12">
        <v>0</v>
      </c>
      <c r="J676" s="12">
        <v>0</v>
      </c>
      <c r="K676" s="12">
        <v>0</v>
      </c>
      <c r="L676" s="12">
        <v>0</v>
      </c>
      <c r="M676" s="12">
        <v>0</v>
      </c>
      <c r="N676" s="12">
        <v>0</v>
      </c>
      <c r="O676" s="12">
        <v>0</v>
      </c>
      <c r="P676" s="12">
        <v>1</v>
      </c>
      <c r="Q676" s="12">
        <v>0</v>
      </c>
      <c r="R676" s="12">
        <v>0</v>
      </c>
    </row>
    <row r="677" spans="1:19" x14ac:dyDescent="0.25">
      <c r="A677" s="13">
        <v>45932.525625000002</v>
      </c>
      <c r="B677" t="s">
        <v>350</v>
      </c>
      <c r="C677" t="s">
        <v>360</v>
      </c>
      <c r="D677" t="s">
        <v>10</v>
      </c>
      <c r="E677" t="s">
        <v>11</v>
      </c>
      <c r="F677" t="s">
        <v>12</v>
      </c>
      <c r="G677">
        <v>10.5</v>
      </c>
      <c r="H677" s="12">
        <v>0</v>
      </c>
      <c r="I677" s="12">
        <v>1</v>
      </c>
      <c r="J677" s="12">
        <v>1</v>
      </c>
      <c r="K677" s="12">
        <v>1</v>
      </c>
      <c r="L677" s="12">
        <v>0</v>
      </c>
      <c r="M677" s="12">
        <v>0</v>
      </c>
      <c r="N677" s="12">
        <v>0</v>
      </c>
      <c r="O677" s="12">
        <v>0</v>
      </c>
      <c r="P677" s="12">
        <v>0</v>
      </c>
      <c r="Q677" s="12">
        <v>0</v>
      </c>
      <c r="R677" s="12">
        <v>0</v>
      </c>
    </row>
    <row r="678" spans="1:19" x14ac:dyDescent="0.25">
      <c r="A678" s="13">
        <v>45932.534143518518</v>
      </c>
      <c r="B678" t="s">
        <v>350</v>
      </c>
      <c r="C678" t="s">
        <v>360</v>
      </c>
      <c r="D678" t="s">
        <v>10</v>
      </c>
      <c r="E678" t="s">
        <v>11</v>
      </c>
      <c r="F678" t="s">
        <v>15</v>
      </c>
      <c r="G678">
        <v>3</v>
      </c>
      <c r="H678" s="12">
        <v>0</v>
      </c>
      <c r="I678" s="12">
        <v>0</v>
      </c>
      <c r="J678" s="12">
        <v>0</v>
      </c>
      <c r="K678" s="12">
        <v>0</v>
      </c>
      <c r="L678" s="12">
        <v>0</v>
      </c>
      <c r="M678" s="12">
        <v>0</v>
      </c>
      <c r="N678" s="12">
        <v>0</v>
      </c>
      <c r="O678" s="12">
        <v>0</v>
      </c>
      <c r="P678" s="12">
        <v>1</v>
      </c>
      <c r="Q678" s="12">
        <v>0</v>
      </c>
      <c r="R678" s="12">
        <v>0</v>
      </c>
    </row>
    <row r="679" spans="1:19" x14ac:dyDescent="0.25">
      <c r="A679" s="13">
        <v>45932.599710648145</v>
      </c>
      <c r="B679" t="s">
        <v>348</v>
      </c>
      <c r="C679" t="s">
        <v>360</v>
      </c>
      <c r="D679" t="s">
        <v>10</v>
      </c>
      <c r="E679" t="s">
        <v>11</v>
      </c>
      <c r="F679" t="s">
        <v>18</v>
      </c>
      <c r="G679">
        <v>20</v>
      </c>
      <c r="H679" s="12">
        <v>1</v>
      </c>
      <c r="I679" s="12">
        <v>0</v>
      </c>
      <c r="J679" s="12">
        <v>1</v>
      </c>
      <c r="K679" s="12">
        <v>0</v>
      </c>
      <c r="L679" s="12">
        <v>0</v>
      </c>
      <c r="M679" s="12">
        <v>0</v>
      </c>
      <c r="N679" s="12">
        <v>0</v>
      </c>
      <c r="O679" s="12">
        <v>0</v>
      </c>
      <c r="P679" s="12">
        <v>0</v>
      </c>
      <c r="Q679" s="12">
        <v>0</v>
      </c>
      <c r="R679" s="12">
        <v>0</v>
      </c>
      <c r="S679" t="s">
        <v>190</v>
      </c>
    </row>
    <row r="680" spans="1:19" x14ac:dyDescent="0.25">
      <c r="A680" s="13">
        <v>45932.612708333334</v>
      </c>
      <c r="B680" t="s">
        <v>348</v>
      </c>
      <c r="C680" t="s">
        <v>360</v>
      </c>
      <c r="D680" t="s">
        <v>10</v>
      </c>
      <c r="E680" t="s">
        <v>11</v>
      </c>
      <c r="F680" t="s">
        <v>14</v>
      </c>
      <c r="G680">
        <v>0.5</v>
      </c>
      <c r="H680" s="12">
        <v>0</v>
      </c>
      <c r="I680" s="12">
        <v>0</v>
      </c>
      <c r="J680" s="12">
        <v>0</v>
      </c>
      <c r="K680" s="12">
        <v>0</v>
      </c>
      <c r="L680" s="12">
        <v>0</v>
      </c>
      <c r="M680" s="12">
        <v>0</v>
      </c>
      <c r="N680" s="12">
        <v>0</v>
      </c>
      <c r="O680" s="12">
        <v>0</v>
      </c>
      <c r="P680" s="12">
        <v>0</v>
      </c>
      <c r="Q680" s="12">
        <v>0</v>
      </c>
      <c r="R680" s="12">
        <v>1</v>
      </c>
      <c r="S680" t="s">
        <v>191</v>
      </c>
    </row>
    <row r="681" spans="1:19" x14ac:dyDescent="0.25">
      <c r="A681" s="13">
        <v>45932.622662037036</v>
      </c>
      <c r="B681" t="s">
        <v>348</v>
      </c>
      <c r="C681" t="s">
        <v>360</v>
      </c>
      <c r="D681" t="s">
        <v>10</v>
      </c>
      <c r="E681" t="s">
        <v>11</v>
      </c>
      <c r="F681" t="s">
        <v>12</v>
      </c>
      <c r="G681">
        <v>10.5</v>
      </c>
      <c r="H681" s="12">
        <v>0</v>
      </c>
      <c r="I681" s="12">
        <v>0</v>
      </c>
      <c r="J681" s="12">
        <v>0</v>
      </c>
      <c r="K681" s="12">
        <v>0</v>
      </c>
      <c r="L681" s="12">
        <v>0</v>
      </c>
      <c r="M681" s="12">
        <v>0</v>
      </c>
      <c r="N681" s="12">
        <v>0</v>
      </c>
      <c r="O681" s="12">
        <v>0</v>
      </c>
      <c r="P681" s="12">
        <v>0</v>
      </c>
      <c r="Q681" s="12">
        <v>0</v>
      </c>
      <c r="R681" s="12">
        <v>1</v>
      </c>
      <c r="S681" t="s">
        <v>192</v>
      </c>
    </row>
    <row r="682" spans="1:19" x14ac:dyDescent="0.25">
      <c r="A682" s="13">
        <v>45933.421157407407</v>
      </c>
      <c r="B682" t="s">
        <v>347</v>
      </c>
      <c r="C682" t="s">
        <v>361</v>
      </c>
      <c r="D682" t="s">
        <v>10</v>
      </c>
      <c r="E682" t="s">
        <v>11</v>
      </c>
      <c r="F682" t="s">
        <v>12</v>
      </c>
      <c r="G682">
        <v>10.5</v>
      </c>
      <c r="H682" s="12">
        <v>0</v>
      </c>
      <c r="I682" s="12">
        <v>1</v>
      </c>
      <c r="J682" s="12">
        <v>1</v>
      </c>
      <c r="K682" s="12">
        <v>0</v>
      </c>
      <c r="L682" s="12">
        <v>0</v>
      </c>
      <c r="M682" s="12">
        <v>0</v>
      </c>
      <c r="N682" s="12">
        <v>0</v>
      </c>
      <c r="O682" s="12">
        <v>0</v>
      </c>
      <c r="P682" s="12">
        <v>0</v>
      </c>
      <c r="Q682" s="12">
        <v>0</v>
      </c>
      <c r="R682" s="12">
        <v>0</v>
      </c>
    </row>
    <row r="683" spans="1:19" x14ac:dyDescent="0.25">
      <c r="A683" s="13">
        <v>45933.499918981484</v>
      </c>
      <c r="B683" t="s">
        <v>354</v>
      </c>
      <c r="C683" t="s">
        <v>361</v>
      </c>
      <c r="D683" t="s">
        <v>10</v>
      </c>
      <c r="E683" t="s">
        <v>17</v>
      </c>
      <c r="F683" t="s">
        <v>14</v>
      </c>
      <c r="G683">
        <v>0.5</v>
      </c>
      <c r="H683" s="12">
        <v>0</v>
      </c>
      <c r="I683" s="12">
        <v>0</v>
      </c>
      <c r="J683" s="12">
        <v>0</v>
      </c>
      <c r="K683" s="12">
        <v>0</v>
      </c>
      <c r="L683" s="12">
        <v>0</v>
      </c>
      <c r="M683" s="12">
        <v>0</v>
      </c>
      <c r="N683" s="12">
        <v>0</v>
      </c>
      <c r="O683" s="12">
        <v>0</v>
      </c>
      <c r="P683" s="12">
        <v>0</v>
      </c>
      <c r="Q683" s="12">
        <v>1</v>
      </c>
      <c r="R683" s="12">
        <v>0</v>
      </c>
    </row>
    <row r="684" spans="1:19" x14ac:dyDescent="0.25">
      <c r="A684" s="13">
        <v>45933.551041666666</v>
      </c>
      <c r="B684" t="s">
        <v>351</v>
      </c>
      <c r="C684" t="s">
        <v>361</v>
      </c>
      <c r="D684" t="s">
        <v>20</v>
      </c>
      <c r="E684" t="s">
        <v>11</v>
      </c>
      <c r="F684" t="s">
        <v>18</v>
      </c>
      <c r="G684">
        <v>20</v>
      </c>
      <c r="H684" s="12">
        <v>1</v>
      </c>
      <c r="I684" s="12">
        <v>0</v>
      </c>
      <c r="J684" s="12">
        <v>1</v>
      </c>
      <c r="K684" s="12">
        <v>0</v>
      </c>
      <c r="L684" s="12">
        <v>0</v>
      </c>
      <c r="M684" s="12">
        <v>0</v>
      </c>
      <c r="N684" s="12">
        <v>0</v>
      </c>
      <c r="O684" s="12">
        <v>0</v>
      </c>
      <c r="P684" s="12">
        <v>0</v>
      </c>
      <c r="Q684" s="12">
        <v>0</v>
      </c>
      <c r="R684" s="12">
        <v>0</v>
      </c>
    </row>
    <row r="685" spans="1:19" x14ac:dyDescent="0.25">
      <c r="A685" s="13">
        <v>45933.588287037041</v>
      </c>
      <c r="B685" t="s">
        <v>348</v>
      </c>
      <c r="C685" t="s">
        <v>361</v>
      </c>
      <c r="D685" t="s">
        <v>10</v>
      </c>
      <c r="E685" t="s">
        <v>11</v>
      </c>
      <c r="F685" t="s">
        <v>15</v>
      </c>
      <c r="G685">
        <v>3</v>
      </c>
      <c r="H685" s="12">
        <v>0</v>
      </c>
      <c r="I685" s="12">
        <v>0</v>
      </c>
      <c r="J685" s="12">
        <v>0</v>
      </c>
      <c r="K685" s="12">
        <v>0</v>
      </c>
      <c r="L685" s="12">
        <v>0</v>
      </c>
      <c r="M685" s="12">
        <v>0</v>
      </c>
      <c r="N685" s="12">
        <v>0</v>
      </c>
      <c r="O685" s="12">
        <v>0</v>
      </c>
      <c r="P685" s="12">
        <v>1</v>
      </c>
      <c r="Q685" s="12">
        <v>0</v>
      </c>
      <c r="R685" s="12">
        <v>0</v>
      </c>
    </row>
    <row r="686" spans="1:19" x14ac:dyDescent="0.25">
      <c r="A686" s="13">
        <v>45933.745787037034</v>
      </c>
      <c r="B686" t="s">
        <v>355</v>
      </c>
      <c r="C686" t="s">
        <v>361</v>
      </c>
      <c r="D686" t="s">
        <v>10</v>
      </c>
      <c r="E686" t="s">
        <v>11</v>
      </c>
      <c r="F686" t="s">
        <v>15</v>
      </c>
      <c r="G686">
        <v>3</v>
      </c>
      <c r="H686" s="12">
        <v>0</v>
      </c>
      <c r="I686" s="12">
        <v>0</v>
      </c>
      <c r="J686" s="12">
        <v>0</v>
      </c>
      <c r="K686" s="12">
        <v>0</v>
      </c>
      <c r="L686" s="12">
        <v>0</v>
      </c>
      <c r="M686" s="12">
        <v>0</v>
      </c>
      <c r="N686" s="12">
        <v>0</v>
      </c>
      <c r="O686" s="12">
        <v>0</v>
      </c>
      <c r="P686" s="12">
        <v>0</v>
      </c>
      <c r="Q686" s="12">
        <v>0</v>
      </c>
      <c r="R686" s="12">
        <v>0</v>
      </c>
    </row>
    <row r="687" spans="1:19" x14ac:dyDescent="0.25">
      <c r="A687" s="13">
        <v>45933.745856481481</v>
      </c>
      <c r="B687" t="s">
        <v>355</v>
      </c>
      <c r="C687" t="s">
        <v>361</v>
      </c>
      <c r="D687" t="s">
        <v>10</v>
      </c>
      <c r="E687" t="s">
        <v>11</v>
      </c>
      <c r="F687" t="s">
        <v>15</v>
      </c>
      <c r="G687">
        <v>3</v>
      </c>
      <c r="H687" s="12">
        <v>0</v>
      </c>
      <c r="I687" s="12">
        <v>0</v>
      </c>
      <c r="J687" s="12">
        <v>0</v>
      </c>
      <c r="K687" s="12">
        <v>0</v>
      </c>
      <c r="L687" s="12">
        <v>1</v>
      </c>
      <c r="M687" s="12">
        <v>0</v>
      </c>
      <c r="N687" s="12">
        <v>0</v>
      </c>
      <c r="O687" s="12">
        <v>0</v>
      </c>
      <c r="P687" s="12">
        <v>0</v>
      </c>
      <c r="Q687" s="12">
        <v>0</v>
      </c>
      <c r="R687" s="12">
        <v>0</v>
      </c>
    </row>
    <row r="688" spans="1:19" x14ac:dyDescent="0.25">
      <c r="A688" s="13">
        <v>45933.745949074073</v>
      </c>
      <c r="B688" t="s">
        <v>355</v>
      </c>
      <c r="C688" t="s">
        <v>361</v>
      </c>
      <c r="D688" t="s">
        <v>10</v>
      </c>
      <c r="E688" t="s">
        <v>11</v>
      </c>
      <c r="F688" t="s">
        <v>15</v>
      </c>
      <c r="G688">
        <v>3</v>
      </c>
      <c r="H688" s="12">
        <v>0</v>
      </c>
      <c r="I688" s="12">
        <v>0</v>
      </c>
      <c r="J688" s="12">
        <v>0</v>
      </c>
      <c r="K688" s="12">
        <v>0</v>
      </c>
      <c r="L688" s="12">
        <v>1</v>
      </c>
      <c r="M688" s="12">
        <v>0</v>
      </c>
      <c r="N688" s="12">
        <v>0</v>
      </c>
      <c r="O688" s="12">
        <v>0</v>
      </c>
      <c r="P688" s="12">
        <v>0</v>
      </c>
      <c r="Q688" s="12">
        <v>0</v>
      </c>
      <c r="R688" s="12">
        <v>0</v>
      </c>
    </row>
    <row r="689" spans="1:19" x14ac:dyDescent="0.25">
      <c r="A689" s="13">
        <v>45933.746122685188</v>
      </c>
      <c r="B689" t="s">
        <v>355</v>
      </c>
      <c r="C689" t="s">
        <v>361</v>
      </c>
      <c r="D689" t="s">
        <v>10</v>
      </c>
      <c r="E689" t="s">
        <v>11</v>
      </c>
      <c r="F689" t="s">
        <v>15</v>
      </c>
      <c r="G689">
        <v>3</v>
      </c>
      <c r="H689" s="12">
        <v>0</v>
      </c>
      <c r="I689" s="12">
        <v>0</v>
      </c>
      <c r="J689" s="12">
        <v>0</v>
      </c>
      <c r="K689" s="12">
        <v>0</v>
      </c>
      <c r="L689" s="12">
        <v>0</v>
      </c>
      <c r="M689" s="12">
        <v>1</v>
      </c>
      <c r="N689" s="12">
        <v>0</v>
      </c>
      <c r="O689" s="12">
        <v>0</v>
      </c>
      <c r="P689" s="12">
        <v>0</v>
      </c>
      <c r="Q689" s="12">
        <v>0</v>
      </c>
      <c r="R689" s="12">
        <v>0</v>
      </c>
    </row>
    <row r="690" spans="1:19" x14ac:dyDescent="0.25">
      <c r="A690" s="13">
        <v>45933.746192129627</v>
      </c>
      <c r="B690" t="s">
        <v>355</v>
      </c>
      <c r="C690" t="s">
        <v>361</v>
      </c>
      <c r="D690" t="s">
        <v>10</v>
      </c>
      <c r="E690" t="s">
        <v>11</v>
      </c>
      <c r="F690" t="s">
        <v>15</v>
      </c>
      <c r="G690">
        <v>3</v>
      </c>
      <c r="H690" s="12">
        <v>0</v>
      </c>
      <c r="I690" s="12">
        <v>0</v>
      </c>
      <c r="J690" s="12">
        <v>0</v>
      </c>
      <c r="K690" s="12">
        <v>0</v>
      </c>
      <c r="L690" s="12">
        <v>0</v>
      </c>
      <c r="M690" s="12">
        <v>1</v>
      </c>
      <c r="N690" s="12">
        <v>0</v>
      </c>
      <c r="O690" s="12">
        <v>0</v>
      </c>
      <c r="P690" s="12">
        <v>0</v>
      </c>
      <c r="Q690" s="12">
        <v>0</v>
      </c>
      <c r="R690" s="12">
        <v>0</v>
      </c>
    </row>
    <row r="691" spans="1:19" x14ac:dyDescent="0.25">
      <c r="A691" s="13">
        <v>45933.74627314815</v>
      </c>
      <c r="B691" t="s">
        <v>355</v>
      </c>
      <c r="C691" t="s">
        <v>361</v>
      </c>
      <c r="D691" t="s">
        <v>10</v>
      </c>
      <c r="E691" t="s">
        <v>11</v>
      </c>
      <c r="F691" t="s">
        <v>15</v>
      </c>
      <c r="G691">
        <v>3</v>
      </c>
      <c r="H691" s="12">
        <v>0</v>
      </c>
      <c r="I691" s="12">
        <v>0</v>
      </c>
      <c r="J691" s="12">
        <v>0</v>
      </c>
      <c r="K691" s="12">
        <v>0</v>
      </c>
      <c r="L691" s="12">
        <v>0</v>
      </c>
      <c r="M691" s="12">
        <v>0</v>
      </c>
      <c r="N691" s="12">
        <v>0</v>
      </c>
      <c r="O691" s="12">
        <v>0</v>
      </c>
      <c r="P691" s="12">
        <v>1</v>
      </c>
      <c r="Q691" s="12">
        <v>0</v>
      </c>
      <c r="R691" s="12">
        <v>0</v>
      </c>
    </row>
    <row r="692" spans="1:19" x14ac:dyDescent="0.25">
      <c r="A692" s="13">
        <v>45933.746388888889</v>
      </c>
      <c r="B692" t="s">
        <v>355</v>
      </c>
      <c r="C692" t="s">
        <v>361</v>
      </c>
      <c r="D692" t="s">
        <v>10</v>
      </c>
      <c r="E692" t="s">
        <v>11</v>
      </c>
      <c r="F692" t="s">
        <v>14</v>
      </c>
      <c r="G692">
        <v>0.5</v>
      </c>
      <c r="H692" s="12">
        <v>0</v>
      </c>
      <c r="I692" s="12">
        <v>0</v>
      </c>
      <c r="J692" s="12">
        <v>0</v>
      </c>
      <c r="K692" s="12">
        <v>0</v>
      </c>
      <c r="L692" s="12">
        <v>0</v>
      </c>
      <c r="M692" s="12">
        <v>0</v>
      </c>
      <c r="N692" s="12">
        <v>0</v>
      </c>
      <c r="O692" s="12">
        <v>0</v>
      </c>
      <c r="P692" s="12">
        <v>0</v>
      </c>
      <c r="Q692" s="12">
        <v>1</v>
      </c>
      <c r="R692" s="12">
        <v>0</v>
      </c>
    </row>
    <row r="693" spans="1:19" x14ac:dyDescent="0.25">
      <c r="A693" s="13">
        <v>45933.746550925927</v>
      </c>
      <c r="B693" t="s">
        <v>355</v>
      </c>
      <c r="C693" t="s">
        <v>361</v>
      </c>
      <c r="D693" t="s">
        <v>10</v>
      </c>
      <c r="E693" t="s">
        <v>11</v>
      </c>
      <c r="F693" t="s">
        <v>14</v>
      </c>
      <c r="G693">
        <v>0.5</v>
      </c>
      <c r="H693" s="12">
        <v>1</v>
      </c>
      <c r="I693" s="12">
        <v>0</v>
      </c>
      <c r="J693" s="12">
        <v>1</v>
      </c>
      <c r="K693" s="12">
        <v>0</v>
      </c>
      <c r="L693" s="12">
        <v>0</v>
      </c>
      <c r="M693" s="12">
        <v>0</v>
      </c>
      <c r="N693" s="12">
        <v>0</v>
      </c>
      <c r="O693" s="12">
        <v>0</v>
      </c>
      <c r="P693" s="12">
        <v>0</v>
      </c>
      <c r="Q693" s="12">
        <v>0</v>
      </c>
      <c r="R693" s="12">
        <v>0</v>
      </c>
    </row>
    <row r="694" spans="1:19" x14ac:dyDescent="0.25">
      <c r="A694" s="13">
        <v>45934.403946759259</v>
      </c>
      <c r="B694" t="s">
        <v>352</v>
      </c>
      <c r="C694" t="s">
        <v>362</v>
      </c>
      <c r="D694" t="s">
        <v>10</v>
      </c>
      <c r="E694" t="s">
        <v>11</v>
      </c>
      <c r="F694" t="s">
        <v>12</v>
      </c>
      <c r="G694">
        <v>10.5</v>
      </c>
      <c r="H694" s="12">
        <v>1</v>
      </c>
      <c r="I694" s="12">
        <v>0</v>
      </c>
      <c r="J694" s="12">
        <v>1</v>
      </c>
      <c r="K694" s="12">
        <v>1</v>
      </c>
      <c r="L694" s="12">
        <v>0</v>
      </c>
      <c r="M694" s="12">
        <v>0</v>
      </c>
      <c r="N694" s="12">
        <v>0</v>
      </c>
      <c r="O694" s="12">
        <v>0</v>
      </c>
      <c r="P694" s="12">
        <v>0</v>
      </c>
      <c r="Q694" s="12">
        <v>0</v>
      </c>
      <c r="R694" s="12">
        <v>0</v>
      </c>
      <c r="S694" t="s">
        <v>193</v>
      </c>
    </row>
    <row r="695" spans="1:19" x14ac:dyDescent="0.25">
      <c r="A695" s="13">
        <v>45934.461469907408</v>
      </c>
      <c r="B695" t="s">
        <v>354</v>
      </c>
      <c r="C695" t="s">
        <v>362</v>
      </c>
      <c r="D695" t="s">
        <v>10</v>
      </c>
      <c r="E695" t="s">
        <v>11</v>
      </c>
      <c r="F695" t="s">
        <v>18</v>
      </c>
      <c r="G695">
        <v>20</v>
      </c>
      <c r="H695" s="12">
        <v>0</v>
      </c>
      <c r="I695" s="12">
        <v>0</v>
      </c>
      <c r="J695" s="12">
        <v>0</v>
      </c>
      <c r="K695" s="12">
        <v>0</v>
      </c>
      <c r="L695" s="12">
        <v>1</v>
      </c>
      <c r="M695" s="12">
        <v>0</v>
      </c>
      <c r="N695" s="12">
        <v>0</v>
      </c>
      <c r="O695" s="12">
        <v>0</v>
      </c>
      <c r="P695" s="12">
        <v>0</v>
      </c>
      <c r="Q695" s="12">
        <v>0</v>
      </c>
      <c r="R695" s="12">
        <v>0</v>
      </c>
    </row>
    <row r="696" spans="1:19" x14ac:dyDescent="0.25">
      <c r="A696" s="13">
        <v>45934.461817129632</v>
      </c>
      <c r="B696" t="s">
        <v>354</v>
      </c>
      <c r="C696" t="s">
        <v>362</v>
      </c>
      <c r="D696" t="s">
        <v>10</v>
      </c>
      <c r="E696" t="s">
        <v>11</v>
      </c>
      <c r="F696" t="s">
        <v>12</v>
      </c>
      <c r="G696">
        <v>10.5</v>
      </c>
      <c r="H696" s="12">
        <v>0</v>
      </c>
      <c r="I696" s="12">
        <v>1</v>
      </c>
      <c r="J696" s="12">
        <v>1</v>
      </c>
      <c r="K696" s="12">
        <v>0</v>
      </c>
      <c r="L696" s="12">
        <v>0</v>
      </c>
      <c r="M696" s="12">
        <v>0</v>
      </c>
      <c r="N696" s="12">
        <v>0</v>
      </c>
      <c r="O696" s="12">
        <v>0</v>
      </c>
      <c r="P696" s="12">
        <v>0</v>
      </c>
      <c r="Q696" s="12">
        <v>0</v>
      </c>
      <c r="R696" s="12">
        <v>0</v>
      </c>
      <c r="S696" t="s">
        <v>194</v>
      </c>
    </row>
    <row r="697" spans="1:19" x14ac:dyDescent="0.25">
      <c r="A697" s="13">
        <v>45934.511006944442</v>
      </c>
      <c r="B697" t="s">
        <v>350</v>
      </c>
      <c r="C697" t="s">
        <v>362</v>
      </c>
      <c r="D697" t="s">
        <v>10</v>
      </c>
      <c r="E697" t="s">
        <v>11</v>
      </c>
      <c r="F697" t="s">
        <v>12</v>
      </c>
      <c r="G697">
        <v>10.5</v>
      </c>
      <c r="H697" s="12">
        <v>0</v>
      </c>
      <c r="I697" s="12">
        <v>0</v>
      </c>
      <c r="J697" s="12">
        <v>0</v>
      </c>
      <c r="K697" s="12">
        <v>0</v>
      </c>
      <c r="L697" s="12">
        <v>1</v>
      </c>
      <c r="M697" s="12">
        <v>0</v>
      </c>
      <c r="N697" s="12">
        <v>0</v>
      </c>
      <c r="O697" s="12">
        <v>0</v>
      </c>
      <c r="P697" s="12">
        <v>0</v>
      </c>
      <c r="Q697" s="12">
        <v>0</v>
      </c>
      <c r="R697" s="12">
        <v>0</v>
      </c>
    </row>
    <row r="698" spans="1:19" x14ac:dyDescent="0.25">
      <c r="A698" s="13">
        <v>45936.540636574071</v>
      </c>
      <c r="B698" t="s">
        <v>350</v>
      </c>
      <c r="C698" t="s">
        <v>363</v>
      </c>
      <c r="D698" t="s">
        <v>10</v>
      </c>
      <c r="E698" t="s">
        <v>11</v>
      </c>
      <c r="F698" t="s">
        <v>15</v>
      </c>
      <c r="G698">
        <v>3</v>
      </c>
      <c r="H698" s="12">
        <v>0</v>
      </c>
      <c r="I698" s="12">
        <v>0</v>
      </c>
      <c r="J698" s="12">
        <v>0</v>
      </c>
      <c r="K698" s="12">
        <v>0</v>
      </c>
      <c r="L698" s="12">
        <v>1</v>
      </c>
      <c r="M698" s="12">
        <v>0</v>
      </c>
      <c r="N698" s="12">
        <v>0</v>
      </c>
      <c r="O698" s="12">
        <v>0</v>
      </c>
      <c r="P698" s="12">
        <v>0</v>
      </c>
      <c r="Q698" s="12">
        <v>0</v>
      </c>
      <c r="R698" s="12">
        <v>0</v>
      </c>
    </row>
    <row r="699" spans="1:19" x14ac:dyDescent="0.25">
      <c r="A699" s="13">
        <v>45936.548020833332</v>
      </c>
      <c r="B699" t="s">
        <v>351</v>
      </c>
      <c r="C699" t="s">
        <v>363</v>
      </c>
      <c r="D699" t="s">
        <v>10</v>
      </c>
      <c r="E699" t="s">
        <v>11</v>
      </c>
      <c r="F699" t="s">
        <v>18</v>
      </c>
      <c r="G699">
        <v>20</v>
      </c>
      <c r="H699" s="12">
        <v>1</v>
      </c>
      <c r="I699" s="12">
        <v>0</v>
      </c>
      <c r="J699" s="12">
        <v>0</v>
      </c>
      <c r="K699" s="12">
        <v>0</v>
      </c>
      <c r="L699" s="12">
        <v>1</v>
      </c>
      <c r="M699" s="12">
        <v>0</v>
      </c>
      <c r="N699" s="12">
        <v>1</v>
      </c>
      <c r="O699" s="12">
        <v>0</v>
      </c>
      <c r="P699" s="12">
        <v>0</v>
      </c>
      <c r="Q699" s="12">
        <v>0</v>
      </c>
      <c r="R699" s="12">
        <v>0</v>
      </c>
    </row>
    <row r="700" spans="1:19" x14ac:dyDescent="0.25">
      <c r="A700" s="13">
        <v>45936.593206018515</v>
      </c>
      <c r="B700" t="s">
        <v>348</v>
      </c>
      <c r="C700" t="s">
        <v>363</v>
      </c>
      <c r="D700" t="s">
        <v>10</v>
      </c>
      <c r="E700" t="s">
        <v>17</v>
      </c>
      <c r="F700" t="s">
        <v>15</v>
      </c>
      <c r="G700">
        <v>3</v>
      </c>
      <c r="H700" s="12">
        <v>0</v>
      </c>
      <c r="I700" s="12">
        <v>0</v>
      </c>
      <c r="J700" s="12">
        <v>0</v>
      </c>
      <c r="K700" s="12">
        <v>0</v>
      </c>
      <c r="L700" s="12">
        <v>0</v>
      </c>
      <c r="M700" s="12">
        <v>0</v>
      </c>
      <c r="N700" s="12">
        <v>0</v>
      </c>
      <c r="O700" s="12">
        <v>0</v>
      </c>
      <c r="P700" s="12">
        <v>1</v>
      </c>
      <c r="Q700" s="12">
        <v>0</v>
      </c>
      <c r="R700" s="12">
        <v>0</v>
      </c>
    </row>
    <row r="701" spans="1:19" x14ac:dyDescent="0.25">
      <c r="A701" s="13">
        <v>45936.593611111108</v>
      </c>
      <c r="B701" t="s">
        <v>348</v>
      </c>
      <c r="C701" t="s">
        <v>363</v>
      </c>
      <c r="D701" t="s">
        <v>10</v>
      </c>
      <c r="E701" t="s">
        <v>17</v>
      </c>
      <c r="F701" t="s">
        <v>15</v>
      </c>
      <c r="G701">
        <v>3</v>
      </c>
      <c r="H701" s="12">
        <v>0</v>
      </c>
      <c r="I701" s="12">
        <v>0</v>
      </c>
      <c r="J701" s="12">
        <v>0</v>
      </c>
      <c r="K701" s="12">
        <v>0</v>
      </c>
      <c r="L701" s="12">
        <v>0</v>
      </c>
      <c r="M701" s="12">
        <v>0</v>
      </c>
      <c r="N701" s="12">
        <v>0</v>
      </c>
      <c r="O701" s="12">
        <v>0</v>
      </c>
      <c r="P701" s="12">
        <v>0</v>
      </c>
      <c r="Q701" s="12">
        <v>0</v>
      </c>
      <c r="R701" s="12">
        <v>1</v>
      </c>
      <c r="S701" t="s">
        <v>195</v>
      </c>
    </row>
    <row r="702" spans="1:19" x14ac:dyDescent="0.25">
      <c r="A702" s="13">
        <v>45936.609178240738</v>
      </c>
      <c r="B702" t="s">
        <v>348</v>
      </c>
      <c r="C702" t="s">
        <v>363</v>
      </c>
      <c r="D702" t="s">
        <v>10</v>
      </c>
      <c r="E702" t="s">
        <v>11</v>
      </c>
      <c r="F702" t="s">
        <v>12</v>
      </c>
      <c r="G702">
        <v>10.5</v>
      </c>
      <c r="H702" s="12">
        <v>1</v>
      </c>
      <c r="I702" s="12">
        <v>0</v>
      </c>
      <c r="J702" s="12">
        <v>0</v>
      </c>
      <c r="K702" s="12">
        <v>0</v>
      </c>
      <c r="L702" s="12">
        <v>1</v>
      </c>
      <c r="M702" s="12">
        <v>1</v>
      </c>
      <c r="N702" s="12">
        <v>0</v>
      </c>
      <c r="O702" s="12">
        <v>0</v>
      </c>
      <c r="P702" s="12">
        <v>0</v>
      </c>
      <c r="Q702" s="12">
        <v>0</v>
      </c>
      <c r="R702" s="12">
        <v>0</v>
      </c>
      <c r="S702" t="s">
        <v>196</v>
      </c>
    </row>
    <row r="703" spans="1:19" x14ac:dyDescent="0.25">
      <c r="A703" s="13">
        <v>45936.620451388888</v>
      </c>
      <c r="B703" t="s">
        <v>348</v>
      </c>
      <c r="C703" t="s">
        <v>363</v>
      </c>
      <c r="D703" t="s">
        <v>10</v>
      </c>
      <c r="E703" t="s">
        <v>17</v>
      </c>
      <c r="F703" t="s">
        <v>12</v>
      </c>
      <c r="G703">
        <v>10.5</v>
      </c>
      <c r="H703" s="12">
        <v>0</v>
      </c>
      <c r="I703" s="12">
        <v>0</v>
      </c>
      <c r="J703" s="12">
        <v>0</v>
      </c>
      <c r="K703" s="12">
        <v>0</v>
      </c>
      <c r="L703" s="12">
        <v>1</v>
      </c>
      <c r="M703" s="12">
        <v>0</v>
      </c>
      <c r="N703" s="12">
        <v>0</v>
      </c>
      <c r="O703" s="12">
        <v>0</v>
      </c>
      <c r="P703" s="12">
        <v>0</v>
      </c>
      <c r="Q703" s="12">
        <v>0</v>
      </c>
      <c r="R703" s="12">
        <v>0</v>
      </c>
    </row>
    <row r="704" spans="1:19" x14ac:dyDescent="0.25">
      <c r="A704" s="13">
        <v>45936.627060185187</v>
      </c>
      <c r="B704" t="s">
        <v>349</v>
      </c>
      <c r="C704" t="s">
        <v>363</v>
      </c>
      <c r="D704" t="s">
        <v>10</v>
      </c>
      <c r="E704" t="s">
        <v>11</v>
      </c>
      <c r="F704" t="s">
        <v>15</v>
      </c>
      <c r="G704">
        <v>3</v>
      </c>
      <c r="H704" s="12">
        <v>0</v>
      </c>
      <c r="I704" s="12">
        <v>0</v>
      </c>
      <c r="J704" s="12">
        <v>0</v>
      </c>
      <c r="K704" s="12">
        <v>0</v>
      </c>
      <c r="L704" s="12">
        <v>0</v>
      </c>
      <c r="M704" s="12">
        <v>0</v>
      </c>
      <c r="N704" s="12">
        <v>0</v>
      </c>
      <c r="O704" s="12">
        <v>1</v>
      </c>
      <c r="P704" s="12">
        <v>0</v>
      </c>
      <c r="Q704" s="12">
        <v>0</v>
      </c>
      <c r="R704" s="12">
        <v>0</v>
      </c>
      <c r="S704" t="s">
        <v>197</v>
      </c>
    </row>
    <row r="705" spans="1:19" x14ac:dyDescent="0.25">
      <c r="A705" s="13">
        <v>45936.634305555555</v>
      </c>
      <c r="B705" t="s">
        <v>349</v>
      </c>
      <c r="C705" t="s">
        <v>363</v>
      </c>
      <c r="D705" t="s">
        <v>10</v>
      </c>
      <c r="E705" t="s">
        <v>11</v>
      </c>
      <c r="F705" t="s">
        <v>14</v>
      </c>
      <c r="G705">
        <v>0.5</v>
      </c>
      <c r="H705" s="12">
        <v>0</v>
      </c>
      <c r="I705" s="12">
        <v>0</v>
      </c>
      <c r="J705" s="12">
        <v>0</v>
      </c>
      <c r="K705" s="12">
        <v>0</v>
      </c>
      <c r="L705" s="12">
        <v>0</v>
      </c>
      <c r="M705" s="12">
        <v>0</v>
      </c>
      <c r="N705" s="12">
        <v>0</v>
      </c>
      <c r="O705" s="12">
        <v>0</v>
      </c>
      <c r="P705" s="12">
        <v>0</v>
      </c>
      <c r="Q705" s="12">
        <v>1</v>
      </c>
      <c r="R705" s="12">
        <v>0</v>
      </c>
    </row>
    <row r="706" spans="1:19" x14ac:dyDescent="0.25">
      <c r="A706" s="13">
        <v>45937.594583333332</v>
      </c>
      <c r="B706" t="s">
        <v>348</v>
      </c>
      <c r="C706" t="s">
        <v>358</v>
      </c>
      <c r="D706" t="s">
        <v>20</v>
      </c>
      <c r="E706" t="s">
        <v>11</v>
      </c>
      <c r="F706" t="s">
        <v>12</v>
      </c>
      <c r="G706">
        <v>10.5</v>
      </c>
      <c r="H706" s="12">
        <v>0</v>
      </c>
      <c r="I706" s="12">
        <v>0</v>
      </c>
      <c r="J706" s="12">
        <v>0</v>
      </c>
      <c r="K706" s="12">
        <v>0</v>
      </c>
      <c r="L706" s="12">
        <v>1</v>
      </c>
      <c r="M706" s="12">
        <v>0</v>
      </c>
      <c r="N706" s="12">
        <v>0</v>
      </c>
      <c r="O706" s="12">
        <v>0</v>
      </c>
      <c r="P706" s="12">
        <v>0</v>
      </c>
      <c r="Q706" s="12">
        <v>0</v>
      </c>
      <c r="R706" s="12">
        <v>0</v>
      </c>
    </row>
    <row r="707" spans="1:19" x14ac:dyDescent="0.25">
      <c r="A707" s="13">
        <v>45937.595150462963</v>
      </c>
      <c r="B707" t="s">
        <v>348</v>
      </c>
      <c r="C707" t="s">
        <v>358</v>
      </c>
      <c r="D707" t="s">
        <v>10</v>
      </c>
      <c r="E707" t="s">
        <v>11</v>
      </c>
      <c r="F707" t="s">
        <v>15</v>
      </c>
      <c r="G707">
        <v>3</v>
      </c>
      <c r="H707" s="12">
        <v>0</v>
      </c>
      <c r="I707" s="12">
        <v>0</v>
      </c>
      <c r="J707" s="12">
        <v>0</v>
      </c>
      <c r="K707" s="12">
        <v>0</v>
      </c>
      <c r="L707" s="12">
        <v>0</v>
      </c>
      <c r="M707" s="12">
        <v>0</v>
      </c>
      <c r="N707" s="12">
        <v>0</v>
      </c>
      <c r="O707" s="12">
        <v>0</v>
      </c>
      <c r="P707" s="12">
        <v>0</v>
      </c>
      <c r="Q707" s="12">
        <v>0</v>
      </c>
      <c r="R707" s="12">
        <v>1</v>
      </c>
      <c r="S707" t="s">
        <v>198</v>
      </c>
    </row>
    <row r="708" spans="1:19" x14ac:dyDescent="0.25">
      <c r="A708" s="13">
        <v>45937.607349537036</v>
      </c>
      <c r="B708" t="s">
        <v>348</v>
      </c>
      <c r="C708" t="s">
        <v>358</v>
      </c>
      <c r="D708" t="s">
        <v>10</v>
      </c>
      <c r="E708" t="s">
        <v>11</v>
      </c>
      <c r="F708" t="s">
        <v>14</v>
      </c>
      <c r="G708">
        <v>0.5</v>
      </c>
      <c r="H708" s="12">
        <v>0</v>
      </c>
      <c r="I708" s="12">
        <v>0</v>
      </c>
      <c r="J708" s="12">
        <v>0</v>
      </c>
      <c r="K708" s="12">
        <v>0</v>
      </c>
      <c r="L708" s="12">
        <v>0</v>
      </c>
      <c r="M708" s="12">
        <v>0</v>
      </c>
      <c r="N708" s="12">
        <v>0</v>
      </c>
      <c r="O708" s="12">
        <v>0</v>
      </c>
      <c r="P708" s="12">
        <v>0</v>
      </c>
      <c r="Q708" s="12">
        <v>1</v>
      </c>
      <c r="R708" s="12">
        <v>0</v>
      </c>
    </row>
    <row r="709" spans="1:19" x14ac:dyDescent="0.25">
      <c r="A709" s="13">
        <v>45937.623738425929</v>
      </c>
      <c r="B709" t="s">
        <v>348</v>
      </c>
      <c r="C709" t="s">
        <v>358</v>
      </c>
      <c r="D709" t="s">
        <v>10</v>
      </c>
      <c r="E709" t="s">
        <v>11</v>
      </c>
      <c r="F709" t="s">
        <v>14</v>
      </c>
      <c r="G709">
        <v>0.5</v>
      </c>
      <c r="H709" s="12">
        <v>0</v>
      </c>
      <c r="I709" s="12">
        <v>0</v>
      </c>
      <c r="J709" s="12">
        <v>0</v>
      </c>
      <c r="K709" s="12">
        <v>0</v>
      </c>
      <c r="L709" s="12">
        <v>0</v>
      </c>
      <c r="M709" s="12">
        <v>0</v>
      </c>
      <c r="N709" s="12">
        <v>0</v>
      </c>
      <c r="O709" s="12">
        <v>0</v>
      </c>
      <c r="P709" s="12">
        <v>0</v>
      </c>
      <c r="Q709" s="12">
        <v>0</v>
      </c>
      <c r="R709" s="12">
        <v>1</v>
      </c>
      <c r="S709" t="s">
        <v>199</v>
      </c>
    </row>
    <row r="710" spans="1:19" x14ac:dyDescent="0.25">
      <c r="A710" s="13">
        <v>45937.742280092592</v>
      </c>
      <c r="B710" t="s">
        <v>355</v>
      </c>
      <c r="C710" t="s">
        <v>358</v>
      </c>
      <c r="D710" t="s">
        <v>10</v>
      </c>
      <c r="E710" t="s">
        <v>11</v>
      </c>
      <c r="F710" t="s">
        <v>15</v>
      </c>
      <c r="G710">
        <v>3</v>
      </c>
      <c r="H710" s="12">
        <v>0</v>
      </c>
      <c r="I710" s="12">
        <v>0</v>
      </c>
      <c r="J710" s="12">
        <v>0</v>
      </c>
      <c r="K710" s="12">
        <v>0</v>
      </c>
      <c r="L710" s="12">
        <v>1</v>
      </c>
      <c r="M710" s="12">
        <v>0</v>
      </c>
      <c r="N710" s="12">
        <v>0</v>
      </c>
      <c r="O710" s="12">
        <v>0</v>
      </c>
      <c r="P710" s="12">
        <v>0</v>
      </c>
      <c r="Q710" s="12">
        <v>0</v>
      </c>
      <c r="R710" s="12">
        <v>0</v>
      </c>
    </row>
    <row r="711" spans="1:19" x14ac:dyDescent="0.25">
      <c r="A711" s="13">
        <v>45937.742442129631</v>
      </c>
      <c r="B711" t="s">
        <v>355</v>
      </c>
      <c r="C711" t="s">
        <v>358</v>
      </c>
      <c r="D711" t="s">
        <v>10</v>
      </c>
      <c r="E711" t="s">
        <v>11</v>
      </c>
      <c r="F711" t="s">
        <v>14</v>
      </c>
      <c r="G711">
        <v>0.5</v>
      </c>
      <c r="H711" s="12">
        <v>0</v>
      </c>
      <c r="I711" s="12">
        <v>0</v>
      </c>
      <c r="J711" s="12">
        <v>0</v>
      </c>
      <c r="K711" s="12">
        <v>0</v>
      </c>
      <c r="L711" s="12">
        <v>0</v>
      </c>
      <c r="M711" s="12">
        <v>0</v>
      </c>
      <c r="N711" s="12">
        <v>0</v>
      </c>
      <c r="O711" s="12">
        <v>0</v>
      </c>
      <c r="P711" s="12">
        <v>0</v>
      </c>
      <c r="Q711" s="12">
        <v>1</v>
      </c>
      <c r="R711" s="12">
        <v>0</v>
      </c>
    </row>
    <row r="712" spans="1:19" x14ac:dyDescent="0.25">
      <c r="A712" s="13">
        <v>45937.742789351854</v>
      </c>
      <c r="B712" t="s">
        <v>355</v>
      </c>
      <c r="C712" t="s">
        <v>358</v>
      </c>
      <c r="D712" t="s">
        <v>10</v>
      </c>
      <c r="E712" t="s">
        <v>11</v>
      </c>
      <c r="F712" t="s">
        <v>15</v>
      </c>
      <c r="G712">
        <v>3</v>
      </c>
      <c r="H712" s="12">
        <v>0</v>
      </c>
      <c r="I712" s="12">
        <v>0</v>
      </c>
      <c r="J712" s="12">
        <v>0</v>
      </c>
      <c r="K712" s="12">
        <v>0</v>
      </c>
      <c r="L712" s="12">
        <v>0</v>
      </c>
      <c r="M712" s="12">
        <v>0</v>
      </c>
      <c r="N712" s="12">
        <v>0</v>
      </c>
      <c r="O712" s="12">
        <v>0</v>
      </c>
      <c r="P712" s="12">
        <v>1</v>
      </c>
      <c r="Q712" s="12">
        <v>0</v>
      </c>
      <c r="R712" s="12">
        <v>0</v>
      </c>
    </row>
    <row r="713" spans="1:19" x14ac:dyDescent="0.25">
      <c r="A713" s="13">
        <v>45938.483657407407</v>
      </c>
      <c r="B713" t="s">
        <v>354</v>
      </c>
      <c r="C713" t="s">
        <v>359</v>
      </c>
      <c r="D713" t="s">
        <v>10</v>
      </c>
      <c r="E713" t="s">
        <v>11</v>
      </c>
      <c r="F713" t="s">
        <v>12</v>
      </c>
      <c r="G713">
        <v>10.5</v>
      </c>
      <c r="H713" s="12">
        <v>0</v>
      </c>
      <c r="I713" s="12">
        <v>0</v>
      </c>
      <c r="J713" s="12">
        <v>1</v>
      </c>
      <c r="K713" s="12">
        <v>0</v>
      </c>
      <c r="L713" s="12">
        <v>1</v>
      </c>
      <c r="M713" s="12">
        <v>0</v>
      </c>
      <c r="N713" s="12">
        <v>0</v>
      </c>
      <c r="O713" s="12">
        <v>0</v>
      </c>
      <c r="P713" s="12">
        <v>1</v>
      </c>
      <c r="Q713" s="12">
        <v>0</v>
      </c>
      <c r="R713" s="12">
        <v>0</v>
      </c>
    </row>
    <row r="714" spans="1:19" x14ac:dyDescent="0.25">
      <c r="A714" s="13">
        <v>45938.624340277776</v>
      </c>
      <c r="B714" t="s">
        <v>348</v>
      </c>
      <c r="C714" t="s">
        <v>359</v>
      </c>
      <c r="D714" t="s">
        <v>10</v>
      </c>
      <c r="E714" t="s">
        <v>11</v>
      </c>
      <c r="F714" t="s">
        <v>15</v>
      </c>
      <c r="G714">
        <v>3</v>
      </c>
      <c r="H714" s="12">
        <v>0</v>
      </c>
      <c r="I714" s="12">
        <v>0</v>
      </c>
      <c r="J714" s="12">
        <v>0</v>
      </c>
      <c r="K714" s="12">
        <v>0</v>
      </c>
      <c r="L714" s="12">
        <v>0</v>
      </c>
      <c r="M714" s="12">
        <v>0</v>
      </c>
      <c r="N714" s="12">
        <v>1</v>
      </c>
      <c r="O714" s="12">
        <v>0</v>
      </c>
      <c r="P714" s="12">
        <v>0</v>
      </c>
      <c r="Q714" s="12">
        <v>0</v>
      </c>
      <c r="R714" s="12">
        <v>0</v>
      </c>
    </row>
    <row r="715" spans="1:19" x14ac:dyDescent="0.25">
      <c r="A715" s="13">
        <v>45938.745011574072</v>
      </c>
      <c r="B715" t="s">
        <v>355</v>
      </c>
      <c r="C715" t="s">
        <v>359</v>
      </c>
      <c r="D715" t="s">
        <v>10</v>
      </c>
      <c r="E715" t="s">
        <v>11</v>
      </c>
      <c r="F715" t="s">
        <v>15</v>
      </c>
      <c r="G715">
        <v>3</v>
      </c>
      <c r="H715" s="12">
        <v>1</v>
      </c>
      <c r="I715" s="12">
        <v>0</v>
      </c>
      <c r="J715" s="12">
        <v>1</v>
      </c>
      <c r="K715" s="12">
        <v>0</v>
      </c>
      <c r="L715" s="12">
        <v>0</v>
      </c>
      <c r="M715" s="12">
        <v>0</v>
      </c>
      <c r="N715" s="12">
        <v>0</v>
      </c>
      <c r="O715" s="12">
        <v>0</v>
      </c>
      <c r="P715" s="12">
        <v>0</v>
      </c>
      <c r="Q715" s="12">
        <v>0</v>
      </c>
      <c r="R715" s="12">
        <v>0</v>
      </c>
    </row>
    <row r="716" spans="1:19" x14ac:dyDescent="0.25">
      <c r="A716" s="13">
        <v>45938.745115740741</v>
      </c>
      <c r="B716" t="s">
        <v>355</v>
      </c>
      <c r="C716" t="s">
        <v>359</v>
      </c>
      <c r="D716" t="s">
        <v>10</v>
      </c>
      <c r="E716" t="s">
        <v>11</v>
      </c>
      <c r="F716" t="s">
        <v>15</v>
      </c>
      <c r="G716">
        <v>3</v>
      </c>
      <c r="H716" s="12">
        <v>0</v>
      </c>
      <c r="I716" s="12">
        <v>0</v>
      </c>
      <c r="J716" s="12">
        <v>0</v>
      </c>
      <c r="K716" s="12">
        <v>0</v>
      </c>
      <c r="L716" s="12">
        <v>0</v>
      </c>
      <c r="M716" s="12">
        <v>0</v>
      </c>
      <c r="N716" s="12">
        <v>0</v>
      </c>
      <c r="O716" s="12">
        <v>1</v>
      </c>
      <c r="P716" s="12">
        <v>0</v>
      </c>
      <c r="Q716" s="12">
        <v>0</v>
      </c>
      <c r="R716" s="12">
        <v>0</v>
      </c>
    </row>
    <row r="717" spans="1:19" x14ac:dyDescent="0.25">
      <c r="A717" s="13">
        <v>45938.745243055557</v>
      </c>
      <c r="B717" t="s">
        <v>355</v>
      </c>
      <c r="C717" t="s">
        <v>359</v>
      </c>
      <c r="D717" t="s">
        <v>10</v>
      </c>
      <c r="E717" t="s">
        <v>11</v>
      </c>
      <c r="F717" t="s">
        <v>14</v>
      </c>
      <c r="G717">
        <v>0.5</v>
      </c>
      <c r="H717" s="12">
        <v>0</v>
      </c>
      <c r="I717" s="12">
        <v>0</v>
      </c>
      <c r="J717" s="12">
        <v>0</v>
      </c>
      <c r="K717" s="12">
        <v>0</v>
      </c>
      <c r="L717" s="12">
        <v>0</v>
      </c>
      <c r="M717" s="12">
        <v>0</v>
      </c>
      <c r="N717" s="12">
        <v>0</v>
      </c>
      <c r="O717" s="12">
        <v>0</v>
      </c>
      <c r="P717" s="12">
        <v>0</v>
      </c>
      <c r="Q717" s="12">
        <v>1</v>
      </c>
      <c r="R717" s="12">
        <v>0</v>
      </c>
    </row>
    <row r="718" spans="1:19" x14ac:dyDescent="0.25">
      <c r="A718" s="13">
        <v>45938.745497685188</v>
      </c>
      <c r="B718" t="s">
        <v>355</v>
      </c>
      <c r="C718" t="s">
        <v>359</v>
      </c>
      <c r="D718" t="s">
        <v>10</v>
      </c>
      <c r="E718" t="s">
        <v>11</v>
      </c>
      <c r="F718" t="s">
        <v>15</v>
      </c>
      <c r="G718">
        <v>3</v>
      </c>
      <c r="H718" s="12">
        <v>1</v>
      </c>
      <c r="I718" s="12">
        <v>0</v>
      </c>
      <c r="J718" s="12">
        <v>1</v>
      </c>
      <c r="K718" s="12">
        <v>0</v>
      </c>
      <c r="L718" s="12">
        <v>0</v>
      </c>
      <c r="M718" s="12">
        <v>0</v>
      </c>
      <c r="N718" s="12">
        <v>0</v>
      </c>
      <c r="O718" s="12">
        <v>0</v>
      </c>
      <c r="P718" s="12">
        <v>0</v>
      </c>
      <c r="Q718" s="12">
        <v>0</v>
      </c>
      <c r="R718" s="12">
        <v>0</v>
      </c>
    </row>
    <row r="719" spans="1:19" x14ac:dyDescent="0.25">
      <c r="A719" s="13">
        <v>45939.385335648149</v>
      </c>
      <c r="B719" t="s">
        <v>352</v>
      </c>
      <c r="C719" t="s">
        <v>360</v>
      </c>
      <c r="D719" t="s">
        <v>20</v>
      </c>
      <c r="E719" t="s">
        <v>11</v>
      </c>
      <c r="F719" t="s">
        <v>15</v>
      </c>
      <c r="G719">
        <v>3</v>
      </c>
      <c r="H719" s="12">
        <v>0</v>
      </c>
      <c r="I719" s="12">
        <v>0</v>
      </c>
      <c r="J719" s="12">
        <v>0</v>
      </c>
      <c r="K719" s="12">
        <v>0</v>
      </c>
      <c r="L719" s="12">
        <v>0</v>
      </c>
      <c r="M719" s="12">
        <v>0</v>
      </c>
      <c r="N719" s="12">
        <v>0</v>
      </c>
      <c r="O719" s="12">
        <v>0</v>
      </c>
      <c r="P719" s="12">
        <v>0</v>
      </c>
      <c r="Q719" s="12">
        <v>0</v>
      </c>
      <c r="R719" s="12">
        <v>1</v>
      </c>
      <c r="S719" t="s">
        <v>200</v>
      </c>
    </row>
    <row r="720" spans="1:19" x14ac:dyDescent="0.25">
      <c r="A720" s="13">
        <v>45939.396423611113</v>
      </c>
      <c r="B720" t="s">
        <v>352</v>
      </c>
      <c r="C720" t="s">
        <v>360</v>
      </c>
      <c r="D720" t="s">
        <v>10</v>
      </c>
      <c r="E720" t="s">
        <v>11</v>
      </c>
      <c r="F720" t="s">
        <v>15</v>
      </c>
      <c r="G720">
        <v>3</v>
      </c>
      <c r="H720" s="12">
        <v>1</v>
      </c>
      <c r="I720" s="12">
        <v>0</v>
      </c>
      <c r="J720" s="12">
        <v>0</v>
      </c>
      <c r="K720" s="12">
        <v>0</v>
      </c>
      <c r="L720" s="12">
        <v>0</v>
      </c>
      <c r="M720" s="12">
        <v>0</v>
      </c>
      <c r="N720" s="12">
        <v>0</v>
      </c>
      <c r="O720" s="12">
        <v>0</v>
      </c>
      <c r="P720" s="12">
        <v>0</v>
      </c>
      <c r="Q720" s="12">
        <v>0</v>
      </c>
      <c r="R720" s="12">
        <v>0</v>
      </c>
    </row>
    <row r="721" spans="1:19" x14ac:dyDescent="0.25">
      <c r="A721" s="13">
        <v>45939.396504629629</v>
      </c>
      <c r="B721" t="s">
        <v>352</v>
      </c>
      <c r="C721" t="s">
        <v>360</v>
      </c>
      <c r="D721" t="s">
        <v>20</v>
      </c>
      <c r="E721" t="s">
        <v>11</v>
      </c>
      <c r="F721" t="s">
        <v>12</v>
      </c>
      <c r="G721">
        <v>10.5</v>
      </c>
      <c r="H721" s="12">
        <v>1</v>
      </c>
      <c r="I721" s="12">
        <v>0</v>
      </c>
      <c r="J721" s="12">
        <v>1</v>
      </c>
      <c r="K721" s="12">
        <v>0</v>
      </c>
      <c r="L721" s="12">
        <v>0</v>
      </c>
      <c r="M721" s="12">
        <v>0</v>
      </c>
      <c r="N721" s="12">
        <v>0</v>
      </c>
      <c r="O721" s="12">
        <v>0</v>
      </c>
      <c r="P721" s="12">
        <v>0</v>
      </c>
      <c r="Q721" s="12">
        <v>0</v>
      </c>
      <c r="R721" s="12">
        <v>0</v>
      </c>
    </row>
    <row r="722" spans="1:19" x14ac:dyDescent="0.25">
      <c r="A722" s="13">
        <v>45939.413611111115</v>
      </c>
      <c r="B722" t="s">
        <v>352</v>
      </c>
      <c r="C722" t="s">
        <v>360</v>
      </c>
      <c r="D722" t="s">
        <v>10</v>
      </c>
      <c r="E722" t="s">
        <v>11</v>
      </c>
      <c r="F722" t="s">
        <v>14</v>
      </c>
      <c r="G722">
        <v>0.5</v>
      </c>
      <c r="H722" s="12">
        <v>0</v>
      </c>
      <c r="I722" s="12">
        <v>0</v>
      </c>
      <c r="J722" s="12">
        <v>0</v>
      </c>
      <c r="K722" s="12">
        <v>0</v>
      </c>
      <c r="L722" s="12">
        <v>0</v>
      </c>
      <c r="M722" s="12">
        <v>0</v>
      </c>
      <c r="N722" s="12">
        <v>0</v>
      </c>
      <c r="O722" s="12">
        <v>0</v>
      </c>
      <c r="P722" s="12">
        <v>1</v>
      </c>
      <c r="Q722" s="12">
        <v>0</v>
      </c>
      <c r="R722" s="12">
        <v>0</v>
      </c>
    </row>
    <row r="723" spans="1:19" x14ac:dyDescent="0.25">
      <c r="A723" s="13">
        <v>45939.419351851851</v>
      </c>
      <c r="B723" t="s">
        <v>347</v>
      </c>
      <c r="C723" t="s">
        <v>360</v>
      </c>
      <c r="D723" t="s">
        <v>10</v>
      </c>
      <c r="E723" t="s">
        <v>11</v>
      </c>
      <c r="F723" t="s">
        <v>12</v>
      </c>
      <c r="G723">
        <v>10.5</v>
      </c>
      <c r="H723" s="12">
        <v>1</v>
      </c>
      <c r="I723" s="12">
        <v>0</v>
      </c>
      <c r="J723" s="12">
        <v>0</v>
      </c>
      <c r="K723" s="12">
        <v>0</v>
      </c>
      <c r="L723" s="12">
        <v>0</v>
      </c>
      <c r="M723" s="12">
        <v>0</v>
      </c>
      <c r="N723" s="12">
        <v>0</v>
      </c>
      <c r="O723" s="12">
        <v>0</v>
      </c>
      <c r="P723" s="12">
        <v>0</v>
      </c>
      <c r="Q723" s="12">
        <v>0</v>
      </c>
      <c r="R723" s="12">
        <v>0</v>
      </c>
    </row>
    <row r="724" spans="1:19" x14ac:dyDescent="0.25">
      <c r="A724" s="13">
        <v>45939.44494212963</v>
      </c>
      <c r="B724" t="s">
        <v>347</v>
      </c>
      <c r="C724" t="s">
        <v>360</v>
      </c>
      <c r="D724" t="s">
        <v>20</v>
      </c>
      <c r="E724" t="s">
        <v>11</v>
      </c>
      <c r="F724" t="s">
        <v>12</v>
      </c>
      <c r="G724">
        <v>10.5</v>
      </c>
      <c r="H724" s="12">
        <v>1</v>
      </c>
      <c r="I724" s="12">
        <v>0</v>
      </c>
      <c r="J724" s="12">
        <v>1</v>
      </c>
      <c r="K724" s="12">
        <v>1</v>
      </c>
      <c r="L724" s="12">
        <v>0</v>
      </c>
      <c r="M724" s="12">
        <v>0</v>
      </c>
      <c r="N724" s="12">
        <v>0</v>
      </c>
      <c r="O724" s="12">
        <v>0</v>
      </c>
      <c r="P724" s="12">
        <v>0</v>
      </c>
      <c r="Q724" s="12">
        <v>0</v>
      </c>
      <c r="R724" s="12">
        <v>0</v>
      </c>
    </row>
    <row r="725" spans="1:19" x14ac:dyDescent="0.25">
      <c r="A725" s="13">
        <v>45939.59752314815</v>
      </c>
      <c r="B725" t="s">
        <v>348</v>
      </c>
      <c r="C725" t="s">
        <v>360</v>
      </c>
      <c r="D725" t="s">
        <v>10</v>
      </c>
      <c r="E725" t="s">
        <v>11</v>
      </c>
      <c r="F725" t="s">
        <v>15</v>
      </c>
      <c r="G725">
        <v>3</v>
      </c>
      <c r="H725" s="12">
        <v>0</v>
      </c>
      <c r="I725" s="12">
        <v>0</v>
      </c>
      <c r="J725" s="12">
        <v>0</v>
      </c>
      <c r="K725" s="12">
        <v>0</v>
      </c>
      <c r="L725" s="12">
        <v>0</v>
      </c>
      <c r="M725" s="12">
        <v>0</v>
      </c>
      <c r="N725" s="12">
        <v>1</v>
      </c>
      <c r="O725" s="12">
        <v>0</v>
      </c>
      <c r="P725" s="12">
        <v>0</v>
      </c>
      <c r="Q725" s="12">
        <v>0</v>
      </c>
      <c r="R725" s="12">
        <v>0</v>
      </c>
    </row>
    <row r="726" spans="1:19" x14ac:dyDescent="0.25">
      <c r="A726" s="13">
        <v>45939.627789351849</v>
      </c>
      <c r="B726" t="s">
        <v>349</v>
      </c>
      <c r="C726" t="s">
        <v>360</v>
      </c>
      <c r="D726" t="s">
        <v>10</v>
      </c>
      <c r="E726" t="s">
        <v>11</v>
      </c>
      <c r="F726" t="s">
        <v>15</v>
      </c>
      <c r="G726">
        <v>3</v>
      </c>
      <c r="H726" s="12">
        <v>1</v>
      </c>
      <c r="I726" s="12">
        <v>0</v>
      </c>
      <c r="J726" s="12">
        <v>1</v>
      </c>
      <c r="K726" s="12">
        <v>0</v>
      </c>
      <c r="L726" s="12">
        <v>0</v>
      </c>
      <c r="M726" s="12">
        <v>0</v>
      </c>
      <c r="N726" s="12">
        <v>0</v>
      </c>
      <c r="O726" s="12">
        <v>0</v>
      </c>
      <c r="P726" s="12">
        <v>0</v>
      </c>
      <c r="Q726" s="12">
        <v>0</v>
      </c>
      <c r="R726" s="12">
        <v>0</v>
      </c>
    </row>
    <row r="727" spans="1:19" x14ac:dyDescent="0.25">
      <c r="A727" s="13">
        <v>45940.412592592591</v>
      </c>
      <c r="B727" t="s">
        <v>352</v>
      </c>
      <c r="C727" t="s">
        <v>361</v>
      </c>
      <c r="D727" t="s">
        <v>10</v>
      </c>
      <c r="E727" t="s">
        <v>11</v>
      </c>
      <c r="F727" t="s">
        <v>14</v>
      </c>
      <c r="G727">
        <v>0.5</v>
      </c>
      <c r="H727" s="12">
        <v>0</v>
      </c>
      <c r="I727" s="12">
        <v>0</v>
      </c>
      <c r="J727" s="12">
        <v>0</v>
      </c>
      <c r="K727" s="12">
        <v>0</v>
      </c>
      <c r="L727" s="12">
        <v>0</v>
      </c>
      <c r="M727" s="12">
        <v>0</v>
      </c>
      <c r="N727" s="12">
        <v>0</v>
      </c>
      <c r="O727" s="12">
        <v>0</v>
      </c>
      <c r="P727" s="12">
        <v>1</v>
      </c>
      <c r="Q727" s="12">
        <v>0</v>
      </c>
      <c r="R727" s="12">
        <v>0</v>
      </c>
    </row>
    <row r="728" spans="1:19" x14ac:dyDescent="0.25">
      <c r="A728" s="13">
        <v>45940.497812499998</v>
      </c>
      <c r="B728" t="s">
        <v>354</v>
      </c>
      <c r="C728" t="s">
        <v>361</v>
      </c>
      <c r="D728" t="s">
        <v>10</v>
      </c>
      <c r="E728" t="s">
        <v>11</v>
      </c>
      <c r="F728" t="s">
        <v>15</v>
      </c>
      <c r="G728">
        <v>3</v>
      </c>
      <c r="H728" s="12">
        <v>0</v>
      </c>
      <c r="I728" s="12">
        <v>0</v>
      </c>
      <c r="J728" s="12">
        <v>0</v>
      </c>
      <c r="K728" s="12">
        <v>0</v>
      </c>
      <c r="L728" s="12">
        <v>0</v>
      </c>
      <c r="M728" s="12">
        <v>0</v>
      </c>
      <c r="N728" s="12">
        <v>1</v>
      </c>
      <c r="O728" s="12">
        <v>0</v>
      </c>
      <c r="P728" s="12">
        <v>0</v>
      </c>
      <c r="Q728" s="12">
        <v>0</v>
      </c>
      <c r="R728" s="12">
        <v>0</v>
      </c>
    </row>
    <row r="729" spans="1:19" x14ac:dyDescent="0.25">
      <c r="A729" s="13">
        <v>45940.527986111112</v>
      </c>
      <c r="B729" t="s">
        <v>350</v>
      </c>
      <c r="C729" t="s">
        <v>361</v>
      </c>
      <c r="D729" t="s">
        <v>20</v>
      </c>
      <c r="E729" t="s">
        <v>11</v>
      </c>
      <c r="F729" t="s">
        <v>12</v>
      </c>
      <c r="G729">
        <v>10.5</v>
      </c>
      <c r="H729" s="12">
        <v>1</v>
      </c>
      <c r="I729" s="12">
        <v>0</v>
      </c>
      <c r="J729" s="12">
        <v>1</v>
      </c>
      <c r="K729" s="12">
        <v>0</v>
      </c>
      <c r="L729" s="12">
        <v>0</v>
      </c>
      <c r="M729" s="12">
        <v>0</v>
      </c>
      <c r="N729" s="12">
        <v>0</v>
      </c>
      <c r="O729" s="12">
        <v>0</v>
      </c>
      <c r="P729" s="12">
        <v>0</v>
      </c>
      <c r="Q729" s="12">
        <v>0</v>
      </c>
      <c r="R729" s="12">
        <v>0</v>
      </c>
    </row>
    <row r="730" spans="1:19" x14ac:dyDescent="0.25">
      <c r="A730" s="13">
        <v>45940.547835648147</v>
      </c>
      <c r="B730" t="s">
        <v>351</v>
      </c>
      <c r="C730" t="s">
        <v>361</v>
      </c>
      <c r="D730" t="s">
        <v>20</v>
      </c>
      <c r="E730" t="s">
        <v>11</v>
      </c>
      <c r="F730" t="s">
        <v>12</v>
      </c>
      <c r="G730">
        <v>10.5</v>
      </c>
      <c r="H730" s="12">
        <v>1</v>
      </c>
      <c r="I730" s="12">
        <v>0</v>
      </c>
      <c r="J730" s="12">
        <v>0</v>
      </c>
      <c r="K730" s="12">
        <v>0</v>
      </c>
      <c r="L730" s="12">
        <v>0</v>
      </c>
      <c r="M730" s="12">
        <v>0</v>
      </c>
      <c r="N730" s="12">
        <v>0</v>
      </c>
      <c r="O730" s="12">
        <v>0</v>
      </c>
      <c r="P730" s="12">
        <v>0</v>
      </c>
      <c r="Q730" s="12">
        <v>0</v>
      </c>
      <c r="R730" s="12">
        <v>0</v>
      </c>
      <c r="S730" t="s">
        <v>201</v>
      </c>
    </row>
    <row r="731" spans="1:19" x14ac:dyDescent="0.25">
      <c r="A731" s="13">
        <v>45940.667754629627</v>
      </c>
      <c r="B731" t="s">
        <v>353</v>
      </c>
      <c r="C731" t="s">
        <v>361</v>
      </c>
      <c r="D731" t="s">
        <v>10</v>
      </c>
      <c r="E731" t="s">
        <v>11</v>
      </c>
      <c r="F731" t="s">
        <v>15</v>
      </c>
      <c r="G731">
        <v>3</v>
      </c>
      <c r="H731" s="12">
        <v>0</v>
      </c>
      <c r="I731" s="12">
        <v>0</v>
      </c>
      <c r="J731" s="12">
        <v>0</v>
      </c>
      <c r="K731" s="12">
        <v>0</v>
      </c>
      <c r="L731" s="12">
        <v>0</v>
      </c>
      <c r="M731" s="12">
        <v>0</v>
      </c>
      <c r="N731" s="12">
        <v>0</v>
      </c>
      <c r="O731" s="12">
        <v>0</v>
      </c>
      <c r="P731" s="12">
        <v>0</v>
      </c>
      <c r="Q731" s="12">
        <v>0</v>
      </c>
      <c r="R731" s="12">
        <v>1</v>
      </c>
      <c r="S731" t="s">
        <v>202</v>
      </c>
    </row>
    <row r="732" spans="1:19" x14ac:dyDescent="0.25">
      <c r="A732" s="13">
        <v>45940.667881944442</v>
      </c>
      <c r="B732" t="s">
        <v>353</v>
      </c>
      <c r="C732" t="s">
        <v>361</v>
      </c>
      <c r="D732" t="s">
        <v>10</v>
      </c>
      <c r="E732" t="s">
        <v>11</v>
      </c>
      <c r="F732" t="s">
        <v>15</v>
      </c>
      <c r="G732">
        <v>3</v>
      </c>
      <c r="H732" s="12">
        <v>1</v>
      </c>
      <c r="I732" s="12">
        <v>0</v>
      </c>
      <c r="J732" s="12">
        <v>1</v>
      </c>
      <c r="K732" s="12">
        <v>0</v>
      </c>
      <c r="L732" s="12">
        <v>0</v>
      </c>
      <c r="M732" s="12">
        <v>0</v>
      </c>
      <c r="N732" s="12">
        <v>0</v>
      </c>
      <c r="O732" s="12">
        <v>0</v>
      </c>
      <c r="P732" s="12">
        <v>0</v>
      </c>
      <c r="Q732" s="12">
        <v>0</v>
      </c>
      <c r="R732" s="12">
        <v>0</v>
      </c>
    </row>
    <row r="733" spans="1:19" x14ac:dyDescent="0.25">
      <c r="A733" s="13">
        <v>45940.667974537035</v>
      </c>
      <c r="B733" t="s">
        <v>353</v>
      </c>
      <c r="C733" t="s">
        <v>361</v>
      </c>
      <c r="D733" t="s">
        <v>10</v>
      </c>
      <c r="E733" t="s">
        <v>11</v>
      </c>
      <c r="F733" t="s">
        <v>15</v>
      </c>
      <c r="G733">
        <v>3</v>
      </c>
      <c r="H733" s="12">
        <v>1</v>
      </c>
      <c r="I733" s="12">
        <v>0</v>
      </c>
      <c r="J733" s="12">
        <v>1</v>
      </c>
      <c r="K733" s="12">
        <v>0</v>
      </c>
      <c r="L733" s="12">
        <v>0</v>
      </c>
      <c r="M733" s="12">
        <v>0</v>
      </c>
      <c r="N733" s="12">
        <v>0</v>
      </c>
      <c r="O733" s="12">
        <v>0</v>
      </c>
      <c r="P733" s="12">
        <v>0</v>
      </c>
      <c r="Q733" s="12">
        <v>0</v>
      </c>
      <c r="R733" s="12">
        <v>0</v>
      </c>
    </row>
    <row r="734" spans="1:19" x14ac:dyDescent="0.25">
      <c r="A734" s="13">
        <v>45941.498726851853</v>
      </c>
      <c r="B734" t="s">
        <v>354</v>
      </c>
      <c r="C734" t="s">
        <v>362</v>
      </c>
      <c r="D734" t="s">
        <v>10</v>
      </c>
      <c r="E734" t="s">
        <v>11</v>
      </c>
      <c r="F734" t="s">
        <v>12</v>
      </c>
      <c r="G734">
        <v>10.5</v>
      </c>
      <c r="H734" s="12">
        <v>1</v>
      </c>
      <c r="I734" s="12">
        <v>0</v>
      </c>
      <c r="J734" s="12">
        <v>1</v>
      </c>
      <c r="K734" s="12">
        <v>0</v>
      </c>
      <c r="L734" s="12">
        <v>0</v>
      </c>
      <c r="M734" s="12">
        <v>0</v>
      </c>
      <c r="N734" s="12">
        <v>0</v>
      </c>
      <c r="O734" s="12">
        <v>0</v>
      </c>
      <c r="P734" s="12">
        <v>0</v>
      </c>
      <c r="Q734" s="12">
        <v>0</v>
      </c>
      <c r="R734" s="12">
        <v>0</v>
      </c>
    </row>
    <row r="735" spans="1:19" x14ac:dyDescent="0.25">
      <c r="A735" s="13">
        <v>45941.498819444445</v>
      </c>
      <c r="B735" t="s">
        <v>354</v>
      </c>
      <c r="C735" t="s">
        <v>362</v>
      </c>
      <c r="D735" t="s">
        <v>10</v>
      </c>
      <c r="E735" t="s">
        <v>11</v>
      </c>
      <c r="F735" t="s">
        <v>15</v>
      </c>
      <c r="G735">
        <v>3</v>
      </c>
      <c r="H735" s="12">
        <v>0</v>
      </c>
      <c r="I735" s="12">
        <v>0</v>
      </c>
      <c r="J735" s="12">
        <v>0</v>
      </c>
      <c r="K735" s="12">
        <v>0</v>
      </c>
      <c r="L735" s="12">
        <v>0</v>
      </c>
      <c r="M735" s="12">
        <v>0</v>
      </c>
      <c r="N735" s="12">
        <v>0</v>
      </c>
      <c r="O735" s="12">
        <v>0</v>
      </c>
      <c r="P735" s="12">
        <v>0</v>
      </c>
      <c r="Q735" s="12">
        <v>1</v>
      </c>
      <c r="R735" s="12">
        <v>0</v>
      </c>
    </row>
    <row r="736" spans="1:19" x14ac:dyDescent="0.25">
      <c r="A736" s="13">
        <v>45941.49894675926</v>
      </c>
      <c r="B736" t="s">
        <v>354</v>
      </c>
      <c r="C736" t="s">
        <v>362</v>
      </c>
      <c r="D736" t="s">
        <v>20</v>
      </c>
      <c r="E736" t="s">
        <v>11</v>
      </c>
      <c r="F736" t="s">
        <v>15</v>
      </c>
      <c r="G736">
        <v>3</v>
      </c>
      <c r="H736" s="12">
        <v>0</v>
      </c>
      <c r="I736" s="12">
        <v>0</v>
      </c>
      <c r="J736" s="12">
        <v>0</v>
      </c>
      <c r="K736" s="12">
        <v>0</v>
      </c>
      <c r="L736" s="12">
        <v>0</v>
      </c>
      <c r="M736" s="12">
        <v>0</v>
      </c>
      <c r="N736" s="12">
        <v>0</v>
      </c>
      <c r="O736" s="12">
        <v>0</v>
      </c>
      <c r="P736" s="12">
        <v>0</v>
      </c>
      <c r="Q736" s="12">
        <v>0</v>
      </c>
      <c r="R736" s="12">
        <v>1</v>
      </c>
    </row>
    <row r="737" spans="1:19" x14ac:dyDescent="0.25">
      <c r="A737" s="13">
        <v>45943.445937500001</v>
      </c>
      <c r="B737" t="s">
        <v>347</v>
      </c>
      <c r="C737" t="s">
        <v>363</v>
      </c>
      <c r="D737" t="s">
        <v>10</v>
      </c>
      <c r="E737" t="s">
        <v>11</v>
      </c>
      <c r="F737" t="s">
        <v>12</v>
      </c>
      <c r="G737">
        <v>10.5</v>
      </c>
      <c r="H737" s="12">
        <v>0</v>
      </c>
      <c r="I737" s="12">
        <v>0</v>
      </c>
      <c r="J737" s="12">
        <v>0</v>
      </c>
      <c r="K737" s="12">
        <v>0</v>
      </c>
      <c r="L737" s="12">
        <v>0</v>
      </c>
      <c r="M737" s="12">
        <v>0</v>
      </c>
      <c r="N737" s="12">
        <v>0</v>
      </c>
      <c r="O737" s="12">
        <v>1</v>
      </c>
      <c r="P737" s="12">
        <v>0</v>
      </c>
      <c r="Q737" s="12">
        <v>0</v>
      </c>
      <c r="R737" s="12">
        <v>0</v>
      </c>
      <c r="S737" t="s">
        <v>162</v>
      </c>
    </row>
    <row r="738" spans="1:19" x14ac:dyDescent="0.25">
      <c r="A738" s="13">
        <v>45943.446122685185</v>
      </c>
      <c r="B738" t="s">
        <v>347</v>
      </c>
      <c r="C738" t="s">
        <v>363</v>
      </c>
      <c r="D738" t="s">
        <v>10</v>
      </c>
      <c r="E738" t="s">
        <v>11</v>
      </c>
      <c r="F738" t="s">
        <v>15</v>
      </c>
      <c r="G738">
        <v>3</v>
      </c>
      <c r="H738" s="12">
        <v>0</v>
      </c>
      <c r="I738" s="12">
        <v>0</v>
      </c>
      <c r="J738" s="12">
        <v>0</v>
      </c>
      <c r="K738" s="12">
        <v>0</v>
      </c>
      <c r="L738" s="12">
        <v>0</v>
      </c>
      <c r="M738" s="12">
        <v>0</v>
      </c>
      <c r="N738" s="12">
        <v>0</v>
      </c>
      <c r="O738" s="12">
        <v>1</v>
      </c>
      <c r="P738" s="12">
        <v>0</v>
      </c>
      <c r="Q738" s="12">
        <v>0</v>
      </c>
      <c r="R738" s="12">
        <v>0</v>
      </c>
      <c r="S738" t="s">
        <v>127</v>
      </c>
    </row>
    <row r="739" spans="1:19" x14ac:dyDescent="0.25">
      <c r="A739" s="13">
        <v>45943.457499999997</v>
      </c>
      <c r="B739" t="s">
        <v>347</v>
      </c>
      <c r="C739" t="s">
        <v>363</v>
      </c>
      <c r="D739" t="s">
        <v>10</v>
      </c>
      <c r="E739" t="s">
        <v>11</v>
      </c>
      <c r="F739" t="s">
        <v>12</v>
      </c>
      <c r="G739">
        <v>10.5</v>
      </c>
      <c r="H739" s="12">
        <v>0</v>
      </c>
      <c r="I739" s="12">
        <v>0</v>
      </c>
      <c r="J739" s="12">
        <v>0</v>
      </c>
      <c r="K739" s="12">
        <v>0</v>
      </c>
      <c r="L739" s="12">
        <v>0</v>
      </c>
      <c r="M739" s="12">
        <v>1</v>
      </c>
      <c r="N739" s="12">
        <v>0</v>
      </c>
      <c r="O739" s="12">
        <v>0</v>
      </c>
      <c r="P739" s="12">
        <v>0</v>
      </c>
      <c r="Q739" s="12">
        <v>0</v>
      </c>
      <c r="R739" s="12">
        <v>0</v>
      </c>
    </row>
    <row r="740" spans="1:19" x14ac:dyDescent="0.25">
      <c r="A740" s="13">
        <v>45943.480185185188</v>
      </c>
      <c r="B740" t="s">
        <v>354</v>
      </c>
      <c r="C740" t="s">
        <v>363</v>
      </c>
      <c r="D740" t="s">
        <v>10</v>
      </c>
      <c r="E740" t="s">
        <v>11</v>
      </c>
      <c r="F740" t="s">
        <v>18</v>
      </c>
      <c r="G740">
        <v>20</v>
      </c>
      <c r="H740" s="12">
        <v>0</v>
      </c>
      <c r="I740" s="12">
        <v>0</v>
      </c>
      <c r="J740" s="12">
        <v>1</v>
      </c>
      <c r="K740" s="12">
        <v>0</v>
      </c>
      <c r="L740" s="12">
        <v>1</v>
      </c>
      <c r="M740" s="12">
        <v>0</v>
      </c>
      <c r="N740" s="12">
        <v>0</v>
      </c>
      <c r="O740" s="12">
        <v>0</v>
      </c>
      <c r="P740" s="12">
        <v>1</v>
      </c>
      <c r="Q740" s="12">
        <v>0</v>
      </c>
      <c r="R740" s="12">
        <v>0</v>
      </c>
    </row>
    <row r="741" spans="1:19" x14ac:dyDescent="0.25">
      <c r="A741" s="13">
        <v>45943.505347222221</v>
      </c>
      <c r="B741" t="s">
        <v>350</v>
      </c>
      <c r="C741" t="s">
        <v>363</v>
      </c>
      <c r="D741" t="s">
        <v>10</v>
      </c>
      <c r="E741" t="s">
        <v>11</v>
      </c>
      <c r="F741" t="s">
        <v>12</v>
      </c>
      <c r="G741">
        <v>10.5</v>
      </c>
      <c r="H741" s="12">
        <v>0</v>
      </c>
      <c r="I741" s="12">
        <v>0</v>
      </c>
      <c r="J741" s="12">
        <v>0</v>
      </c>
      <c r="K741" s="12">
        <v>0</v>
      </c>
      <c r="L741" s="12">
        <v>0</v>
      </c>
      <c r="M741" s="12">
        <v>0</v>
      </c>
      <c r="N741" s="12">
        <v>1</v>
      </c>
      <c r="O741" s="12">
        <v>0</v>
      </c>
      <c r="P741" s="12">
        <v>0</v>
      </c>
      <c r="Q741" s="12">
        <v>0</v>
      </c>
      <c r="R741" s="12">
        <v>0</v>
      </c>
    </row>
    <row r="742" spans="1:19" x14ac:dyDescent="0.25">
      <c r="A742" s="13">
        <v>45943.505543981482</v>
      </c>
      <c r="B742" t="s">
        <v>350</v>
      </c>
      <c r="C742" t="s">
        <v>363</v>
      </c>
      <c r="D742" t="s">
        <v>10</v>
      </c>
      <c r="E742" t="s">
        <v>11</v>
      </c>
      <c r="F742" t="s">
        <v>12</v>
      </c>
      <c r="G742">
        <v>10.5</v>
      </c>
      <c r="H742" s="12">
        <v>0</v>
      </c>
      <c r="I742" s="12">
        <v>1</v>
      </c>
      <c r="J742" s="12">
        <v>1</v>
      </c>
      <c r="K742" s="12">
        <v>0</v>
      </c>
      <c r="L742" s="12">
        <v>0</v>
      </c>
      <c r="M742" s="12">
        <v>0</v>
      </c>
      <c r="N742" s="12">
        <v>0</v>
      </c>
      <c r="O742" s="12">
        <v>0</v>
      </c>
      <c r="P742" s="12">
        <v>0</v>
      </c>
      <c r="Q742" s="12">
        <v>0</v>
      </c>
      <c r="R742" s="12">
        <v>0</v>
      </c>
    </row>
    <row r="743" spans="1:19" x14ac:dyDescent="0.25">
      <c r="A743" s="13">
        <v>45943.50576388889</v>
      </c>
      <c r="B743" t="s">
        <v>350</v>
      </c>
      <c r="C743" t="s">
        <v>363</v>
      </c>
      <c r="D743" t="s">
        <v>10</v>
      </c>
      <c r="E743" t="s">
        <v>11</v>
      </c>
      <c r="F743" t="s">
        <v>18</v>
      </c>
      <c r="G743">
        <v>20</v>
      </c>
      <c r="H743" s="12">
        <v>0</v>
      </c>
      <c r="I743" s="12">
        <v>0</v>
      </c>
      <c r="J743" s="12">
        <v>1</v>
      </c>
      <c r="K743" s="12">
        <v>0</v>
      </c>
      <c r="L743" s="12">
        <v>1</v>
      </c>
      <c r="M743" s="12">
        <v>0</v>
      </c>
      <c r="N743" s="12">
        <v>0</v>
      </c>
      <c r="O743" s="12">
        <v>0</v>
      </c>
      <c r="P743" s="12">
        <v>1</v>
      </c>
      <c r="Q743" s="12">
        <v>0</v>
      </c>
      <c r="R743" s="12">
        <v>0</v>
      </c>
    </row>
    <row r="744" spans="1:19" x14ac:dyDescent="0.25">
      <c r="A744" s="13">
        <v>45943.561643518522</v>
      </c>
      <c r="B744" t="s">
        <v>351</v>
      </c>
      <c r="C744" t="s">
        <v>363</v>
      </c>
      <c r="D744" t="s">
        <v>10</v>
      </c>
      <c r="E744" t="s">
        <v>11</v>
      </c>
      <c r="F744" t="s">
        <v>14</v>
      </c>
      <c r="G744">
        <v>0.5</v>
      </c>
      <c r="H744" s="12">
        <v>0</v>
      </c>
      <c r="I744" s="12">
        <v>0</v>
      </c>
      <c r="J744" s="12">
        <v>0</v>
      </c>
      <c r="K744" s="12">
        <v>0</v>
      </c>
      <c r="L744" s="12">
        <v>0</v>
      </c>
      <c r="M744" s="12">
        <v>0</v>
      </c>
      <c r="N744" s="12">
        <v>0</v>
      </c>
      <c r="O744" s="12">
        <v>0</v>
      </c>
      <c r="P744" s="12">
        <v>0</v>
      </c>
      <c r="Q744" s="12">
        <v>1</v>
      </c>
      <c r="R744" s="12">
        <v>0</v>
      </c>
    </row>
    <row r="745" spans="1:19" x14ac:dyDescent="0.25">
      <c r="A745" s="13">
        <v>45943.561712962961</v>
      </c>
      <c r="B745" t="s">
        <v>351</v>
      </c>
      <c r="C745" t="s">
        <v>363</v>
      </c>
      <c r="D745" t="s">
        <v>10</v>
      </c>
      <c r="E745" t="s">
        <v>11</v>
      </c>
      <c r="F745" t="s">
        <v>15</v>
      </c>
      <c r="G745">
        <v>3</v>
      </c>
      <c r="H745" s="12">
        <v>0</v>
      </c>
      <c r="I745" s="12">
        <v>0</v>
      </c>
      <c r="J745" s="12">
        <v>0</v>
      </c>
      <c r="K745" s="12">
        <v>0</v>
      </c>
      <c r="L745" s="12">
        <v>0</v>
      </c>
      <c r="M745" s="12">
        <v>0</v>
      </c>
      <c r="N745" s="12">
        <v>0</v>
      </c>
      <c r="O745" s="12">
        <v>1</v>
      </c>
      <c r="P745" s="12">
        <v>0</v>
      </c>
      <c r="Q745" s="12">
        <v>0</v>
      </c>
      <c r="R745" s="12">
        <v>0</v>
      </c>
    </row>
    <row r="746" spans="1:19" x14ac:dyDescent="0.25">
      <c r="A746" s="13">
        <v>45943.568043981482</v>
      </c>
      <c r="B746" t="s">
        <v>351</v>
      </c>
      <c r="C746" t="s">
        <v>363</v>
      </c>
      <c r="D746" t="s">
        <v>20</v>
      </c>
      <c r="E746" t="s">
        <v>11</v>
      </c>
      <c r="F746" t="s">
        <v>15</v>
      </c>
      <c r="G746">
        <v>3</v>
      </c>
      <c r="H746" s="12">
        <v>0</v>
      </c>
      <c r="I746" s="12">
        <v>1</v>
      </c>
      <c r="J746" s="12">
        <v>0</v>
      </c>
      <c r="K746" s="12">
        <v>0</v>
      </c>
      <c r="L746" s="12">
        <v>0</v>
      </c>
      <c r="M746" s="12">
        <v>0</v>
      </c>
      <c r="N746" s="12">
        <v>0</v>
      </c>
      <c r="O746" s="12">
        <v>0</v>
      </c>
      <c r="P746" s="12">
        <v>1</v>
      </c>
      <c r="Q746" s="12">
        <v>0</v>
      </c>
      <c r="R746" s="12">
        <v>0</v>
      </c>
      <c r="S746" t="s">
        <v>203</v>
      </c>
    </row>
    <row r="747" spans="1:19" x14ac:dyDescent="0.25">
      <c r="A747" s="13">
        <v>45943.569930555554</v>
      </c>
      <c r="B747" t="s">
        <v>351</v>
      </c>
      <c r="C747" t="s">
        <v>363</v>
      </c>
      <c r="D747" t="s">
        <v>10</v>
      </c>
      <c r="E747" t="s">
        <v>11</v>
      </c>
      <c r="F747" t="s">
        <v>14</v>
      </c>
      <c r="G747">
        <v>0.5</v>
      </c>
      <c r="H747" s="12">
        <v>0</v>
      </c>
      <c r="I747" s="12">
        <v>0</v>
      </c>
      <c r="J747" s="12">
        <v>0</v>
      </c>
      <c r="K747" s="12">
        <v>0</v>
      </c>
      <c r="L747" s="12">
        <v>0</v>
      </c>
      <c r="M747" s="12">
        <v>0</v>
      </c>
      <c r="N747" s="12">
        <v>0</v>
      </c>
      <c r="O747" s="12">
        <v>0</v>
      </c>
      <c r="P747" s="12">
        <v>0</v>
      </c>
      <c r="Q747" s="12">
        <v>1</v>
      </c>
      <c r="R747" s="12">
        <v>0</v>
      </c>
    </row>
    <row r="748" spans="1:19" x14ac:dyDescent="0.25">
      <c r="A748" s="13">
        <v>45943.585821759261</v>
      </c>
      <c r="B748" t="s">
        <v>348</v>
      </c>
      <c r="C748" t="s">
        <v>363</v>
      </c>
      <c r="D748" t="s">
        <v>10</v>
      </c>
      <c r="E748" t="s">
        <v>11</v>
      </c>
      <c r="F748" t="s">
        <v>15</v>
      </c>
      <c r="G748">
        <v>3</v>
      </c>
      <c r="H748" s="12">
        <v>0</v>
      </c>
      <c r="I748" s="12">
        <v>1</v>
      </c>
      <c r="J748" s="12">
        <v>0</v>
      </c>
      <c r="K748" s="12">
        <v>0</v>
      </c>
      <c r="L748" s="12">
        <v>0</v>
      </c>
      <c r="M748" s="12">
        <v>0</v>
      </c>
      <c r="N748" s="12">
        <v>0</v>
      </c>
      <c r="O748" s="12">
        <v>0</v>
      </c>
      <c r="P748" s="12">
        <v>0</v>
      </c>
      <c r="Q748" s="12">
        <v>0</v>
      </c>
      <c r="R748" s="12">
        <v>0</v>
      </c>
    </row>
    <row r="749" spans="1:19" x14ac:dyDescent="0.25">
      <c r="A749" s="13">
        <v>45943.6015162037</v>
      </c>
      <c r="B749" t="s">
        <v>348</v>
      </c>
      <c r="C749" t="s">
        <v>363</v>
      </c>
      <c r="D749" t="s">
        <v>20</v>
      </c>
      <c r="E749" t="s">
        <v>11</v>
      </c>
      <c r="F749" t="s">
        <v>15</v>
      </c>
      <c r="G749">
        <v>3</v>
      </c>
      <c r="H749" s="12">
        <v>1</v>
      </c>
      <c r="I749" s="12">
        <v>0</v>
      </c>
      <c r="J749" s="12">
        <v>0</v>
      </c>
      <c r="K749" s="12">
        <v>0</v>
      </c>
      <c r="L749" s="12">
        <v>0</v>
      </c>
      <c r="M749" s="12">
        <v>0</v>
      </c>
      <c r="N749" s="12">
        <v>0</v>
      </c>
      <c r="O749" s="12">
        <v>0</v>
      </c>
      <c r="P749" s="12">
        <v>0</v>
      </c>
      <c r="Q749" s="12">
        <v>0</v>
      </c>
      <c r="R749" s="12">
        <v>0</v>
      </c>
      <c r="S749" t="s">
        <v>204</v>
      </c>
    </row>
    <row r="750" spans="1:19" x14ac:dyDescent="0.25">
      <c r="A750" s="13">
        <v>45943.6246875</v>
      </c>
      <c r="B750" t="s">
        <v>348</v>
      </c>
      <c r="C750" t="s">
        <v>363</v>
      </c>
      <c r="D750" t="s">
        <v>10</v>
      </c>
      <c r="E750" t="s">
        <v>11</v>
      </c>
      <c r="F750" t="s">
        <v>12</v>
      </c>
      <c r="G750">
        <v>10.5</v>
      </c>
      <c r="H750" s="12">
        <v>0</v>
      </c>
      <c r="I750" s="12">
        <v>0</v>
      </c>
      <c r="J750" s="12">
        <v>0</v>
      </c>
      <c r="K750" s="12">
        <v>0</v>
      </c>
      <c r="L750" s="12">
        <v>1</v>
      </c>
      <c r="M750" s="12">
        <v>0</v>
      </c>
      <c r="N750" s="12">
        <v>0</v>
      </c>
      <c r="O750" s="12">
        <v>0</v>
      </c>
      <c r="P750" s="12">
        <v>0</v>
      </c>
      <c r="Q750" s="12">
        <v>0</v>
      </c>
      <c r="R750" s="12">
        <v>1</v>
      </c>
    </row>
    <row r="751" spans="1:19" x14ac:dyDescent="0.25">
      <c r="A751" s="13">
        <v>45943.629780092589</v>
      </c>
      <c r="B751" t="s">
        <v>349</v>
      </c>
      <c r="C751" t="s">
        <v>363</v>
      </c>
      <c r="D751" t="s">
        <v>10</v>
      </c>
      <c r="E751" t="s">
        <v>11</v>
      </c>
      <c r="F751" t="s">
        <v>12</v>
      </c>
      <c r="G751">
        <v>10.5</v>
      </c>
      <c r="H751" s="12">
        <v>0</v>
      </c>
      <c r="I751" s="12">
        <v>0</v>
      </c>
      <c r="J751" s="12">
        <v>0</v>
      </c>
      <c r="K751" s="12">
        <v>0</v>
      </c>
      <c r="L751" s="12">
        <v>1</v>
      </c>
      <c r="M751" s="12">
        <v>0</v>
      </c>
      <c r="N751" s="12">
        <v>0</v>
      </c>
      <c r="O751" s="12">
        <v>0</v>
      </c>
      <c r="P751" s="12">
        <v>0</v>
      </c>
      <c r="Q751" s="12">
        <v>0</v>
      </c>
      <c r="R751" s="12">
        <v>0</v>
      </c>
      <c r="S751" t="s">
        <v>205</v>
      </c>
    </row>
    <row r="752" spans="1:19" x14ac:dyDescent="0.25">
      <c r="A752" s="13">
        <v>45943.64576388889</v>
      </c>
      <c r="B752" t="s">
        <v>349</v>
      </c>
      <c r="C752" t="s">
        <v>363</v>
      </c>
      <c r="D752" t="s">
        <v>10</v>
      </c>
      <c r="E752" t="s">
        <v>11</v>
      </c>
      <c r="F752" t="s">
        <v>18</v>
      </c>
      <c r="G752">
        <v>20</v>
      </c>
      <c r="H752" s="12">
        <v>0</v>
      </c>
      <c r="I752" s="12">
        <v>1</v>
      </c>
      <c r="J752" s="12">
        <v>0</v>
      </c>
      <c r="K752" s="12">
        <v>0</v>
      </c>
      <c r="L752" s="12">
        <v>0</v>
      </c>
      <c r="M752" s="12">
        <v>1</v>
      </c>
      <c r="N752" s="12">
        <v>0</v>
      </c>
      <c r="O752" s="12">
        <v>0</v>
      </c>
      <c r="P752" s="12">
        <v>0</v>
      </c>
      <c r="Q752" s="12">
        <v>1</v>
      </c>
      <c r="R752" s="12">
        <v>1</v>
      </c>
      <c r="S752" t="s">
        <v>206</v>
      </c>
    </row>
    <row r="753" spans="1:19" x14ac:dyDescent="0.25">
      <c r="A753" s="13">
        <v>45943.654699074075</v>
      </c>
      <c r="B753" t="s">
        <v>349</v>
      </c>
      <c r="C753" t="s">
        <v>363</v>
      </c>
      <c r="D753" t="s">
        <v>10</v>
      </c>
      <c r="E753" t="s">
        <v>11</v>
      </c>
      <c r="F753" t="s">
        <v>12</v>
      </c>
      <c r="G753">
        <v>10.5</v>
      </c>
      <c r="H753" s="12">
        <v>1</v>
      </c>
      <c r="I753" s="12">
        <v>0</v>
      </c>
      <c r="J753" s="12">
        <v>0</v>
      </c>
      <c r="K753" s="12">
        <v>0</v>
      </c>
      <c r="L753" s="12">
        <v>0</v>
      </c>
      <c r="M753" s="12">
        <v>0</v>
      </c>
      <c r="N753" s="12">
        <v>0</v>
      </c>
      <c r="O753" s="12">
        <v>0</v>
      </c>
      <c r="P753" s="12">
        <v>0</v>
      </c>
      <c r="Q753" s="12">
        <v>0</v>
      </c>
      <c r="R753" s="12">
        <v>0</v>
      </c>
    </row>
    <row r="754" spans="1:19" x14ac:dyDescent="0.25">
      <c r="A754" s="13">
        <v>45943.65483796296</v>
      </c>
      <c r="B754" t="s">
        <v>349</v>
      </c>
      <c r="C754" t="s">
        <v>363</v>
      </c>
      <c r="D754" t="s">
        <v>10</v>
      </c>
      <c r="E754" t="s">
        <v>11</v>
      </c>
      <c r="F754" t="s">
        <v>14</v>
      </c>
      <c r="G754">
        <v>0.5</v>
      </c>
      <c r="H754" s="12">
        <v>0</v>
      </c>
      <c r="I754" s="12">
        <v>0</v>
      </c>
      <c r="J754" s="12">
        <v>0</v>
      </c>
      <c r="K754" s="12">
        <v>0</v>
      </c>
      <c r="L754" s="12">
        <v>0</v>
      </c>
      <c r="M754" s="12">
        <v>0</v>
      </c>
      <c r="N754" s="12">
        <v>0</v>
      </c>
      <c r="O754" s="12">
        <v>1</v>
      </c>
      <c r="P754" s="12">
        <v>0</v>
      </c>
      <c r="Q754" s="12">
        <v>0</v>
      </c>
      <c r="R754" s="12">
        <v>0</v>
      </c>
      <c r="S754" t="s">
        <v>207</v>
      </c>
    </row>
    <row r="755" spans="1:19" x14ac:dyDescent="0.25">
      <c r="A755" s="13">
        <v>45943.662743055553</v>
      </c>
      <c r="B755" t="s">
        <v>349</v>
      </c>
      <c r="C755" t="s">
        <v>363</v>
      </c>
      <c r="D755" t="s">
        <v>10</v>
      </c>
      <c r="E755" t="s">
        <v>11</v>
      </c>
      <c r="F755" t="s">
        <v>15</v>
      </c>
      <c r="G755">
        <v>3</v>
      </c>
      <c r="H755" s="12">
        <v>0</v>
      </c>
      <c r="I755" s="12">
        <v>0</v>
      </c>
      <c r="J755" s="12">
        <v>0</v>
      </c>
      <c r="K755" s="12">
        <v>0</v>
      </c>
      <c r="L755" s="12">
        <v>0</v>
      </c>
      <c r="M755" s="12">
        <v>1</v>
      </c>
      <c r="N755" s="12">
        <v>0</v>
      </c>
      <c r="O755" s="12">
        <v>0</v>
      </c>
      <c r="P755" s="12">
        <v>1</v>
      </c>
      <c r="Q755" s="12">
        <v>0</v>
      </c>
      <c r="R755" s="12">
        <v>0</v>
      </c>
    </row>
    <row r="756" spans="1:19" x14ac:dyDescent="0.25">
      <c r="A756" s="13">
        <v>45943.712314814817</v>
      </c>
      <c r="B756" t="s">
        <v>355</v>
      </c>
      <c r="C756" t="s">
        <v>363</v>
      </c>
      <c r="D756" t="s">
        <v>10</v>
      </c>
      <c r="E756" t="s">
        <v>11</v>
      </c>
      <c r="F756" t="s">
        <v>15</v>
      </c>
      <c r="G756">
        <v>3</v>
      </c>
      <c r="H756" s="12">
        <v>0</v>
      </c>
      <c r="I756" s="12">
        <v>0</v>
      </c>
      <c r="J756" s="12">
        <v>0</v>
      </c>
      <c r="K756" s="12">
        <v>0</v>
      </c>
      <c r="L756" s="12">
        <v>0</v>
      </c>
      <c r="M756" s="12">
        <v>0</v>
      </c>
      <c r="N756" s="12">
        <v>1</v>
      </c>
      <c r="O756" s="12">
        <v>0</v>
      </c>
      <c r="P756" s="12">
        <v>0</v>
      </c>
      <c r="Q756" s="12">
        <v>0</v>
      </c>
      <c r="R756" s="12">
        <v>0</v>
      </c>
    </row>
    <row r="757" spans="1:19" x14ac:dyDescent="0.25">
      <c r="A757" s="13">
        <v>45944.598923611113</v>
      </c>
      <c r="B757" t="s">
        <v>348</v>
      </c>
      <c r="C757" t="s">
        <v>358</v>
      </c>
      <c r="D757" t="s">
        <v>10</v>
      </c>
      <c r="E757" t="s">
        <v>11</v>
      </c>
      <c r="F757" t="s">
        <v>12</v>
      </c>
      <c r="G757">
        <v>10.5</v>
      </c>
      <c r="H757" s="12">
        <v>0</v>
      </c>
      <c r="I757" s="12">
        <v>0</v>
      </c>
      <c r="J757" s="12">
        <v>0</v>
      </c>
      <c r="K757" s="12">
        <v>0</v>
      </c>
      <c r="L757" s="12">
        <v>1</v>
      </c>
      <c r="M757" s="12">
        <v>0</v>
      </c>
      <c r="N757" s="12">
        <v>0</v>
      </c>
      <c r="O757" s="12">
        <v>0</v>
      </c>
      <c r="P757" s="12">
        <v>0</v>
      </c>
      <c r="Q757" s="12">
        <v>0</v>
      </c>
      <c r="R757" s="12">
        <v>0</v>
      </c>
    </row>
    <row r="758" spans="1:19" x14ac:dyDescent="0.25">
      <c r="A758" s="13">
        <v>45944.611168981479</v>
      </c>
      <c r="B758" t="s">
        <v>348</v>
      </c>
      <c r="C758" t="s">
        <v>358</v>
      </c>
      <c r="D758" t="s">
        <v>10</v>
      </c>
      <c r="E758" t="s">
        <v>11</v>
      </c>
      <c r="F758" t="s">
        <v>14</v>
      </c>
      <c r="G758">
        <v>0.5</v>
      </c>
      <c r="H758" s="12">
        <v>0</v>
      </c>
      <c r="I758" s="12">
        <v>0</v>
      </c>
      <c r="J758" s="12">
        <v>0</v>
      </c>
      <c r="K758" s="12">
        <v>0</v>
      </c>
      <c r="L758" s="12">
        <v>0</v>
      </c>
      <c r="M758" s="12">
        <v>0</v>
      </c>
      <c r="N758" s="12">
        <v>0</v>
      </c>
      <c r="O758" s="12">
        <v>1</v>
      </c>
      <c r="P758" s="12">
        <v>0</v>
      </c>
      <c r="Q758" s="12">
        <v>0</v>
      </c>
      <c r="R758" s="12">
        <v>1</v>
      </c>
    </row>
    <row r="759" spans="1:19" x14ac:dyDescent="0.25">
      <c r="A759" s="13">
        <v>45944.611261574071</v>
      </c>
      <c r="B759" t="s">
        <v>348</v>
      </c>
      <c r="C759" t="s">
        <v>358</v>
      </c>
      <c r="D759" t="s">
        <v>10</v>
      </c>
      <c r="E759" t="s">
        <v>11</v>
      </c>
      <c r="F759" t="s">
        <v>15</v>
      </c>
      <c r="G759">
        <v>3</v>
      </c>
      <c r="H759" s="12">
        <v>1</v>
      </c>
      <c r="I759" s="12">
        <v>0</v>
      </c>
      <c r="J759" s="12">
        <v>1</v>
      </c>
      <c r="K759" s="12">
        <v>0</v>
      </c>
      <c r="L759" s="12">
        <v>0</v>
      </c>
      <c r="M759" s="12">
        <v>0</v>
      </c>
      <c r="N759" s="12">
        <v>0</v>
      </c>
      <c r="O759" s="12">
        <v>0</v>
      </c>
      <c r="P759" s="12">
        <v>0</v>
      </c>
      <c r="Q759" s="12">
        <v>0</v>
      </c>
      <c r="R759" s="12">
        <v>0</v>
      </c>
    </row>
    <row r="760" spans="1:19" x14ac:dyDescent="0.25">
      <c r="A760" s="13">
        <v>45944.637673611112</v>
      </c>
      <c r="B760" t="s">
        <v>349</v>
      </c>
      <c r="C760" t="s">
        <v>358</v>
      </c>
      <c r="D760" t="s">
        <v>10</v>
      </c>
      <c r="E760" t="s">
        <v>11</v>
      </c>
      <c r="F760" t="s">
        <v>18</v>
      </c>
      <c r="G760">
        <v>20</v>
      </c>
      <c r="H760" s="12">
        <v>1</v>
      </c>
      <c r="I760" s="12">
        <v>0</v>
      </c>
      <c r="J760" s="12">
        <v>1</v>
      </c>
      <c r="K760" s="12">
        <v>0</v>
      </c>
      <c r="L760" s="12">
        <v>0</v>
      </c>
      <c r="M760" s="12">
        <v>0</v>
      </c>
      <c r="N760" s="12">
        <v>1</v>
      </c>
      <c r="O760" s="12">
        <v>0</v>
      </c>
      <c r="P760" s="12">
        <v>0</v>
      </c>
      <c r="Q760" s="12">
        <v>0</v>
      </c>
      <c r="R760" s="12">
        <v>0</v>
      </c>
    </row>
    <row r="761" spans="1:19" x14ac:dyDescent="0.25">
      <c r="A761" s="13">
        <v>45944.747245370374</v>
      </c>
      <c r="B761" t="s">
        <v>355</v>
      </c>
      <c r="C761" t="s">
        <v>358</v>
      </c>
      <c r="D761" t="s">
        <v>10</v>
      </c>
      <c r="E761" t="s">
        <v>11</v>
      </c>
      <c r="F761" t="s">
        <v>15</v>
      </c>
      <c r="G761">
        <v>3</v>
      </c>
      <c r="H761" s="12">
        <v>0</v>
      </c>
      <c r="I761" s="12">
        <v>0</v>
      </c>
      <c r="J761" s="12">
        <v>0</v>
      </c>
      <c r="K761" s="12">
        <v>0</v>
      </c>
      <c r="L761" s="12">
        <v>0</v>
      </c>
      <c r="M761" s="12">
        <v>0</v>
      </c>
      <c r="N761" s="12">
        <v>0</v>
      </c>
      <c r="O761" s="12">
        <v>0</v>
      </c>
      <c r="P761" s="12">
        <v>1</v>
      </c>
      <c r="Q761" s="12">
        <v>0</v>
      </c>
      <c r="R761" s="12">
        <v>0</v>
      </c>
    </row>
    <row r="762" spans="1:19" x14ac:dyDescent="0.25">
      <c r="A762" s="13">
        <v>45944.74732638889</v>
      </c>
      <c r="B762" t="s">
        <v>355</v>
      </c>
      <c r="C762" t="s">
        <v>358</v>
      </c>
      <c r="D762" t="s">
        <v>10</v>
      </c>
      <c r="E762" t="s">
        <v>11</v>
      </c>
      <c r="F762" t="s">
        <v>14</v>
      </c>
      <c r="G762">
        <v>0.5</v>
      </c>
      <c r="H762" s="12">
        <v>0</v>
      </c>
      <c r="I762" s="12">
        <v>0</v>
      </c>
      <c r="J762" s="12">
        <v>0</v>
      </c>
      <c r="K762" s="12">
        <v>0</v>
      </c>
      <c r="L762" s="12">
        <v>0</v>
      </c>
      <c r="M762" s="12">
        <v>0</v>
      </c>
      <c r="N762" s="12">
        <v>0</v>
      </c>
      <c r="O762" s="12">
        <v>0</v>
      </c>
      <c r="P762" s="12">
        <v>0</v>
      </c>
      <c r="Q762" s="12">
        <v>1</v>
      </c>
      <c r="R762" s="12">
        <v>0</v>
      </c>
    </row>
    <row r="763" spans="1:19" x14ac:dyDescent="0.25">
      <c r="A763" s="13">
        <v>45944.747407407405</v>
      </c>
      <c r="B763" t="s">
        <v>355</v>
      </c>
      <c r="C763" t="s">
        <v>358</v>
      </c>
      <c r="D763" t="s">
        <v>10</v>
      </c>
      <c r="E763" t="s">
        <v>11</v>
      </c>
      <c r="F763" t="s">
        <v>14</v>
      </c>
      <c r="G763">
        <v>0.5</v>
      </c>
      <c r="H763" s="12">
        <v>0</v>
      </c>
      <c r="I763" s="12">
        <v>0</v>
      </c>
      <c r="J763" s="12">
        <v>0</v>
      </c>
      <c r="K763" s="12">
        <v>0</v>
      </c>
      <c r="L763" s="12">
        <v>0</v>
      </c>
      <c r="M763" s="12">
        <v>0</v>
      </c>
      <c r="N763" s="12">
        <v>0</v>
      </c>
      <c r="O763" s="12">
        <v>0</v>
      </c>
      <c r="P763" s="12">
        <v>0</v>
      </c>
      <c r="Q763" s="12">
        <v>0</v>
      </c>
      <c r="R763" s="12">
        <v>1</v>
      </c>
    </row>
    <row r="764" spans="1:19" x14ac:dyDescent="0.25">
      <c r="A764" s="13">
        <v>45945.418055555558</v>
      </c>
      <c r="B764" t="s">
        <v>347</v>
      </c>
      <c r="C764" t="s">
        <v>359</v>
      </c>
      <c r="D764" t="s">
        <v>20</v>
      </c>
      <c r="E764" t="s">
        <v>11</v>
      </c>
      <c r="F764" t="s">
        <v>12</v>
      </c>
      <c r="G764">
        <v>10.5</v>
      </c>
      <c r="H764" s="12">
        <v>1</v>
      </c>
      <c r="I764" s="12">
        <v>0</v>
      </c>
      <c r="J764" s="12">
        <v>0</v>
      </c>
      <c r="K764" s="12">
        <v>0</v>
      </c>
      <c r="L764" s="12">
        <v>0</v>
      </c>
      <c r="M764" s="12">
        <v>0</v>
      </c>
      <c r="N764" s="12">
        <v>0</v>
      </c>
      <c r="O764" s="12">
        <v>0</v>
      </c>
      <c r="P764" s="12">
        <v>1</v>
      </c>
      <c r="Q764" s="12">
        <v>0</v>
      </c>
      <c r="R764" s="12">
        <v>0</v>
      </c>
    </row>
    <row r="765" spans="1:19" x14ac:dyDescent="0.25">
      <c r="A765" s="13">
        <v>45945.448576388888</v>
      </c>
      <c r="B765" t="s">
        <v>347</v>
      </c>
      <c r="C765" t="s">
        <v>359</v>
      </c>
      <c r="D765" t="s">
        <v>10</v>
      </c>
      <c r="E765" t="s">
        <v>11</v>
      </c>
      <c r="F765" t="s">
        <v>15</v>
      </c>
      <c r="G765">
        <v>3</v>
      </c>
      <c r="H765" s="12">
        <v>0</v>
      </c>
      <c r="I765" s="12">
        <v>0</v>
      </c>
      <c r="J765" s="12">
        <v>0</v>
      </c>
      <c r="K765" s="12">
        <v>0</v>
      </c>
      <c r="L765" s="12">
        <v>0</v>
      </c>
      <c r="M765" s="12">
        <v>0</v>
      </c>
      <c r="N765" s="12">
        <v>0</v>
      </c>
      <c r="O765" s="12">
        <v>1</v>
      </c>
      <c r="P765" s="12">
        <v>1</v>
      </c>
      <c r="Q765" s="12">
        <v>0</v>
      </c>
      <c r="R765" s="12">
        <v>0</v>
      </c>
    </row>
    <row r="766" spans="1:19" x14ac:dyDescent="0.25">
      <c r="A766" s="13">
        <v>45945.500659722224</v>
      </c>
      <c r="B766" t="s">
        <v>350</v>
      </c>
      <c r="C766" t="s">
        <v>359</v>
      </c>
      <c r="D766" t="s">
        <v>10</v>
      </c>
      <c r="E766" t="s">
        <v>11</v>
      </c>
      <c r="F766" t="s">
        <v>15</v>
      </c>
      <c r="G766">
        <v>3</v>
      </c>
      <c r="H766" s="12">
        <v>0</v>
      </c>
      <c r="I766" s="12">
        <v>0</v>
      </c>
      <c r="J766" s="12">
        <v>0</v>
      </c>
      <c r="K766" s="12">
        <v>0</v>
      </c>
      <c r="L766" s="12">
        <v>0</v>
      </c>
      <c r="M766" s="12">
        <v>0</v>
      </c>
      <c r="N766" s="12">
        <v>0</v>
      </c>
      <c r="O766" s="12">
        <v>0</v>
      </c>
      <c r="P766" s="12">
        <v>0</v>
      </c>
      <c r="Q766" s="12">
        <v>1</v>
      </c>
      <c r="R766" s="12">
        <v>0</v>
      </c>
    </row>
    <row r="767" spans="1:19" x14ac:dyDescent="0.25">
      <c r="A767" s="13">
        <v>45945.501076388886</v>
      </c>
      <c r="B767" t="s">
        <v>350</v>
      </c>
      <c r="C767" t="s">
        <v>359</v>
      </c>
      <c r="D767" t="s">
        <v>20</v>
      </c>
      <c r="E767" t="s">
        <v>11</v>
      </c>
      <c r="F767" t="s">
        <v>15</v>
      </c>
      <c r="G767">
        <v>3</v>
      </c>
      <c r="H767" s="12">
        <v>0</v>
      </c>
      <c r="I767" s="12">
        <v>0</v>
      </c>
      <c r="J767" s="12">
        <v>0</v>
      </c>
      <c r="K767" s="12">
        <v>0</v>
      </c>
      <c r="L767" s="12">
        <v>0</v>
      </c>
      <c r="M767" s="12">
        <v>0</v>
      </c>
      <c r="N767" s="12">
        <v>0</v>
      </c>
      <c r="O767" s="12">
        <v>0</v>
      </c>
      <c r="P767" s="12">
        <v>1</v>
      </c>
      <c r="Q767" s="12">
        <v>0</v>
      </c>
      <c r="R767" s="12">
        <v>0</v>
      </c>
    </row>
    <row r="768" spans="1:19" x14ac:dyDescent="0.25">
      <c r="A768" s="13">
        <v>45945.582951388889</v>
      </c>
      <c r="B768" t="s">
        <v>351</v>
      </c>
      <c r="C768" t="s">
        <v>359</v>
      </c>
      <c r="D768" t="s">
        <v>10</v>
      </c>
      <c r="E768" t="s">
        <v>11</v>
      </c>
      <c r="F768" t="s">
        <v>12</v>
      </c>
      <c r="G768">
        <v>10.5</v>
      </c>
      <c r="H768" s="12">
        <v>0</v>
      </c>
      <c r="I768" s="12">
        <v>0</v>
      </c>
      <c r="J768" s="12">
        <v>1</v>
      </c>
      <c r="K768" s="12">
        <v>0</v>
      </c>
      <c r="L768" s="12">
        <v>0</v>
      </c>
      <c r="M768" s="12">
        <v>1</v>
      </c>
      <c r="N768" s="12">
        <v>0</v>
      </c>
      <c r="O768" s="12">
        <v>0</v>
      </c>
      <c r="P768" s="12">
        <v>0</v>
      </c>
      <c r="Q768" s="12">
        <v>0</v>
      </c>
      <c r="R768" s="12">
        <v>0</v>
      </c>
    </row>
    <row r="769" spans="1:19" x14ac:dyDescent="0.25">
      <c r="A769" s="13">
        <v>45945.583113425928</v>
      </c>
      <c r="B769" t="s">
        <v>351</v>
      </c>
      <c r="C769" t="s">
        <v>359</v>
      </c>
      <c r="D769" t="s">
        <v>10</v>
      </c>
      <c r="E769" t="s">
        <v>11</v>
      </c>
      <c r="F769" t="s">
        <v>14</v>
      </c>
      <c r="G769">
        <v>0.5</v>
      </c>
      <c r="H769" s="12">
        <v>0</v>
      </c>
      <c r="I769" s="12">
        <v>0</v>
      </c>
      <c r="J769" s="12">
        <v>0</v>
      </c>
      <c r="K769" s="12">
        <v>0</v>
      </c>
      <c r="L769" s="12">
        <v>0</v>
      </c>
      <c r="M769" s="12">
        <v>0</v>
      </c>
      <c r="N769" s="12">
        <v>1</v>
      </c>
      <c r="O769" s="12">
        <v>0</v>
      </c>
      <c r="P769" s="12">
        <v>0</v>
      </c>
      <c r="Q769" s="12">
        <v>0</v>
      </c>
      <c r="R769" s="12">
        <v>0</v>
      </c>
    </row>
    <row r="770" spans="1:19" x14ac:dyDescent="0.25">
      <c r="A770" s="13">
        <v>45945.602847222224</v>
      </c>
      <c r="B770" t="s">
        <v>348</v>
      </c>
      <c r="C770" t="s">
        <v>359</v>
      </c>
      <c r="D770" t="s">
        <v>10</v>
      </c>
      <c r="E770" t="s">
        <v>17</v>
      </c>
      <c r="F770" t="s">
        <v>15</v>
      </c>
      <c r="G770">
        <v>3</v>
      </c>
      <c r="H770" s="12">
        <v>0</v>
      </c>
      <c r="I770" s="12">
        <v>0</v>
      </c>
      <c r="J770" s="12">
        <v>0</v>
      </c>
      <c r="K770" s="12">
        <v>0</v>
      </c>
      <c r="L770" s="12">
        <v>0</v>
      </c>
      <c r="M770" s="12">
        <v>0</v>
      </c>
      <c r="N770" s="12">
        <v>0</v>
      </c>
      <c r="O770" s="12">
        <v>0</v>
      </c>
      <c r="P770" s="12">
        <v>1</v>
      </c>
      <c r="Q770" s="12">
        <v>0</v>
      </c>
      <c r="R770" s="12">
        <v>0</v>
      </c>
    </row>
    <row r="771" spans="1:19" x14ac:dyDescent="0.25">
      <c r="A771" s="13">
        <v>45945.603391203702</v>
      </c>
      <c r="B771" t="s">
        <v>348</v>
      </c>
      <c r="C771" t="s">
        <v>359</v>
      </c>
      <c r="D771" t="s">
        <v>10</v>
      </c>
      <c r="E771" t="s">
        <v>11</v>
      </c>
      <c r="F771" t="s">
        <v>15</v>
      </c>
      <c r="G771">
        <v>3</v>
      </c>
      <c r="H771" s="12">
        <v>0</v>
      </c>
      <c r="I771" s="12">
        <v>0</v>
      </c>
      <c r="J771" s="12">
        <v>0</v>
      </c>
      <c r="K771" s="12">
        <v>0</v>
      </c>
      <c r="L771" s="12">
        <v>1</v>
      </c>
      <c r="M771" s="12">
        <v>0</v>
      </c>
      <c r="N771" s="12">
        <v>0</v>
      </c>
      <c r="O771" s="12">
        <v>0</v>
      </c>
      <c r="P771" s="12">
        <v>0</v>
      </c>
      <c r="Q771" s="12">
        <v>0</v>
      </c>
      <c r="R771" s="12">
        <v>0</v>
      </c>
      <c r="S771" t="s">
        <v>208</v>
      </c>
    </row>
    <row r="772" spans="1:19" x14ac:dyDescent="0.25">
      <c r="A772" s="13">
        <v>45945.607800925929</v>
      </c>
      <c r="B772" t="s">
        <v>348</v>
      </c>
      <c r="C772" t="s">
        <v>359</v>
      </c>
      <c r="D772" t="s">
        <v>10</v>
      </c>
      <c r="E772" t="s">
        <v>11</v>
      </c>
      <c r="F772" t="s">
        <v>14</v>
      </c>
      <c r="G772">
        <v>0.5</v>
      </c>
      <c r="H772" s="12">
        <v>0</v>
      </c>
      <c r="I772" s="12">
        <v>0</v>
      </c>
      <c r="J772" s="12">
        <v>0</v>
      </c>
      <c r="K772" s="12">
        <v>0</v>
      </c>
      <c r="L772" s="12">
        <v>0</v>
      </c>
      <c r="M772" s="12">
        <v>0</v>
      </c>
      <c r="N772" s="12">
        <v>0</v>
      </c>
      <c r="O772" s="12">
        <v>0</v>
      </c>
      <c r="P772" s="12">
        <v>1</v>
      </c>
      <c r="Q772" s="12">
        <v>0</v>
      </c>
      <c r="R772" s="12">
        <v>0</v>
      </c>
    </row>
    <row r="773" spans="1:19" x14ac:dyDescent="0.25">
      <c r="A773" s="13">
        <v>45945.748796296299</v>
      </c>
      <c r="B773" t="s">
        <v>355</v>
      </c>
      <c r="C773" t="s">
        <v>359</v>
      </c>
      <c r="D773" t="s">
        <v>10</v>
      </c>
      <c r="E773" t="s">
        <v>11</v>
      </c>
      <c r="F773" t="s">
        <v>15</v>
      </c>
      <c r="G773">
        <v>3</v>
      </c>
      <c r="H773" s="12">
        <v>0</v>
      </c>
      <c r="I773" s="12">
        <v>0</v>
      </c>
      <c r="J773" s="12">
        <v>0</v>
      </c>
      <c r="K773" s="12">
        <v>0</v>
      </c>
      <c r="L773" s="12">
        <v>0</v>
      </c>
      <c r="M773" s="12">
        <v>0</v>
      </c>
      <c r="N773" s="12">
        <v>0</v>
      </c>
      <c r="O773" s="12">
        <v>1</v>
      </c>
      <c r="P773" s="12">
        <v>0</v>
      </c>
      <c r="Q773" s="12">
        <v>0</v>
      </c>
      <c r="R773" s="12">
        <v>0</v>
      </c>
    </row>
    <row r="774" spans="1:19" x14ac:dyDescent="0.25">
      <c r="A774" s="13">
        <v>45945.748877314814</v>
      </c>
      <c r="B774" t="s">
        <v>355</v>
      </c>
      <c r="C774" t="s">
        <v>359</v>
      </c>
      <c r="D774" t="s">
        <v>10</v>
      </c>
      <c r="E774" t="s">
        <v>11</v>
      </c>
      <c r="F774" t="s">
        <v>14</v>
      </c>
      <c r="G774">
        <v>0.5</v>
      </c>
      <c r="H774" s="12">
        <v>0</v>
      </c>
      <c r="I774" s="12">
        <v>0</v>
      </c>
      <c r="J774" s="12">
        <v>0</v>
      </c>
      <c r="K774" s="12">
        <v>0</v>
      </c>
      <c r="L774" s="12">
        <v>0</v>
      </c>
      <c r="M774" s="12">
        <v>0</v>
      </c>
      <c r="N774" s="12">
        <v>0</v>
      </c>
      <c r="O774" s="12">
        <v>1</v>
      </c>
      <c r="P774" s="12">
        <v>0</v>
      </c>
      <c r="Q774" s="12">
        <v>0</v>
      </c>
      <c r="R774" s="12">
        <v>0</v>
      </c>
    </row>
    <row r="775" spans="1:19" x14ac:dyDescent="0.25">
      <c r="A775" s="13">
        <v>45945.74895833333</v>
      </c>
      <c r="B775" t="s">
        <v>355</v>
      </c>
      <c r="C775" t="s">
        <v>359</v>
      </c>
      <c r="D775" t="s">
        <v>10</v>
      </c>
      <c r="E775" t="s">
        <v>11</v>
      </c>
      <c r="F775" t="s">
        <v>15</v>
      </c>
      <c r="G775">
        <v>3</v>
      </c>
      <c r="H775" s="12">
        <v>1</v>
      </c>
      <c r="I775" s="12">
        <v>0</v>
      </c>
      <c r="J775" s="12">
        <v>1</v>
      </c>
      <c r="K775" s="12">
        <v>0</v>
      </c>
      <c r="L775" s="12">
        <v>0</v>
      </c>
      <c r="M775" s="12">
        <v>0</v>
      </c>
      <c r="N775" s="12">
        <v>0</v>
      </c>
      <c r="O775" s="12">
        <v>0</v>
      </c>
      <c r="P775" s="12">
        <v>0</v>
      </c>
      <c r="Q775" s="12">
        <v>0</v>
      </c>
      <c r="R775" s="12">
        <v>0</v>
      </c>
    </row>
    <row r="776" spans="1:19" x14ac:dyDescent="0.25">
      <c r="A776" s="13">
        <v>45945.749097222222</v>
      </c>
      <c r="B776" t="s">
        <v>355</v>
      </c>
      <c r="C776" t="s">
        <v>359</v>
      </c>
      <c r="D776" t="s">
        <v>10</v>
      </c>
      <c r="E776" t="s">
        <v>11</v>
      </c>
      <c r="F776" t="s">
        <v>15</v>
      </c>
      <c r="G776">
        <v>3</v>
      </c>
      <c r="H776" s="12">
        <v>0</v>
      </c>
      <c r="I776" s="12">
        <v>0</v>
      </c>
      <c r="J776" s="12">
        <v>0</v>
      </c>
      <c r="K776" s="12">
        <v>0</v>
      </c>
      <c r="L776" s="12">
        <v>0</v>
      </c>
      <c r="M776" s="12">
        <v>0</v>
      </c>
      <c r="N776" s="12">
        <v>0</v>
      </c>
      <c r="O776" s="12">
        <v>0</v>
      </c>
      <c r="P776" s="12">
        <v>1</v>
      </c>
      <c r="Q776" s="12">
        <v>0</v>
      </c>
      <c r="R776" s="12">
        <v>0</v>
      </c>
    </row>
    <row r="777" spans="1:19" x14ac:dyDescent="0.25">
      <c r="A777" s="13">
        <v>45945.749224537038</v>
      </c>
      <c r="B777" t="s">
        <v>355</v>
      </c>
      <c r="C777" t="s">
        <v>359</v>
      </c>
      <c r="D777" t="s">
        <v>10</v>
      </c>
      <c r="E777" t="s">
        <v>11</v>
      </c>
      <c r="F777" t="s">
        <v>14</v>
      </c>
      <c r="G777">
        <v>0.5</v>
      </c>
      <c r="H777" s="12">
        <v>0</v>
      </c>
      <c r="I777" s="12">
        <v>0</v>
      </c>
      <c r="J777" s="12">
        <v>0</v>
      </c>
      <c r="K777" s="12">
        <v>0</v>
      </c>
      <c r="L777" s="12">
        <v>0</v>
      </c>
      <c r="M777" s="12">
        <v>0</v>
      </c>
      <c r="N777" s="12">
        <v>0</v>
      </c>
      <c r="O777" s="12">
        <v>0</v>
      </c>
      <c r="P777" s="12">
        <v>0</v>
      </c>
      <c r="Q777" s="12">
        <v>0</v>
      </c>
      <c r="R777" s="12">
        <v>1</v>
      </c>
    </row>
    <row r="778" spans="1:19" x14ac:dyDescent="0.25">
      <c r="A778" s="13">
        <v>45946.392118055555</v>
      </c>
      <c r="B778" t="s">
        <v>352</v>
      </c>
      <c r="C778" t="s">
        <v>360</v>
      </c>
      <c r="D778" t="s">
        <v>10</v>
      </c>
      <c r="E778" t="s">
        <v>11</v>
      </c>
      <c r="F778" t="s">
        <v>15</v>
      </c>
      <c r="G778">
        <v>3</v>
      </c>
      <c r="H778" s="12">
        <v>0</v>
      </c>
      <c r="I778" s="12">
        <v>0</v>
      </c>
      <c r="J778" s="12">
        <v>0</v>
      </c>
      <c r="K778" s="12">
        <v>0</v>
      </c>
      <c r="L778" s="12">
        <v>0</v>
      </c>
      <c r="M778" s="12">
        <v>1</v>
      </c>
      <c r="N778" s="12">
        <v>0</v>
      </c>
      <c r="O778" s="12">
        <v>0</v>
      </c>
      <c r="P778" s="12">
        <v>1</v>
      </c>
      <c r="Q778" s="12">
        <v>1</v>
      </c>
      <c r="R778" s="12">
        <v>0</v>
      </c>
    </row>
    <row r="779" spans="1:19" x14ac:dyDescent="0.25">
      <c r="A779" s="13">
        <v>45946.498194444444</v>
      </c>
      <c r="B779" t="s">
        <v>354</v>
      </c>
      <c r="C779" t="s">
        <v>360</v>
      </c>
      <c r="D779" t="s">
        <v>10</v>
      </c>
      <c r="E779" t="s">
        <v>11</v>
      </c>
      <c r="F779" t="s">
        <v>14</v>
      </c>
      <c r="G779">
        <v>0.5</v>
      </c>
      <c r="H779" s="12">
        <v>0</v>
      </c>
      <c r="I779" s="12">
        <v>0</v>
      </c>
      <c r="J779" s="12">
        <v>0</v>
      </c>
      <c r="K779" s="12">
        <v>0</v>
      </c>
      <c r="L779" s="12">
        <v>0</v>
      </c>
      <c r="M779" s="12">
        <v>0</v>
      </c>
      <c r="N779" s="12">
        <v>0</v>
      </c>
      <c r="O779" s="12">
        <v>0</v>
      </c>
      <c r="P779" s="12">
        <v>0</v>
      </c>
      <c r="Q779" s="12">
        <v>1</v>
      </c>
      <c r="R779" s="12">
        <v>0</v>
      </c>
    </row>
    <row r="780" spans="1:19" x14ac:dyDescent="0.25">
      <c r="A780" s="13">
        <v>45946.49832175926</v>
      </c>
      <c r="B780" t="s">
        <v>354</v>
      </c>
      <c r="C780" t="s">
        <v>360</v>
      </c>
      <c r="D780" t="s">
        <v>10</v>
      </c>
      <c r="E780" t="s">
        <v>11</v>
      </c>
      <c r="F780" t="s">
        <v>14</v>
      </c>
      <c r="G780">
        <v>0.5</v>
      </c>
      <c r="H780" s="12">
        <v>0</v>
      </c>
      <c r="I780" s="12">
        <v>0</v>
      </c>
      <c r="J780" s="12">
        <v>0</v>
      </c>
      <c r="K780" s="12">
        <v>0</v>
      </c>
      <c r="L780" s="12">
        <v>0</v>
      </c>
      <c r="M780" s="12">
        <v>0</v>
      </c>
      <c r="N780" s="12">
        <v>0</v>
      </c>
      <c r="O780" s="12">
        <v>0</v>
      </c>
      <c r="P780" s="12">
        <v>0</v>
      </c>
      <c r="Q780" s="12">
        <v>1</v>
      </c>
      <c r="R780" s="12">
        <v>0</v>
      </c>
    </row>
    <row r="781" spans="1:19" x14ac:dyDescent="0.25">
      <c r="A781" s="13">
        <v>45946.498483796298</v>
      </c>
      <c r="B781" t="s">
        <v>354</v>
      </c>
      <c r="C781" t="s">
        <v>360</v>
      </c>
      <c r="D781" t="s">
        <v>10</v>
      </c>
      <c r="E781" t="s">
        <v>11</v>
      </c>
      <c r="F781" t="s">
        <v>15</v>
      </c>
      <c r="G781">
        <v>3</v>
      </c>
      <c r="H781" s="12">
        <v>0</v>
      </c>
      <c r="I781" s="12">
        <v>0</v>
      </c>
      <c r="J781" s="12">
        <v>0</v>
      </c>
      <c r="K781" s="12">
        <v>0</v>
      </c>
      <c r="L781" s="12">
        <v>0</v>
      </c>
      <c r="M781" s="12">
        <v>0</v>
      </c>
      <c r="N781" s="12">
        <v>0</v>
      </c>
      <c r="O781" s="12">
        <v>0</v>
      </c>
      <c r="P781" s="12">
        <v>0</v>
      </c>
      <c r="Q781" s="12">
        <v>0</v>
      </c>
      <c r="R781" s="12">
        <v>1</v>
      </c>
    </row>
    <row r="782" spans="1:19" x14ac:dyDescent="0.25">
      <c r="A782" s="13">
        <v>45946.498703703706</v>
      </c>
      <c r="B782" t="s">
        <v>354</v>
      </c>
      <c r="C782" t="s">
        <v>360</v>
      </c>
      <c r="D782" t="s">
        <v>10</v>
      </c>
      <c r="E782" t="s">
        <v>11</v>
      </c>
      <c r="F782" t="s">
        <v>12</v>
      </c>
      <c r="G782">
        <v>10.5</v>
      </c>
      <c r="H782" s="12">
        <v>0</v>
      </c>
      <c r="I782" s="12">
        <v>0</v>
      </c>
      <c r="J782" s="12">
        <v>0</v>
      </c>
      <c r="K782" s="12">
        <v>0</v>
      </c>
      <c r="L782" s="12">
        <v>0</v>
      </c>
      <c r="M782" s="12">
        <v>0</v>
      </c>
      <c r="N782" s="12">
        <v>0</v>
      </c>
      <c r="O782" s="12">
        <v>1</v>
      </c>
      <c r="P782" s="12">
        <v>0</v>
      </c>
      <c r="Q782" s="12">
        <v>0</v>
      </c>
      <c r="R782" s="12">
        <v>0</v>
      </c>
    </row>
    <row r="783" spans="1:19" x14ac:dyDescent="0.25">
      <c r="A783" s="13">
        <v>45946.498981481483</v>
      </c>
      <c r="B783" t="s">
        <v>354</v>
      </c>
      <c r="C783" t="s">
        <v>360</v>
      </c>
      <c r="D783" t="s">
        <v>10</v>
      </c>
      <c r="E783" t="s">
        <v>11</v>
      </c>
      <c r="F783" t="s">
        <v>14</v>
      </c>
      <c r="G783">
        <v>0.5</v>
      </c>
      <c r="H783" s="12">
        <v>0</v>
      </c>
      <c r="I783" s="12">
        <v>0</v>
      </c>
      <c r="J783" s="12">
        <v>0</v>
      </c>
      <c r="K783" s="12">
        <v>0</v>
      </c>
      <c r="L783" s="12">
        <v>0</v>
      </c>
      <c r="M783" s="12">
        <v>0</v>
      </c>
      <c r="N783" s="12">
        <v>1</v>
      </c>
      <c r="O783" s="12">
        <v>0</v>
      </c>
      <c r="P783" s="12">
        <v>0</v>
      </c>
      <c r="Q783" s="12">
        <v>0</v>
      </c>
      <c r="R783" s="12">
        <v>0</v>
      </c>
    </row>
    <row r="784" spans="1:19" x14ac:dyDescent="0.25">
      <c r="A784" s="13">
        <v>45946.539120370369</v>
      </c>
      <c r="B784" t="s">
        <v>350</v>
      </c>
      <c r="C784" t="s">
        <v>360</v>
      </c>
      <c r="D784" t="s">
        <v>10</v>
      </c>
      <c r="E784" t="s">
        <v>11</v>
      </c>
      <c r="F784" t="s">
        <v>18</v>
      </c>
      <c r="G784">
        <v>20</v>
      </c>
      <c r="H784" s="12">
        <v>0</v>
      </c>
      <c r="I784" s="12">
        <v>0</v>
      </c>
      <c r="J784" s="12">
        <v>0</v>
      </c>
      <c r="K784" s="12">
        <v>0</v>
      </c>
      <c r="L784" s="12">
        <v>1</v>
      </c>
      <c r="M784" s="12">
        <v>0</v>
      </c>
      <c r="N784" s="12">
        <v>0</v>
      </c>
      <c r="O784" s="12">
        <v>0</v>
      </c>
      <c r="P784" s="12">
        <v>0</v>
      </c>
      <c r="Q784" s="12">
        <v>0</v>
      </c>
      <c r="R784" s="12">
        <v>0</v>
      </c>
    </row>
    <row r="785" spans="1:19" x14ac:dyDescent="0.25">
      <c r="A785" s="13">
        <v>45946.631423611114</v>
      </c>
      <c r="B785" t="s">
        <v>349</v>
      </c>
      <c r="C785" t="s">
        <v>360</v>
      </c>
      <c r="D785" t="s">
        <v>10</v>
      </c>
      <c r="E785" t="s">
        <v>11</v>
      </c>
      <c r="F785" t="s">
        <v>12</v>
      </c>
      <c r="G785">
        <v>10.5</v>
      </c>
      <c r="H785" s="12">
        <v>1</v>
      </c>
      <c r="I785" s="12">
        <v>0</v>
      </c>
      <c r="J785" s="12">
        <v>1</v>
      </c>
      <c r="K785" s="12">
        <v>1</v>
      </c>
      <c r="L785" s="12">
        <v>0</v>
      </c>
      <c r="M785" s="12">
        <v>0</v>
      </c>
      <c r="N785" s="12">
        <v>0</v>
      </c>
      <c r="O785" s="12">
        <v>0</v>
      </c>
      <c r="P785" s="12">
        <v>0</v>
      </c>
      <c r="Q785" s="12">
        <v>0</v>
      </c>
      <c r="R785" s="12">
        <v>0</v>
      </c>
    </row>
    <row r="786" spans="1:19" x14ac:dyDescent="0.25">
      <c r="A786" s="13">
        <v>45947.587199074071</v>
      </c>
      <c r="B786" t="s">
        <v>348</v>
      </c>
      <c r="C786" t="s">
        <v>361</v>
      </c>
      <c r="D786" t="s">
        <v>10</v>
      </c>
      <c r="E786" t="s">
        <v>11</v>
      </c>
      <c r="F786" t="s">
        <v>12</v>
      </c>
      <c r="G786">
        <v>10.5</v>
      </c>
      <c r="H786" s="12">
        <v>0</v>
      </c>
      <c r="I786" s="12">
        <v>0</v>
      </c>
      <c r="J786" s="12">
        <v>0</v>
      </c>
      <c r="K786" s="12">
        <v>0</v>
      </c>
      <c r="L786" s="12">
        <v>1</v>
      </c>
      <c r="M786" s="12">
        <v>0</v>
      </c>
      <c r="N786" s="12">
        <v>0</v>
      </c>
      <c r="O786" s="12">
        <v>0</v>
      </c>
      <c r="P786" s="12">
        <v>0</v>
      </c>
      <c r="Q786" s="12">
        <v>0</v>
      </c>
      <c r="R786" s="12">
        <v>0</v>
      </c>
    </row>
    <row r="787" spans="1:19" x14ac:dyDescent="0.25">
      <c r="A787" s="13">
        <v>45947.587372685186</v>
      </c>
      <c r="B787" t="s">
        <v>348</v>
      </c>
      <c r="C787" t="s">
        <v>361</v>
      </c>
      <c r="D787" t="s">
        <v>10</v>
      </c>
      <c r="E787" t="s">
        <v>11</v>
      </c>
      <c r="F787" t="s">
        <v>12</v>
      </c>
      <c r="G787">
        <v>10.5</v>
      </c>
      <c r="H787" s="12">
        <v>1</v>
      </c>
      <c r="I787" s="12">
        <v>0</v>
      </c>
      <c r="J787" s="12">
        <v>1</v>
      </c>
      <c r="K787" s="12">
        <v>0</v>
      </c>
      <c r="L787" s="12">
        <v>0</v>
      </c>
      <c r="M787" s="12">
        <v>0</v>
      </c>
      <c r="N787" s="12">
        <v>0</v>
      </c>
      <c r="O787" s="12">
        <v>0</v>
      </c>
      <c r="P787" s="12">
        <v>0</v>
      </c>
      <c r="Q787" s="12">
        <v>0</v>
      </c>
      <c r="R787" s="12">
        <v>0</v>
      </c>
    </row>
    <row r="788" spans="1:19" x14ac:dyDescent="0.25">
      <c r="A788" s="13">
        <v>45947.647534722222</v>
      </c>
      <c r="B788" t="s">
        <v>349</v>
      </c>
      <c r="C788" t="s">
        <v>361</v>
      </c>
      <c r="D788" t="s">
        <v>10</v>
      </c>
      <c r="E788" t="s">
        <v>11</v>
      </c>
      <c r="F788" t="s">
        <v>15</v>
      </c>
      <c r="G788">
        <v>3</v>
      </c>
      <c r="H788" s="12">
        <v>1</v>
      </c>
      <c r="I788" s="12">
        <v>0</v>
      </c>
      <c r="J788" s="12">
        <v>1</v>
      </c>
      <c r="K788" s="12">
        <v>0</v>
      </c>
      <c r="L788" s="12">
        <v>0</v>
      </c>
      <c r="M788" s="12">
        <v>0</v>
      </c>
      <c r="N788" s="12">
        <v>0</v>
      </c>
      <c r="O788" s="12">
        <v>0</v>
      </c>
      <c r="P788" s="12">
        <v>0</v>
      </c>
      <c r="Q788" s="12">
        <v>0</v>
      </c>
      <c r="R788" s="12">
        <v>0</v>
      </c>
      <c r="S788" t="s">
        <v>209</v>
      </c>
    </row>
    <row r="789" spans="1:19" x14ac:dyDescent="0.25">
      <c r="A789" s="13">
        <v>45947.647858796299</v>
      </c>
      <c r="B789" t="s">
        <v>349</v>
      </c>
      <c r="C789" t="s">
        <v>361</v>
      </c>
      <c r="D789" t="s">
        <v>10</v>
      </c>
      <c r="E789" t="s">
        <v>11</v>
      </c>
      <c r="F789" t="s">
        <v>14</v>
      </c>
      <c r="G789">
        <v>0.5</v>
      </c>
      <c r="H789" s="12">
        <v>0</v>
      </c>
      <c r="I789" s="12">
        <v>0</v>
      </c>
      <c r="J789" s="12">
        <v>0</v>
      </c>
      <c r="K789" s="12">
        <v>0</v>
      </c>
      <c r="L789" s="12">
        <v>0</v>
      </c>
      <c r="M789" s="12">
        <v>0</v>
      </c>
      <c r="N789" s="12">
        <v>0</v>
      </c>
      <c r="O789" s="12">
        <v>0</v>
      </c>
      <c r="P789" s="12">
        <v>0</v>
      </c>
      <c r="Q789" s="12">
        <v>0</v>
      </c>
      <c r="R789" s="12">
        <v>1</v>
      </c>
      <c r="S789" t="s">
        <v>210</v>
      </c>
    </row>
    <row r="790" spans="1:19" x14ac:dyDescent="0.25">
      <c r="A790" s="13">
        <v>45947.648333333331</v>
      </c>
      <c r="B790" t="s">
        <v>349</v>
      </c>
      <c r="C790" t="s">
        <v>361</v>
      </c>
      <c r="D790" t="s">
        <v>10</v>
      </c>
      <c r="E790" t="s">
        <v>11</v>
      </c>
      <c r="F790" t="s">
        <v>15</v>
      </c>
      <c r="G790">
        <v>3</v>
      </c>
      <c r="H790" s="12">
        <v>1</v>
      </c>
      <c r="I790" s="12">
        <v>0</v>
      </c>
      <c r="J790" s="12">
        <v>1</v>
      </c>
      <c r="K790" s="12">
        <v>0</v>
      </c>
      <c r="L790" s="12">
        <v>0</v>
      </c>
      <c r="M790" s="12">
        <v>0</v>
      </c>
      <c r="N790" s="12">
        <v>0</v>
      </c>
      <c r="O790" s="12">
        <v>0</v>
      </c>
      <c r="P790" s="12">
        <v>0</v>
      </c>
      <c r="Q790" s="12">
        <v>0</v>
      </c>
      <c r="R790" s="12">
        <v>0</v>
      </c>
      <c r="S790" t="s">
        <v>211</v>
      </c>
    </row>
    <row r="791" spans="1:19" x14ac:dyDescent="0.25">
      <c r="A791" s="13">
        <v>45947.666238425925</v>
      </c>
      <c r="B791" t="s">
        <v>349</v>
      </c>
      <c r="C791" t="s">
        <v>361</v>
      </c>
      <c r="D791" t="s">
        <v>10</v>
      </c>
      <c r="E791" t="s">
        <v>11</v>
      </c>
      <c r="F791" t="s">
        <v>15</v>
      </c>
      <c r="G791">
        <v>3</v>
      </c>
      <c r="H791" s="12">
        <v>0</v>
      </c>
      <c r="I791" s="12">
        <v>1</v>
      </c>
      <c r="J791" s="12">
        <v>1</v>
      </c>
      <c r="K791" s="12">
        <v>0</v>
      </c>
      <c r="L791" s="12">
        <v>0</v>
      </c>
      <c r="M791" s="12">
        <v>0</v>
      </c>
      <c r="N791" s="12">
        <v>0</v>
      </c>
      <c r="O791" s="12">
        <v>0</v>
      </c>
      <c r="P791" s="12">
        <v>0</v>
      </c>
      <c r="Q791" s="12">
        <v>0</v>
      </c>
      <c r="R791" s="12">
        <v>0</v>
      </c>
      <c r="S791" t="s">
        <v>212</v>
      </c>
    </row>
    <row r="792" spans="1:19" x14ac:dyDescent="0.25">
      <c r="A792" s="13">
        <v>45947.749675925923</v>
      </c>
      <c r="B792" t="s">
        <v>355</v>
      </c>
      <c r="C792" t="s">
        <v>361</v>
      </c>
      <c r="D792" t="s">
        <v>10</v>
      </c>
      <c r="E792" t="s">
        <v>11</v>
      </c>
      <c r="F792" t="s">
        <v>15</v>
      </c>
      <c r="G792">
        <v>3</v>
      </c>
      <c r="H792" s="12">
        <v>0</v>
      </c>
      <c r="I792" s="12">
        <v>0</v>
      </c>
      <c r="J792" s="12">
        <v>0</v>
      </c>
      <c r="K792" s="12">
        <v>0</v>
      </c>
      <c r="L792" s="12">
        <v>1</v>
      </c>
      <c r="M792" s="12">
        <v>0</v>
      </c>
      <c r="N792" s="12">
        <v>0</v>
      </c>
      <c r="O792" s="12">
        <v>0</v>
      </c>
      <c r="P792" s="12">
        <v>0</v>
      </c>
      <c r="Q792" s="12">
        <v>0</v>
      </c>
      <c r="R792" s="12">
        <v>0</v>
      </c>
    </row>
    <row r="793" spans="1:19" x14ac:dyDescent="0.25">
      <c r="A793" s="13">
        <v>45947.749745370369</v>
      </c>
      <c r="B793" t="s">
        <v>355</v>
      </c>
      <c r="C793" t="s">
        <v>361</v>
      </c>
      <c r="D793" t="s">
        <v>10</v>
      </c>
      <c r="E793" t="s">
        <v>11</v>
      </c>
      <c r="F793" t="s">
        <v>14</v>
      </c>
      <c r="G793">
        <v>0.5</v>
      </c>
      <c r="H793" s="12">
        <v>0</v>
      </c>
      <c r="I793" s="12">
        <v>0</v>
      </c>
      <c r="J793" s="12">
        <v>0</v>
      </c>
      <c r="K793" s="12">
        <v>0</v>
      </c>
      <c r="L793" s="12">
        <v>0</v>
      </c>
      <c r="M793" s="12">
        <v>0</v>
      </c>
      <c r="N793" s="12">
        <v>0</v>
      </c>
      <c r="O793" s="12">
        <v>0</v>
      </c>
      <c r="P793" s="12">
        <v>0</v>
      </c>
      <c r="Q793" s="12">
        <v>1</v>
      </c>
      <c r="R793" s="12">
        <v>0</v>
      </c>
    </row>
    <row r="794" spans="1:19" x14ac:dyDescent="0.25">
      <c r="A794" s="13">
        <v>45947.749837962961</v>
      </c>
      <c r="B794" t="s">
        <v>355</v>
      </c>
      <c r="C794" t="s">
        <v>361</v>
      </c>
      <c r="D794" t="s">
        <v>10</v>
      </c>
      <c r="E794" t="s">
        <v>11</v>
      </c>
      <c r="F794" t="s">
        <v>15</v>
      </c>
      <c r="G794">
        <v>3</v>
      </c>
      <c r="H794" s="12">
        <v>0</v>
      </c>
      <c r="I794" s="12">
        <v>0</v>
      </c>
      <c r="J794" s="12">
        <v>0</v>
      </c>
      <c r="K794" s="12">
        <v>0</v>
      </c>
      <c r="L794" s="12">
        <v>0</v>
      </c>
      <c r="M794" s="12">
        <v>0</v>
      </c>
      <c r="N794" s="12">
        <v>1</v>
      </c>
      <c r="O794" s="12">
        <v>0</v>
      </c>
      <c r="P794" s="12">
        <v>0</v>
      </c>
      <c r="Q794" s="12">
        <v>0</v>
      </c>
      <c r="R794" s="12">
        <v>0</v>
      </c>
    </row>
    <row r="795" spans="1:19" x14ac:dyDescent="0.25">
      <c r="A795" s="13">
        <v>45947.749942129631</v>
      </c>
      <c r="B795" t="s">
        <v>355</v>
      </c>
      <c r="C795" t="s">
        <v>361</v>
      </c>
      <c r="D795" t="s">
        <v>10</v>
      </c>
      <c r="E795" t="s">
        <v>11</v>
      </c>
      <c r="F795" t="s">
        <v>14</v>
      </c>
      <c r="G795">
        <v>0.5</v>
      </c>
      <c r="H795" s="12">
        <v>0</v>
      </c>
      <c r="I795" s="12">
        <v>0</v>
      </c>
      <c r="J795" s="12">
        <v>0</v>
      </c>
      <c r="K795" s="12">
        <v>0</v>
      </c>
      <c r="L795" s="12">
        <v>0</v>
      </c>
      <c r="M795" s="12">
        <v>0</v>
      </c>
      <c r="N795" s="12">
        <v>0</v>
      </c>
      <c r="O795" s="12">
        <v>0</v>
      </c>
      <c r="P795" s="12">
        <v>0</v>
      </c>
      <c r="Q795" s="12">
        <v>1</v>
      </c>
      <c r="R795" s="12">
        <v>0</v>
      </c>
    </row>
    <row r="796" spans="1:19" x14ac:dyDescent="0.25">
      <c r="A796" s="13">
        <v>45947.75</v>
      </c>
      <c r="B796" t="s">
        <v>355</v>
      </c>
      <c r="C796" t="s">
        <v>361</v>
      </c>
      <c r="D796" t="s">
        <v>10</v>
      </c>
      <c r="E796" t="s">
        <v>11</v>
      </c>
      <c r="F796" t="s">
        <v>14</v>
      </c>
      <c r="G796">
        <v>0.5</v>
      </c>
      <c r="H796" s="12">
        <v>0</v>
      </c>
      <c r="I796" s="12">
        <v>0</v>
      </c>
      <c r="J796" s="12">
        <v>0</v>
      </c>
      <c r="K796" s="12">
        <v>0</v>
      </c>
      <c r="L796" s="12">
        <v>0</v>
      </c>
      <c r="M796" s="12">
        <v>0</v>
      </c>
      <c r="N796" s="12">
        <v>0</v>
      </c>
      <c r="O796" s="12">
        <v>0</v>
      </c>
      <c r="P796" s="12">
        <v>0</v>
      </c>
      <c r="Q796" s="12">
        <v>0</v>
      </c>
      <c r="R796" s="12">
        <v>1</v>
      </c>
    </row>
    <row r="797" spans="1:19" x14ac:dyDescent="0.25">
      <c r="A797" s="13">
        <v>45950.454583333332</v>
      </c>
      <c r="B797" t="s">
        <v>347</v>
      </c>
      <c r="C797" t="s">
        <v>363</v>
      </c>
      <c r="D797" t="s">
        <v>10</v>
      </c>
      <c r="E797" t="s">
        <v>11</v>
      </c>
      <c r="F797" t="s">
        <v>12</v>
      </c>
      <c r="G797">
        <v>10.5</v>
      </c>
      <c r="H797" s="12">
        <v>0</v>
      </c>
      <c r="I797" s="12">
        <v>0</v>
      </c>
      <c r="J797" s="12">
        <v>0</v>
      </c>
      <c r="K797" s="12">
        <v>0</v>
      </c>
      <c r="L797" s="12">
        <v>1</v>
      </c>
      <c r="M797" s="12">
        <v>0</v>
      </c>
      <c r="N797" s="12">
        <v>0</v>
      </c>
      <c r="O797" s="12">
        <v>0</v>
      </c>
      <c r="P797" s="12">
        <v>0</v>
      </c>
      <c r="Q797" s="12">
        <v>0</v>
      </c>
      <c r="R797" s="12">
        <v>0</v>
      </c>
    </row>
    <row r="798" spans="1:19" x14ac:dyDescent="0.25">
      <c r="A798" s="13">
        <v>45950.454826388886</v>
      </c>
      <c r="B798" t="s">
        <v>347</v>
      </c>
      <c r="C798" t="s">
        <v>363</v>
      </c>
      <c r="D798" t="s">
        <v>10</v>
      </c>
      <c r="E798" t="s">
        <v>11</v>
      </c>
      <c r="F798" t="s">
        <v>12</v>
      </c>
      <c r="G798">
        <v>10.5</v>
      </c>
      <c r="H798" s="12">
        <v>0</v>
      </c>
      <c r="I798" s="12">
        <v>1</v>
      </c>
      <c r="J798" s="12">
        <v>0</v>
      </c>
      <c r="K798" s="12">
        <v>0</v>
      </c>
      <c r="L798" s="12">
        <v>0</v>
      </c>
      <c r="M798" s="12">
        <v>0</v>
      </c>
      <c r="N798" s="12">
        <v>0</v>
      </c>
      <c r="O798" s="12">
        <v>0</v>
      </c>
      <c r="P798" s="12">
        <v>0</v>
      </c>
      <c r="Q798" s="12">
        <v>0</v>
      </c>
      <c r="R798" s="12">
        <v>0</v>
      </c>
    </row>
    <row r="799" spans="1:19" x14ac:dyDescent="0.25">
      <c r="A799" s="13">
        <v>45950.455150462964</v>
      </c>
      <c r="B799" t="s">
        <v>347</v>
      </c>
      <c r="C799" t="s">
        <v>363</v>
      </c>
      <c r="D799" t="s">
        <v>10</v>
      </c>
      <c r="E799" t="s">
        <v>11</v>
      </c>
      <c r="F799" t="s">
        <v>15</v>
      </c>
      <c r="G799">
        <v>3</v>
      </c>
      <c r="H799" s="12">
        <v>1</v>
      </c>
      <c r="I799" s="12">
        <v>0</v>
      </c>
      <c r="J799" s="12">
        <v>1</v>
      </c>
      <c r="K799" s="12">
        <v>0</v>
      </c>
      <c r="L799" s="12">
        <v>0</v>
      </c>
      <c r="M799" s="12">
        <v>0</v>
      </c>
      <c r="N799" s="12">
        <v>0</v>
      </c>
      <c r="O799" s="12">
        <v>0</v>
      </c>
      <c r="P799" s="12">
        <v>0</v>
      </c>
      <c r="Q799" s="12">
        <v>0</v>
      </c>
      <c r="R799" s="12">
        <v>0</v>
      </c>
    </row>
    <row r="800" spans="1:19" x14ac:dyDescent="0.25">
      <c r="A800" s="13">
        <v>45950.455682870372</v>
      </c>
      <c r="B800" t="s">
        <v>347</v>
      </c>
      <c r="C800" t="s">
        <v>363</v>
      </c>
      <c r="D800" t="s">
        <v>10</v>
      </c>
      <c r="E800" t="s">
        <v>11</v>
      </c>
      <c r="F800" t="s">
        <v>15</v>
      </c>
      <c r="G800">
        <v>3</v>
      </c>
      <c r="H800" s="12">
        <v>0</v>
      </c>
      <c r="I800" s="12">
        <v>0</v>
      </c>
      <c r="J800" s="12">
        <v>0</v>
      </c>
      <c r="K800" s="12">
        <v>0</v>
      </c>
      <c r="L800" s="12">
        <v>0</v>
      </c>
      <c r="M800" s="12">
        <v>0</v>
      </c>
      <c r="N800" s="12">
        <v>0</v>
      </c>
      <c r="O800" s="12">
        <v>0</v>
      </c>
      <c r="P800" s="12">
        <v>0</v>
      </c>
      <c r="Q800" s="12">
        <v>0</v>
      </c>
      <c r="R800" s="12">
        <v>1</v>
      </c>
      <c r="S800" t="s">
        <v>213</v>
      </c>
    </row>
    <row r="801" spans="1:19" x14ac:dyDescent="0.25">
      <c r="A801" s="13">
        <v>45950.46199074074</v>
      </c>
      <c r="B801" t="s">
        <v>354</v>
      </c>
      <c r="C801" t="s">
        <v>363</v>
      </c>
      <c r="D801" t="s">
        <v>10</v>
      </c>
      <c r="E801" t="s">
        <v>11</v>
      </c>
      <c r="F801" t="s">
        <v>15</v>
      </c>
      <c r="G801">
        <v>3</v>
      </c>
      <c r="H801" s="12">
        <v>0</v>
      </c>
      <c r="I801" s="12">
        <v>0</v>
      </c>
      <c r="J801" s="12">
        <v>0</v>
      </c>
      <c r="K801" s="12">
        <v>0</v>
      </c>
      <c r="L801" s="12">
        <v>0</v>
      </c>
      <c r="M801" s="12">
        <v>0</v>
      </c>
      <c r="N801" s="12">
        <v>0</v>
      </c>
      <c r="O801" s="12">
        <v>1</v>
      </c>
      <c r="P801" s="12">
        <v>0</v>
      </c>
      <c r="Q801" s="12">
        <v>0</v>
      </c>
      <c r="R801" s="12">
        <v>0</v>
      </c>
    </row>
    <row r="802" spans="1:19" x14ac:dyDescent="0.25">
      <c r="A802" s="13">
        <v>45950.524872685186</v>
      </c>
      <c r="B802" t="s">
        <v>350</v>
      </c>
      <c r="C802" t="s">
        <v>363</v>
      </c>
      <c r="D802" t="s">
        <v>10</v>
      </c>
      <c r="E802" t="s">
        <v>11</v>
      </c>
      <c r="F802" t="s">
        <v>15</v>
      </c>
      <c r="G802">
        <v>3</v>
      </c>
      <c r="H802" s="12">
        <v>0</v>
      </c>
      <c r="I802" s="12">
        <v>0</v>
      </c>
      <c r="J802" s="12">
        <v>0</v>
      </c>
      <c r="K802" s="12">
        <v>0</v>
      </c>
      <c r="L802" s="12">
        <v>1</v>
      </c>
      <c r="M802" s="12">
        <v>0</v>
      </c>
      <c r="N802" s="12">
        <v>0</v>
      </c>
      <c r="O802" s="12">
        <v>0</v>
      </c>
      <c r="P802" s="12">
        <v>0</v>
      </c>
      <c r="Q802" s="12">
        <v>0</v>
      </c>
      <c r="R802" s="12">
        <v>0</v>
      </c>
    </row>
    <row r="803" spans="1:19" x14ac:dyDescent="0.25">
      <c r="A803" s="13">
        <v>45950.609837962962</v>
      </c>
      <c r="B803" t="s">
        <v>348</v>
      </c>
      <c r="C803" t="s">
        <v>363</v>
      </c>
      <c r="D803" t="s">
        <v>10</v>
      </c>
      <c r="E803" t="s">
        <v>11</v>
      </c>
      <c r="F803" t="s">
        <v>15</v>
      </c>
      <c r="G803">
        <v>3</v>
      </c>
      <c r="H803" s="12">
        <v>0</v>
      </c>
      <c r="I803" s="12">
        <v>0</v>
      </c>
      <c r="J803" s="12">
        <v>0</v>
      </c>
      <c r="K803" s="12">
        <v>0</v>
      </c>
      <c r="L803" s="12">
        <v>0</v>
      </c>
      <c r="M803" s="12">
        <v>0</v>
      </c>
      <c r="N803" s="12">
        <v>1</v>
      </c>
      <c r="O803" s="12">
        <v>0</v>
      </c>
      <c r="P803" s="12">
        <v>0</v>
      </c>
      <c r="Q803" s="12">
        <v>0</v>
      </c>
      <c r="R803" s="12">
        <v>0</v>
      </c>
    </row>
    <row r="804" spans="1:19" x14ac:dyDescent="0.25">
      <c r="A804" s="13">
        <v>45950.609930555554</v>
      </c>
      <c r="B804" t="s">
        <v>348</v>
      </c>
      <c r="C804" t="s">
        <v>363</v>
      </c>
      <c r="D804" t="s">
        <v>10</v>
      </c>
      <c r="E804" t="s">
        <v>11</v>
      </c>
      <c r="F804" t="s">
        <v>15</v>
      </c>
      <c r="G804">
        <v>3</v>
      </c>
      <c r="H804" s="12">
        <v>1</v>
      </c>
      <c r="I804" s="12">
        <v>0</v>
      </c>
      <c r="J804" s="12">
        <v>0</v>
      </c>
      <c r="K804" s="12">
        <v>0</v>
      </c>
      <c r="L804" s="12">
        <v>0</v>
      </c>
      <c r="M804" s="12">
        <v>0</v>
      </c>
      <c r="N804" s="12">
        <v>0</v>
      </c>
      <c r="O804" s="12">
        <v>0</v>
      </c>
      <c r="P804" s="12">
        <v>0</v>
      </c>
      <c r="Q804" s="12">
        <v>0</v>
      </c>
      <c r="R804" s="12">
        <v>0</v>
      </c>
    </row>
    <row r="805" spans="1:19" x14ac:dyDescent="0.25">
      <c r="A805" s="13">
        <v>45950.610011574077</v>
      </c>
      <c r="B805" t="s">
        <v>348</v>
      </c>
      <c r="C805" t="s">
        <v>363</v>
      </c>
      <c r="D805" t="s">
        <v>10</v>
      </c>
      <c r="E805" t="s">
        <v>11</v>
      </c>
      <c r="F805" t="s">
        <v>18</v>
      </c>
      <c r="G805">
        <v>20</v>
      </c>
      <c r="H805" s="12">
        <v>0</v>
      </c>
      <c r="I805" s="12">
        <v>0</v>
      </c>
      <c r="J805" s="12">
        <v>0</v>
      </c>
      <c r="K805" s="12">
        <v>0</v>
      </c>
      <c r="L805" s="12">
        <v>0</v>
      </c>
      <c r="M805" s="12">
        <v>0</v>
      </c>
      <c r="N805" s="12">
        <v>0</v>
      </c>
      <c r="O805" s="12">
        <v>1</v>
      </c>
      <c r="P805" s="12">
        <v>0</v>
      </c>
      <c r="Q805" s="12">
        <v>0</v>
      </c>
      <c r="R805" s="12">
        <v>0</v>
      </c>
    </row>
    <row r="806" spans="1:19" x14ac:dyDescent="0.25">
      <c r="A806" s="13">
        <v>45950.620069444441</v>
      </c>
      <c r="B806" t="s">
        <v>348</v>
      </c>
      <c r="C806" t="s">
        <v>363</v>
      </c>
      <c r="D806" t="s">
        <v>10</v>
      </c>
      <c r="E806" t="s">
        <v>11</v>
      </c>
      <c r="F806" t="s">
        <v>15</v>
      </c>
      <c r="G806">
        <v>3</v>
      </c>
      <c r="H806" s="12">
        <v>0</v>
      </c>
      <c r="I806" s="12">
        <v>0</v>
      </c>
      <c r="J806" s="12">
        <v>0</v>
      </c>
      <c r="K806" s="12">
        <v>0</v>
      </c>
      <c r="L806" s="12">
        <v>0</v>
      </c>
      <c r="M806" s="12">
        <v>0</v>
      </c>
      <c r="N806" s="12">
        <v>0</v>
      </c>
      <c r="O806" s="12">
        <v>0</v>
      </c>
      <c r="P806" s="12">
        <v>1</v>
      </c>
      <c r="Q806" s="12">
        <v>1</v>
      </c>
      <c r="R806" s="12">
        <v>0</v>
      </c>
    </row>
    <row r="807" spans="1:19" x14ac:dyDescent="0.25">
      <c r="A807" s="13">
        <v>45950.626759259256</v>
      </c>
      <c r="B807" t="s">
        <v>349</v>
      </c>
      <c r="C807" t="s">
        <v>363</v>
      </c>
      <c r="D807" t="s">
        <v>10</v>
      </c>
      <c r="E807" t="s">
        <v>17</v>
      </c>
      <c r="F807" t="s">
        <v>15</v>
      </c>
      <c r="G807">
        <v>3</v>
      </c>
      <c r="H807" s="12">
        <v>0</v>
      </c>
      <c r="I807" s="12">
        <v>0</v>
      </c>
      <c r="J807" s="12">
        <v>0</v>
      </c>
      <c r="K807" s="12">
        <v>0</v>
      </c>
      <c r="L807" s="12">
        <v>0</v>
      </c>
      <c r="M807" s="12">
        <v>0</v>
      </c>
      <c r="N807" s="12">
        <v>1</v>
      </c>
      <c r="O807" s="12">
        <v>0</v>
      </c>
      <c r="P807" s="12">
        <v>0</v>
      </c>
      <c r="Q807" s="12">
        <v>0</v>
      </c>
      <c r="R807" s="12">
        <v>0</v>
      </c>
    </row>
    <row r="808" spans="1:19" x14ac:dyDescent="0.25">
      <c r="A808" s="13">
        <v>45950.629236111112</v>
      </c>
      <c r="B808" t="s">
        <v>349</v>
      </c>
      <c r="C808" t="s">
        <v>363</v>
      </c>
      <c r="D808" t="s">
        <v>10</v>
      </c>
      <c r="E808" t="s">
        <v>11</v>
      </c>
      <c r="F808" t="s">
        <v>15</v>
      </c>
      <c r="G808">
        <v>3</v>
      </c>
      <c r="H808" s="12">
        <v>1</v>
      </c>
      <c r="I808" s="12">
        <v>0</v>
      </c>
      <c r="J808" s="12">
        <v>0</v>
      </c>
      <c r="K808" s="12">
        <v>0</v>
      </c>
      <c r="L808" s="12">
        <v>0</v>
      </c>
      <c r="M808" s="12">
        <v>0</v>
      </c>
      <c r="N808" s="12">
        <v>0</v>
      </c>
      <c r="O808" s="12">
        <v>0</v>
      </c>
      <c r="P808" s="12">
        <v>0</v>
      </c>
      <c r="Q808" s="12">
        <v>0</v>
      </c>
      <c r="R808" s="12">
        <v>0</v>
      </c>
    </row>
    <row r="809" spans="1:19" x14ac:dyDescent="0.25">
      <c r="A809" s="13">
        <v>45950.642800925925</v>
      </c>
      <c r="B809" t="s">
        <v>349</v>
      </c>
      <c r="C809" t="s">
        <v>363</v>
      </c>
      <c r="D809" t="s">
        <v>10</v>
      </c>
      <c r="E809" t="s">
        <v>11</v>
      </c>
      <c r="F809" t="s">
        <v>14</v>
      </c>
      <c r="G809">
        <v>0.5</v>
      </c>
      <c r="H809" s="12">
        <v>0</v>
      </c>
      <c r="I809" s="12">
        <v>0</v>
      </c>
      <c r="J809" s="12">
        <v>0</v>
      </c>
      <c r="K809" s="12">
        <v>0</v>
      </c>
      <c r="L809" s="12">
        <v>0</v>
      </c>
      <c r="M809" s="12">
        <v>0</v>
      </c>
      <c r="N809" s="12">
        <v>0</v>
      </c>
      <c r="O809" s="12">
        <v>0</v>
      </c>
      <c r="P809" s="12">
        <v>1</v>
      </c>
      <c r="Q809" s="12">
        <v>0</v>
      </c>
      <c r="R809" s="12">
        <v>0</v>
      </c>
      <c r="S809" t="s">
        <v>214</v>
      </c>
    </row>
    <row r="810" spans="1:19" x14ac:dyDescent="0.25">
      <c r="A810" s="13">
        <v>45950.642951388887</v>
      </c>
      <c r="B810" t="s">
        <v>349</v>
      </c>
      <c r="C810" t="s">
        <v>363</v>
      </c>
      <c r="D810" t="s">
        <v>20</v>
      </c>
      <c r="E810" t="s">
        <v>11</v>
      </c>
      <c r="F810" t="s">
        <v>14</v>
      </c>
      <c r="G810">
        <v>0.5</v>
      </c>
      <c r="H810" s="12">
        <v>0</v>
      </c>
      <c r="I810" s="12">
        <v>0</v>
      </c>
      <c r="J810" s="12">
        <v>0</v>
      </c>
      <c r="K810" s="12">
        <v>0</v>
      </c>
      <c r="L810" s="12">
        <v>0</v>
      </c>
      <c r="M810" s="12">
        <v>0</v>
      </c>
      <c r="N810" s="12">
        <v>0</v>
      </c>
      <c r="O810" s="12">
        <v>0</v>
      </c>
      <c r="P810" s="12">
        <v>0</v>
      </c>
      <c r="Q810" s="12">
        <v>0</v>
      </c>
      <c r="R810" s="12">
        <v>0</v>
      </c>
      <c r="S810" t="s">
        <v>215</v>
      </c>
    </row>
    <row r="811" spans="1:19" x14ac:dyDescent="0.25">
      <c r="A811" s="13">
        <v>45950.657951388886</v>
      </c>
      <c r="B811" t="s">
        <v>349</v>
      </c>
      <c r="C811" t="s">
        <v>363</v>
      </c>
      <c r="D811" t="s">
        <v>10</v>
      </c>
      <c r="E811" t="s">
        <v>11</v>
      </c>
      <c r="F811" t="s">
        <v>14</v>
      </c>
      <c r="G811">
        <v>0.5</v>
      </c>
      <c r="H811" s="12">
        <v>0</v>
      </c>
      <c r="I811" s="12">
        <v>0</v>
      </c>
      <c r="J811" s="12">
        <v>0</v>
      </c>
      <c r="K811" s="12">
        <v>0</v>
      </c>
      <c r="L811" s="12">
        <v>0</v>
      </c>
      <c r="M811" s="12">
        <v>0</v>
      </c>
      <c r="N811" s="12">
        <v>0</v>
      </c>
      <c r="O811" s="12">
        <v>1</v>
      </c>
      <c r="P811" s="12">
        <v>0</v>
      </c>
      <c r="Q811" s="12">
        <v>0</v>
      </c>
      <c r="R811" s="12">
        <v>0</v>
      </c>
    </row>
    <row r="812" spans="1:19" x14ac:dyDescent="0.25">
      <c r="A812" s="13">
        <v>45950.658043981479</v>
      </c>
      <c r="B812" t="s">
        <v>349</v>
      </c>
      <c r="C812" t="s">
        <v>363</v>
      </c>
      <c r="D812" t="s">
        <v>10</v>
      </c>
      <c r="E812" t="s">
        <v>11</v>
      </c>
      <c r="F812" t="s">
        <v>15</v>
      </c>
      <c r="G812">
        <v>3</v>
      </c>
      <c r="H812" s="12">
        <v>1</v>
      </c>
      <c r="I812" s="12">
        <v>0</v>
      </c>
      <c r="J812" s="12">
        <v>0</v>
      </c>
      <c r="K812" s="12">
        <v>0</v>
      </c>
      <c r="L812" s="12">
        <v>0</v>
      </c>
      <c r="M812" s="12">
        <v>1</v>
      </c>
      <c r="N812" s="12">
        <v>0</v>
      </c>
      <c r="O812" s="12">
        <v>0</v>
      </c>
      <c r="P812" s="12">
        <v>0</v>
      </c>
      <c r="Q812" s="12">
        <v>0</v>
      </c>
      <c r="R812" s="12">
        <v>0</v>
      </c>
    </row>
    <row r="813" spans="1:19" x14ac:dyDescent="0.25">
      <c r="A813" s="13">
        <v>45951.678935185184</v>
      </c>
      <c r="B813" t="s">
        <v>353</v>
      </c>
      <c r="C813" t="s">
        <v>358</v>
      </c>
      <c r="D813" t="s">
        <v>10</v>
      </c>
      <c r="E813" t="s">
        <v>11</v>
      </c>
      <c r="F813" t="s">
        <v>15</v>
      </c>
      <c r="G813">
        <v>3</v>
      </c>
      <c r="H813" s="12">
        <v>0</v>
      </c>
      <c r="I813" s="12">
        <v>0</v>
      </c>
      <c r="J813" s="12">
        <v>0</v>
      </c>
      <c r="K813" s="12">
        <v>0</v>
      </c>
      <c r="L813" s="12">
        <v>1</v>
      </c>
      <c r="M813" s="12">
        <v>0</v>
      </c>
      <c r="N813" s="12">
        <v>0</v>
      </c>
      <c r="O813" s="12">
        <v>0</v>
      </c>
      <c r="P813" s="12">
        <v>0</v>
      </c>
      <c r="Q813" s="12">
        <v>0</v>
      </c>
      <c r="R813" s="12">
        <v>0</v>
      </c>
    </row>
    <row r="814" spans="1:19" x14ac:dyDescent="0.25">
      <c r="A814" s="13">
        <v>45951.679097222222</v>
      </c>
      <c r="B814" t="s">
        <v>353</v>
      </c>
      <c r="C814" t="s">
        <v>358</v>
      </c>
      <c r="D814" t="s">
        <v>20</v>
      </c>
      <c r="E814" t="s">
        <v>11</v>
      </c>
      <c r="F814" t="s">
        <v>15</v>
      </c>
      <c r="G814">
        <v>3</v>
      </c>
      <c r="H814" s="12">
        <v>0</v>
      </c>
      <c r="I814" s="12">
        <v>0</v>
      </c>
      <c r="J814" s="12">
        <v>0</v>
      </c>
      <c r="K814" s="12">
        <v>0</v>
      </c>
      <c r="L814" s="12">
        <v>0</v>
      </c>
      <c r="M814" s="12">
        <v>0</v>
      </c>
      <c r="N814" s="12">
        <v>0</v>
      </c>
      <c r="O814" s="12">
        <v>0</v>
      </c>
      <c r="P814" s="12">
        <v>0</v>
      </c>
      <c r="Q814" s="12">
        <v>1</v>
      </c>
      <c r="R814" s="12">
        <v>0</v>
      </c>
    </row>
    <row r="815" spans="1:19" x14ac:dyDescent="0.25">
      <c r="A815" s="13">
        <v>45951.685555555552</v>
      </c>
      <c r="B815" t="s">
        <v>353</v>
      </c>
      <c r="C815" t="s">
        <v>358</v>
      </c>
      <c r="D815" t="s">
        <v>10</v>
      </c>
      <c r="E815" t="s">
        <v>11</v>
      </c>
      <c r="F815" t="s">
        <v>15</v>
      </c>
      <c r="G815">
        <v>3</v>
      </c>
      <c r="H815" s="12">
        <v>1</v>
      </c>
      <c r="I815" s="12">
        <v>0</v>
      </c>
      <c r="J815" s="12">
        <v>1</v>
      </c>
      <c r="K815" s="12">
        <v>0</v>
      </c>
      <c r="L815" s="12">
        <v>0</v>
      </c>
      <c r="M815" s="12">
        <v>0</v>
      </c>
      <c r="N815" s="12">
        <v>0</v>
      </c>
      <c r="O815" s="12">
        <v>0</v>
      </c>
      <c r="P815" s="12">
        <v>0</v>
      </c>
      <c r="Q815" s="12">
        <v>0</v>
      </c>
      <c r="R815" s="12">
        <v>0</v>
      </c>
    </row>
    <row r="816" spans="1:19" x14ac:dyDescent="0.25">
      <c r="A816" s="13">
        <v>45952.438680555555</v>
      </c>
      <c r="B816" t="s">
        <v>347</v>
      </c>
      <c r="C816" t="s">
        <v>359</v>
      </c>
      <c r="D816" t="s">
        <v>10</v>
      </c>
      <c r="E816" t="s">
        <v>11</v>
      </c>
      <c r="F816" t="s">
        <v>12</v>
      </c>
      <c r="G816">
        <v>10.5</v>
      </c>
      <c r="H816" s="12">
        <v>0</v>
      </c>
      <c r="I816" s="12">
        <v>0</v>
      </c>
      <c r="J816" s="12">
        <v>0</v>
      </c>
      <c r="K816" s="12">
        <v>0</v>
      </c>
      <c r="L816" s="12">
        <v>1</v>
      </c>
      <c r="M816" s="12">
        <v>0</v>
      </c>
      <c r="N816" s="12">
        <v>0</v>
      </c>
      <c r="O816" s="12">
        <v>0</v>
      </c>
      <c r="P816" s="12">
        <v>1</v>
      </c>
      <c r="Q816" s="12">
        <v>0</v>
      </c>
      <c r="R816" s="12">
        <v>0</v>
      </c>
    </row>
    <row r="817" spans="1:19" x14ac:dyDescent="0.25">
      <c r="A817" s="13">
        <v>45952.538402777776</v>
      </c>
      <c r="B817" t="s">
        <v>350</v>
      </c>
      <c r="C817" t="s">
        <v>359</v>
      </c>
      <c r="D817" t="s">
        <v>10</v>
      </c>
      <c r="E817" t="s">
        <v>11</v>
      </c>
      <c r="F817" t="s">
        <v>14</v>
      </c>
      <c r="G817">
        <v>0.5</v>
      </c>
      <c r="H817" s="12">
        <v>0</v>
      </c>
      <c r="I817" s="12">
        <v>0</v>
      </c>
      <c r="J817" s="12">
        <v>0</v>
      </c>
      <c r="K817" s="12">
        <v>0</v>
      </c>
      <c r="L817" s="12">
        <v>0</v>
      </c>
      <c r="M817" s="12">
        <v>0</v>
      </c>
      <c r="N817" s="12">
        <v>0</v>
      </c>
      <c r="O817" s="12">
        <v>1</v>
      </c>
      <c r="P817" s="12">
        <v>0</v>
      </c>
      <c r="Q817" s="12">
        <v>0</v>
      </c>
      <c r="R817" s="12">
        <v>0</v>
      </c>
    </row>
    <row r="818" spans="1:19" x14ac:dyDescent="0.25">
      <c r="A818" s="13">
        <v>45952.541180555556</v>
      </c>
      <c r="B818" t="s">
        <v>350</v>
      </c>
      <c r="C818" t="s">
        <v>359</v>
      </c>
      <c r="D818" t="s">
        <v>10</v>
      </c>
      <c r="E818" t="s">
        <v>11</v>
      </c>
      <c r="F818" t="s">
        <v>14</v>
      </c>
      <c r="G818">
        <v>0.5</v>
      </c>
      <c r="H818" s="12">
        <v>0</v>
      </c>
      <c r="I818" s="12">
        <v>0</v>
      </c>
      <c r="J818" s="12">
        <v>0</v>
      </c>
      <c r="K818" s="12">
        <v>0</v>
      </c>
      <c r="L818" s="12">
        <v>0</v>
      </c>
      <c r="M818" s="12">
        <v>0</v>
      </c>
      <c r="N818" s="12">
        <v>0</v>
      </c>
      <c r="O818" s="12">
        <v>1</v>
      </c>
      <c r="P818" s="12">
        <v>0</v>
      </c>
      <c r="Q818" s="12">
        <v>0</v>
      </c>
      <c r="R818" s="12">
        <v>0</v>
      </c>
    </row>
    <row r="819" spans="1:19" x14ac:dyDescent="0.25">
      <c r="A819" s="13">
        <v>45952.566701388889</v>
      </c>
      <c r="B819" t="s">
        <v>351</v>
      </c>
      <c r="C819" t="s">
        <v>359</v>
      </c>
      <c r="D819" t="s">
        <v>20</v>
      </c>
      <c r="E819" t="s">
        <v>11</v>
      </c>
      <c r="F819" t="s">
        <v>15</v>
      </c>
      <c r="G819">
        <v>3</v>
      </c>
      <c r="H819" s="12">
        <v>1</v>
      </c>
      <c r="I819" s="12">
        <v>0</v>
      </c>
      <c r="J819" s="12">
        <v>1</v>
      </c>
      <c r="K819" s="12">
        <v>0</v>
      </c>
      <c r="L819" s="12">
        <v>0</v>
      </c>
      <c r="M819" s="12">
        <v>0</v>
      </c>
      <c r="N819" s="12">
        <v>0</v>
      </c>
      <c r="O819" s="12">
        <v>0</v>
      </c>
      <c r="P819" s="12">
        <v>0</v>
      </c>
      <c r="Q819" s="12">
        <v>0</v>
      </c>
      <c r="R819" s="12">
        <v>0</v>
      </c>
    </row>
    <row r="820" spans="1:19" x14ac:dyDescent="0.25">
      <c r="A820" s="13">
        <v>45952.567002314812</v>
      </c>
      <c r="B820" t="s">
        <v>351</v>
      </c>
      <c r="C820" t="s">
        <v>359</v>
      </c>
      <c r="D820" t="s">
        <v>10</v>
      </c>
      <c r="E820" t="s">
        <v>11</v>
      </c>
      <c r="F820" t="s">
        <v>12</v>
      </c>
      <c r="G820">
        <v>10.5</v>
      </c>
      <c r="H820" s="12">
        <v>0</v>
      </c>
      <c r="I820" s="12">
        <v>0</v>
      </c>
      <c r="J820" s="12">
        <v>0</v>
      </c>
      <c r="K820" s="12">
        <v>0</v>
      </c>
      <c r="L820" s="12">
        <v>0</v>
      </c>
      <c r="M820" s="12">
        <v>0</v>
      </c>
      <c r="N820" s="12">
        <v>0</v>
      </c>
      <c r="O820" s="12">
        <v>1</v>
      </c>
      <c r="P820" s="12">
        <v>0</v>
      </c>
      <c r="Q820" s="12">
        <v>0</v>
      </c>
      <c r="R820" s="12">
        <v>0</v>
      </c>
    </row>
    <row r="821" spans="1:19" x14ac:dyDescent="0.25">
      <c r="A821" s="13">
        <v>45952.610381944447</v>
      </c>
      <c r="B821" t="s">
        <v>348</v>
      </c>
      <c r="C821" t="s">
        <v>359</v>
      </c>
      <c r="D821" t="s">
        <v>10</v>
      </c>
      <c r="E821" t="s">
        <v>11</v>
      </c>
      <c r="F821" t="s">
        <v>14</v>
      </c>
      <c r="G821">
        <v>0.5</v>
      </c>
      <c r="H821" s="12">
        <v>0</v>
      </c>
      <c r="I821" s="12">
        <v>0</v>
      </c>
      <c r="J821" s="12">
        <v>0</v>
      </c>
      <c r="K821" s="12">
        <v>0</v>
      </c>
      <c r="L821" s="12">
        <v>0</v>
      </c>
      <c r="M821" s="12">
        <v>0</v>
      </c>
      <c r="N821" s="12">
        <v>0</v>
      </c>
      <c r="O821" s="12">
        <v>0</v>
      </c>
      <c r="P821" s="12">
        <v>0</v>
      </c>
      <c r="Q821" s="12">
        <v>1</v>
      </c>
      <c r="R821" s="12">
        <v>0</v>
      </c>
    </row>
    <row r="822" spans="1:19" x14ac:dyDescent="0.25">
      <c r="A822" s="13">
        <v>45952.610439814816</v>
      </c>
      <c r="B822" t="s">
        <v>348</v>
      </c>
      <c r="C822" t="s">
        <v>359</v>
      </c>
      <c r="D822" t="s">
        <v>10</v>
      </c>
      <c r="E822" t="s">
        <v>11</v>
      </c>
      <c r="F822" t="s">
        <v>14</v>
      </c>
      <c r="G822">
        <v>0.5</v>
      </c>
      <c r="H822" s="12">
        <v>0</v>
      </c>
      <c r="I822" s="12">
        <v>0</v>
      </c>
      <c r="J822" s="12">
        <v>0</v>
      </c>
      <c r="K822" s="12">
        <v>0</v>
      </c>
      <c r="L822" s="12">
        <v>0</v>
      </c>
      <c r="M822" s="12">
        <v>0</v>
      </c>
      <c r="N822" s="12">
        <v>0</v>
      </c>
      <c r="O822" s="12">
        <v>0</v>
      </c>
      <c r="P822" s="12">
        <v>1</v>
      </c>
      <c r="Q822" s="12">
        <v>0</v>
      </c>
      <c r="R822" s="12">
        <v>0</v>
      </c>
    </row>
    <row r="823" spans="1:19" x14ac:dyDescent="0.25">
      <c r="A823" s="13">
        <v>45952.62296296296</v>
      </c>
      <c r="B823" t="s">
        <v>348</v>
      </c>
      <c r="C823" t="s">
        <v>359</v>
      </c>
      <c r="D823" t="s">
        <v>10</v>
      </c>
      <c r="E823" t="s">
        <v>11</v>
      </c>
      <c r="F823" t="s">
        <v>15</v>
      </c>
      <c r="G823">
        <v>3</v>
      </c>
      <c r="H823" s="12">
        <v>0</v>
      </c>
      <c r="I823" s="12">
        <v>0</v>
      </c>
      <c r="J823" s="12">
        <v>0</v>
      </c>
      <c r="K823" s="12">
        <v>0</v>
      </c>
      <c r="L823" s="12">
        <v>0</v>
      </c>
      <c r="M823" s="12">
        <v>0</v>
      </c>
      <c r="N823" s="12">
        <v>0</v>
      </c>
      <c r="O823" s="12">
        <v>0</v>
      </c>
      <c r="P823" s="12">
        <v>0</v>
      </c>
      <c r="Q823" s="12">
        <v>0</v>
      </c>
      <c r="R823" s="12">
        <v>1</v>
      </c>
      <c r="S823" t="s">
        <v>216</v>
      </c>
    </row>
    <row r="824" spans="1:19" x14ac:dyDescent="0.25">
      <c r="A824" s="13">
        <v>45954.406365740739</v>
      </c>
      <c r="B824" t="s">
        <v>352</v>
      </c>
      <c r="C824" t="s">
        <v>361</v>
      </c>
      <c r="D824" t="s">
        <v>10</v>
      </c>
      <c r="E824" t="s">
        <v>11</v>
      </c>
      <c r="F824" t="s">
        <v>12</v>
      </c>
      <c r="G824">
        <v>10.5</v>
      </c>
      <c r="H824" s="12">
        <v>1</v>
      </c>
      <c r="I824" s="12">
        <v>0</v>
      </c>
      <c r="J824" s="12">
        <v>1</v>
      </c>
      <c r="K824" s="12">
        <v>0</v>
      </c>
      <c r="L824" s="12">
        <v>0</v>
      </c>
      <c r="M824" s="12">
        <v>0</v>
      </c>
      <c r="N824" s="12">
        <v>0</v>
      </c>
      <c r="O824" s="12">
        <v>0</v>
      </c>
      <c r="P824" s="12">
        <v>0</v>
      </c>
      <c r="Q824" s="12">
        <v>0</v>
      </c>
      <c r="R824" s="12">
        <v>0</v>
      </c>
    </row>
    <row r="825" spans="1:19" x14ac:dyDescent="0.25">
      <c r="A825" s="13">
        <v>45954.406631944446</v>
      </c>
      <c r="B825" t="s">
        <v>352</v>
      </c>
      <c r="C825" t="s">
        <v>361</v>
      </c>
      <c r="D825" t="s">
        <v>10</v>
      </c>
      <c r="E825" t="s">
        <v>11</v>
      </c>
      <c r="F825" t="s">
        <v>14</v>
      </c>
      <c r="G825">
        <v>0.5</v>
      </c>
      <c r="H825" s="12">
        <v>0</v>
      </c>
      <c r="I825" s="12">
        <v>0</v>
      </c>
      <c r="J825" s="12">
        <v>0</v>
      </c>
      <c r="K825" s="12">
        <v>0</v>
      </c>
      <c r="L825" s="12">
        <v>0</v>
      </c>
      <c r="M825" s="12">
        <v>0</v>
      </c>
      <c r="N825" s="12">
        <v>0</v>
      </c>
      <c r="O825" s="12">
        <v>0</v>
      </c>
      <c r="P825" s="12">
        <v>0</v>
      </c>
      <c r="Q825" s="12">
        <v>1</v>
      </c>
      <c r="R825" s="12">
        <v>0</v>
      </c>
    </row>
    <row r="826" spans="1:19" x14ac:dyDescent="0.25">
      <c r="A826" s="13">
        <v>45954.411921296298</v>
      </c>
      <c r="B826" t="s">
        <v>352</v>
      </c>
      <c r="C826" t="s">
        <v>361</v>
      </c>
      <c r="D826" t="s">
        <v>20</v>
      </c>
      <c r="E826" t="s">
        <v>11</v>
      </c>
      <c r="F826" t="s">
        <v>14</v>
      </c>
      <c r="G826">
        <v>0.5</v>
      </c>
      <c r="H826" s="12">
        <v>0</v>
      </c>
      <c r="I826" s="12">
        <v>0</v>
      </c>
      <c r="J826" s="12">
        <v>0</v>
      </c>
      <c r="K826" s="12">
        <v>0</v>
      </c>
      <c r="L826" s="12">
        <v>0</v>
      </c>
      <c r="M826" s="12">
        <v>0</v>
      </c>
      <c r="N826" s="12">
        <v>0</v>
      </c>
      <c r="O826" s="12">
        <v>0</v>
      </c>
      <c r="P826" s="12">
        <v>1</v>
      </c>
      <c r="Q826" s="12">
        <v>0</v>
      </c>
      <c r="R826" s="12">
        <v>0</v>
      </c>
    </row>
    <row r="827" spans="1:19" x14ac:dyDescent="0.25">
      <c r="A827" s="13">
        <v>45954.424027777779</v>
      </c>
      <c r="B827" t="s">
        <v>347</v>
      </c>
      <c r="C827" t="s">
        <v>361</v>
      </c>
      <c r="D827" t="s">
        <v>10</v>
      </c>
      <c r="E827" t="s">
        <v>11</v>
      </c>
      <c r="F827" t="s">
        <v>15</v>
      </c>
      <c r="G827">
        <v>3</v>
      </c>
      <c r="H827" s="12">
        <v>1</v>
      </c>
      <c r="I827" s="12">
        <v>0</v>
      </c>
      <c r="J827" s="12">
        <v>1</v>
      </c>
      <c r="K827" s="12">
        <v>0</v>
      </c>
      <c r="L827" s="12">
        <v>0</v>
      </c>
      <c r="M827" s="12">
        <v>0</v>
      </c>
      <c r="N827" s="12">
        <v>0</v>
      </c>
      <c r="O827" s="12">
        <v>0</v>
      </c>
      <c r="P827" s="12">
        <v>0</v>
      </c>
      <c r="Q827" s="12">
        <v>0</v>
      </c>
      <c r="R827" s="12">
        <v>0</v>
      </c>
    </row>
    <row r="828" spans="1:19" x14ac:dyDescent="0.25">
      <c r="A828" s="13">
        <v>45954.424143518518</v>
      </c>
      <c r="B828" t="s">
        <v>347</v>
      </c>
      <c r="C828" t="s">
        <v>361</v>
      </c>
      <c r="D828" t="s">
        <v>10</v>
      </c>
      <c r="E828" t="s">
        <v>11</v>
      </c>
      <c r="F828" t="s">
        <v>15</v>
      </c>
      <c r="G828">
        <v>3</v>
      </c>
      <c r="H828" s="12">
        <v>0</v>
      </c>
      <c r="I828" s="12">
        <v>0</v>
      </c>
      <c r="J828" s="12">
        <v>0</v>
      </c>
      <c r="K828" s="12">
        <v>0</v>
      </c>
      <c r="L828" s="12">
        <v>1</v>
      </c>
      <c r="M828" s="12">
        <v>0</v>
      </c>
      <c r="N828" s="12">
        <v>0</v>
      </c>
      <c r="O828" s="12">
        <v>0</v>
      </c>
      <c r="P828" s="12">
        <v>0</v>
      </c>
      <c r="Q828" s="12">
        <v>0</v>
      </c>
      <c r="R828" s="12">
        <v>0</v>
      </c>
    </row>
    <row r="829" spans="1:19" x14ac:dyDescent="0.25">
      <c r="A829" s="13">
        <v>45954.469143518516</v>
      </c>
      <c r="B829" t="s">
        <v>354</v>
      </c>
      <c r="C829" t="s">
        <v>361</v>
      </c>
      <c r="D829" t="s">
        <v>10</v>
      </c>
      <c r="E829" t="s">
        <v>11</v>
      </c>
      <c r="F829" t="s">
        <v>12</v>
      </c>
      <c r="G829">
        <v>10.5</v>
      </c>
      <c r="H829" s="12">
        <v>1</v>
      </c>
      <c r="I829" s="12">
        <v>0</v>
      </c>
      <c r="J829" s="12">
        <v>1</v>
      </c>
      <c r="K829" s="12">
        <v>0</v>
      </c>
      <c r="L829" s="12">
        <v>0</v>
      </c>
      <c r="M829" s="12">
        <v>0</v>
      </c>
      <c r="N829" s="12">
        <v>0</v>
      </c>
      <c r="O829" s="12">
        <v>0</v>
      </c>
      <c r="P829" s="12">
        <v>0</v>
      </c>
      <c r="Q829" s="12">
        <v>0</v>
      </c>
      <c r="R829" s="12">
        <v>0</v>
      </c>
    </row>
    <row r="830" spans="1:19" x14ac:dyDescent="0.25">
      <c r="A830" s="13">
        <v>45954.473854166667</v>
      </c>
      <c r="B830" t="s">
        <v>354</v>
      </c>
      <c r="C830" t="s">
        <v>361</v>
      </c>
      <c r="D830" t="s">
        <v>10</v>
      </c>
      <c r="E830" t="s">
        <v>11</v>
      </c>
      <c r="F830" t="s">
        <v>14</v>
      </c>
      <c r="G830">
        <v>0.5</v>
      </c>
      <c r="H830" s="12">
        <v>1</v>
      </c>
      <c r="I830" s="12">
        <v>0</v>
      </c>
      <c r="J830" s="12">
        <v>1</v>
      </c>
      <c r="K830" s="12">
        <v>0</v>
      </c>
      <c r="L830" s="12">
        <v>0</v>
      </c>
      <c r="M830" s="12">
        <v>0</v>
      </c>
      <c r="N830" s="12">
        <v>0</v>
      </c>
      <c r="O830" s="12">
        <v>0</v>
      </c>
      <c r="P830" s="12">
        <v>0</v>
      </c>
      <c r="Q830" s="12">
        <v>0</v>
      </c>
      <c r="R830" s="12">
        <v>0</v>
      </c>
    </row>
    <row r="831" spans="1:19" x14ac:dyDescent="0.25">
      <c r="A831" s="13">
        <v>45954.473946759259</v>
      </c>
      <c r="B831" t="s">
        <v>354</v>
      </c>
      <c r="C831" t="s">
        <v>361</v>
      </c>
      <c r="D831" t="s">
        <v>10</v>
      </c>
      <c r="E831" t="s">
        <v>11</v>
      </c>
      <c r="F831" t="s">
        <v>14</v>
      </c>
      <c r="G831">
        <v>0.5</v>
      </c>
      <c r="H831" s="12">
        <v>0</v>
      </c>
      <c r="I831" s="12">
        <v>0</v>
      </c>
      <c r="J831" s="12">
        <v>0</v>
      </c>
      <c r="K831" s="12">
        <v>0</v>
      </c>
      <c r="L831" s="12">
        <v>0</v>
      </c>
      <c r="M831" s="12">
        <v>0</v>
      </c>
      <c r="N831" s="12">
        <v>0</v>
      </c>
      <c r="O831" s="12">
        <v>0</v>
      </c>
      <c r="P831" s="12">
        <v>0</v>
      </c>
      <c r="Q831" s="12">
        <v>1</v>
      </c>
      <c r="R831" s="12">
        <v>0</v>
      </c>
    </row>
    <row r="832" spans="1:19" x14ac:dyDescent="0.25">
      <c r="A832" s="13">
        <v>45954.486886574072</v>
      </c>
      <c r="B832" t="s">
        <v>354</v>
      </c>
      <c r="C832" t="s">
        <v>361</v>
      </c>
      <c r="D832" t="s">
        <v>20</v>
      </c>
      <c r="E832" t="s">
        <v>11</v>
      </c>
      <c r="F832" t="s">
        <v>14</v>
      </c>
      <c r="G832">
        <v>0.5</v>
      </c>
      <c r="H832" s="12">
        <v>0</v>
      </c>
      <c r="I832" s="12">
        <v>0</v>
      </c>
      <c r="J832" s="12">
        <v>0</v>
      </c>
      <c r="K832" s="12">
        <v>0</v>
      </c>
      <c r="L832" s="12">
        <v>0</v>
      </c>
      <c r="M832" s="12">
        <v>0</v>
      </c>
      <c r="N832" s="12">
        <v>0</v>
      </c>
      <c r="O832" s="12">
        <v>0</v>
      </c>
      <c r="P832" s="12">
        <v>0</v>
      </c>
      <c r="Q832" s="12">
        <v>0</v>
      </c>
      <c r="R832" s="12">
        <v>1</v>
      </c>
      <c r="S832" t="s">
        <v>217</v>
      </c>
    </row>
    <row r="833" spans="1:19" x14ac:dyDescent="0.25">
      <c r="A833" s="13">
        <v>45954.519884259258</v>
      </c>
      <c r="B833" t="s">
        <v>350</v>
      </c>
      <c r="C833" t="s">
        <v>361</v>
      </c>
      <c r="D833" t="s">
        <v>20</v>
      </c>
      <c r="E833" t="s">
        <v>11</v>
      </c>
      <c r="F833" t="s">
        <v>12</v>
      </c>
      <c r="G833">
        <v>10.5</v>
      </c>
      <c r="H833" s="12">
        <v>0</v>
      </c>
      <c r="I833" s="12">
        <v>0</v>
      </c>
      <c r="J833" s="12">
        <v>0</v>
      </c>
      <c r="K833" s="12">
        <v>0</v>
      </c>
      <c r="L833" s="12">
        <v>0</v>
      </c>
      <c r="M833" s="12">
        <v>0</v>
      </c>
      <c r="N833" s="12">
        <v>0</v>
      </c>
      <c r="O833" s="12">
        <v>0</v>
      </c>
      <c r="P833" s="12">
        <v>1</v>
      </c>
      <c r="Q833" s="12">
        <v>0</v>
      </c>
      <c r="R833" s="12">
        <v>0</v>
      </c>
    </row>
    <row r="834" spans="1:19" x14ac:dyDescent="0.25">
      <c r="A834" s="13">
        <v>45954.538217592592</v>
      </c>
      <c r="B834" t="s">
        <v>350</v>
      </c>
      <c r="C834" t="s">
        <v>361</v>
      </c>
      <c r="D834" t="s">
        <v>10</v>
      </c>
      <c r="E834" t="s">
        <v>11</v>
      </c>
      <c r="F834" t="s">
        <v>12</v>
      </c>
      <c r="G834">
        <v>10.5</v>
      </c>
      <c r="H834" s="12">
        <v>0</v>
      </c>
      <c r="I834" s="12">
        <v>0</v>
      </c>
      <c r="J834" s="12">
        <v>1</v>
      </c>
      <c r="K834" s="12">
        <v>0</v>
      </c>
      <c r="L834" s="12">
        <v>0</v>
      </c>
      <c r="M834" s="12">
        <v>1</v>
      </c>
      <c r="N834" s="12">
        <v>0</v>
      </c>
      <c r="O834" s="12">
        <v>0</v>
      </c>
      <c r="P834" s="12">
        <v>0</v>
      </c>
      <c r="Q834" s="12">
        <v>0</v>
      </c>
      <c r="R834" s="12">
        <v>0</v>
      </c>
    </row>
    <row r="835" spans="1:19" x14ac:dyDescent="0.25">
      <c r="A835" s="13">
        <v>45954.597500000003</v>
      </c>
      <c r="B835" t="s">
        <v>348</v>
      </c>
      <c r="C835" t="s">
        <v>361</v>
      </c>
      <c r="D835" t="s">
        <v>10</v>
      </c>
      <c r="E835" t="s">
        <v>11</v>
      </c>
      <c r="F835" t="s">
        <v>12</v>
      </c>
      <c r="G835">
        <v>10.5</v>
      </c>
      <c r="H835" s="12">
        <v>0</v>
      </c>
      <c r="I835" s="12">
        <v>0</v>
      </c>
      <c r="J835" s="12">
        <v>1</v>
      </c>
      <c r="K835" s="12">
        <v>0</v>
      </c>
      <c r="L835" s="12">
        <v>0</v>
      </c>
      <c r="M835" s="12">
        <v>1</v>
      </c>
      <c r="N835" s="12">
        <v>0</v>
      </c>
      <c r="O835" s="12">
        <v>0</v>
      </c>
      <c r="P835" s="12">
        <v>1</v>
      </c>
      <c r="Q835" s="12">
        <v>0</v>
      </c>
      <c r="R835" s="12">
        <v>0</v>
      </c>
    </row>
    <row r="836" spans="1:19" x14ac:dyDescent="0.25">
      <c r="A836" s="13">
        <v>45954.602083333331</v>
      </c>
      <c r="B836" t="s">
        <v>348</v>
      </c>
      <c r="C836" t="s">
        <v>361</v>
      </c>
      <c r="D836" t="s">
        <v>10</v>
      </c>
      <c r="E836" t="s">
        <v>11</v>
      </c>
      <c r="F836" t="s">
        <v>15</v>
      </c>
      <c r="G836">
        <v>3</v>
      </c>
      <c r="H836" s="12">
        <v>0</v>
      </c>
      <c r="I836" s="12">
        <v>0</v>
      </c>
      <c r="J836" s="12">
        <v>0</v>
      </c>
      <c r="K836" s="12">
        <v>0</v>
      </c>
      <c r="L836" s="12">
        <v>0</v>
      </c>
      <c r="M836" s="12">
        <v>0</v>
      </c>
      <c r="N836" s="12">
        <v>0</v>
      </c>
      <c r="O836" s="12">
        <v>0</v>
      </c>
      <c r="P836" s="12">
        <v>0</v>
      </c>
      <c r="Q836" s="12">
        <v>1</v>
      </c>
      <c r="R836" s="12">
        <v>0</v>
      </c>
    </row>
    <row r="837" spans="1:19" x14ac:dyDescent="0.25">
      <c r="A837" s="13">
        <v>45954.622361111113</v>
      </c>
      <c r="B837" t="s">
        <v>348</v>
      </c>
      <c r="C837" t="s">
        <v>361</v>
      </c>
      <c r="D837" t="s">
        <v>10</v>
      </c>
      <c r="E837" t="s">
        <v>11</v>
      </c>
      <c r="F837" t="s">
        <v>15</v>
      </c>
      <c r="G837">
        <v>3</v>
      </c>
      <c r="H837" s="12">
        <v>0</v>
      </c>
      <c r="I837" s="12">
        <v>0</v>
      </c>
      <c r="J837" s="12">
        <v>0</v>
      </c>
      <c r="K837" s="12">
        <v>0</v>
      </c>
      <c r="L837" s="12">
        <v>0</v>
      </c>
      <c r="M837" s="12">
        <v>0</v>
      </c>
      <c r="N837" s="12">
        <v>0</v>
      </c>
      <c r="O837" s="12">
        <v>1</v>
      </c>
      <c r="P837" s="12">
        <v>0</v>
      </c>
      <c r="Q837" s="12">
        <v>0</v>
      </c>
      <c r="R837" s="12">
        <v>0</v>
      </c>
    </row>
    <row r="838" spans="1:19" x14ac:dyDescent="0.25">
      <c r="A838" s="13">
        <v>45955.390266203707</v>
      </c>
      <c r="B838" t="s">
        <v>352</v>
      </c>
      <c r="C838" t="s">
        <v>362</v>
      </c>
      <c r="D838" t="s">
        <v>10</v>
      </c>
      <c r="E838" t="s">
        <v>11</v>
      </c>
      <c r="F838" t="s">
        <v>15</v>
      </c>
      <c r="G838">
        <v>3</v>
      </c>
      <c r="H838" s="12">
        <v>0</v>
      </c>
      <c r="I838" s="12">
        <v>0</v>
      </c>
      <c r="J838" s="12">
        <v>0</v>
      </c>
      <c r="K838" s="12">
        <v>0</v>
      </c>
      <c r="L838" s="12">
        <v>0</v>
      </c>
      <c r="M838" s="12">
        <v>0</v>
      </c>
      <c r="N838" s="12">
        <v>1</v>
      </c>
      <c r="O838" s="12">
        <v>0</v>
      </c>
      <c r="P838" s="12">
        <v>0</v>
      </c>
      <c r="Q838" s="12">
        <v>0</v>
      </c>
      <c r="R838" s="12">
        <v>0</v>
      </c>
    </row>
    <row r="839" spans="1:19" x14ac:dyDescent="0.25">
      <c r="A839" s="13">
        <v>45955.397060185183</v>
      </c>
      <c r="B839" t="s">
        <v>352</v>
      </c>
      <c r="C839" t="s">
        <v>362</v>
      </c>
      <c r="D839" t="s">
        <v>10</v>
      </c>
      <c r="E839" t="s">
        <v>11</v>
      </c>
      <c r="F839" t="s">
        <v>12</v>
      </c>
      <c r="G839">
        <v>10.5</v>
      </c>
      <c r="H839" s="12">
        <v>1</v>
      </c>
      <c r="I839" s="12">
        <v>0</v>
      </c>
      <c r="J839" s="12">
        <v>1</v>
      </c>
      <c r="K839" s="12">
        <v>0</v>
      </c>
      <c r="L839" s="12">
        <v>0</v>
      </c>
      <c r="M839" s="12">
        <v>0</v>
      </c>
      <c r="N839" s="12">
        <v>0</v>
      </c>
      <c r="O839" s="12">
        <v>0</v>
      </c>
      <c r="P839" s="12">
        <v>1</v>
      </c>
      <c r="Q839" s="12">
        <v>0</v>
      </c>
      <c r="R839" s="12">
        <v>0</v>
      </c>
    </row>
    <row r="840" spans="1:19" x14ac:dyDescent="0.25">
      <c r="A840" s="13">
        <v>45955.469305555554</v>
      </c>
      <c r="B840" t="s">
        <v>354</v>
      </c>
      <c r="C840" t="s">
        <v>362</v>
      </c>
      <c r="D840" t="s">
        <v>10</v>
      </c>
      <c r="E840" t="s">
        <v>11</v>
      </c>
      <c r="F840" t="s">
        <v>12</v>
      </c>
      <c r="G840">
        <v>10.5</v>
      </c>
      <c r="H840" s="12">
        <v>0</v>
      </c>
      <c r="I840" s="12">
        <v>0</v>
      </c>
      <c r="J840" s="12">
        <v>1</v>
      </c>
      <c r="K840" s="12">
        <v>0</v>
      </c>
      <c r="L840" s="12">
        <v>1</v>
      </c>
      <c r="M840" s="12">
        <v>0</v>
      </c>
      <c r="N840" s="12">
        <v>0</v>
      </c>
      <c r="O840" s="12">
        <v>0</v>
      </c>
      <c r="P840" s="12">
        <v>1</v>
      </c>
      <c r="Q840" s="12">
        <v>0</v>
      </c>
      <c r="R840" s="12">
        <v>0</v>
      </c>
    </row>
    <row r="841" spans="1:19" x14ac:dyDescent="0.25">
      <c r="A841" s="13">
        <v>45955.469375000001</v>
      </c>
      <c r="B841" t="s">
        <v>354</v>
      </c>
      <c r="C841" t="s">
        <v>362</v>
      </c>
      <c r="D841" t="s">
        <v>10</v>
      </c>
      <c r="E841" t="s">
        <v>11</v>
      </c>
      <c r="F841" t="s">
        <v>15</v>
      </c>
      <c r="G841">
        <v>3</v>
      </c>
      <c r="H841" s="12">
        <v>1</v>
      </c>
      <c r="I841" s="12">
        <v>0</v>
      </c>
      <c r="J841" s="12">
        <v>1</v>
      </c>
      <c r="K841" s="12">
        <v>0</v>
      </c>
      <c r="L841" s="12">
        <v>0</v>
      </c>
      <c r="M841" s="12">
        <v>1</v>
      </c>
      <c r="N841" s="12">
        <v>0</v>
      </c>
      <c r="O841" s="12">
        <v>0</v>
      </c>
      <c r="P841" s="12">
        <v>0</v>
      </c>
      <c r="Q841" s="12">
        <v>0</v>
      </c>
      <c r="R841" s="12">
        <v>0</v>
      </c>
    </row>
    <row r="842" spans="1:19" x14ac:dyDescent="0.25">
      <c r="A842" s="13">
        <v>45955.476157407407</v>
      </c>
      <c r="B842" t="s">
        <v>354</v>
      </c>
      <c r="C842" t="s">
        <v>362</v>
      </c>
      <c r="D842" t="s">
        <v>10</v>
      </c>
      <c r="E842" t="s">
        <v>11</v>
      </c>
      <c r="F842" t="s">
        <v>12</v>
      </c>
      <c r="G842">
        <v>10.5</v>
      </c>
      <c r="H842" s="12">
        <v>0</v>
      </c>
      <c r="I842" s="12">
        <v>0</v>
      </c>
      <c r="J842" s="12">
        <v>1</v>
      </c>
      <c r="K842" s="12">
        <v>0</v>
      </c>
      <c r="L842" s="12">
        <v>1</v>
      </c>
      <c r="M842" s="12">
        <v>0</v>
      </c>
      <c r="N842" s="12">
        <v>0</v>
      </c>
      <c r="O842" s="12">
        <v>0</v>
      </c>
      <c r="P842" s="12">
        <v>1</v>
      </c>
      <c r="Q842" s="12">
        <v>0</v>
      </c>
      <c r="R842" s="12">
        <v>0</v>
      </c>
    </row>
    <row r="843" spans="1:19" x14ac:dyDescent="0.25">
      <c r="A843" s="13">
        <v>45955.4766087963</v>
      </c>
      <c r="B843" t="s">
        <v>354</v>
      </c>
      <c r="C843" t="s">
        <v>362</v>
      </c>
      <c r="D843" t="s">
        <v>10</v>
      </c>
      <c r="E843" t="s">
        <v>11</v>
      </c>
      <c r="F843" t="s">
        <v>14</v>
      </c>
      <c r="G843">
        <v>0.5</v>
      </c>
      <c r="H843" s="12">
        <v>0</v>
      </c>
      <c r="I843" s="12">
        <v>0</v>
      </c>
      <c r="J843" s="12">
        <v>0</v>
      </c>
      <c r="K843" s="12">
        <v>0</v>
      </c>
      <c r="L843" s="12">
        <v>0</v>
      </c>
      <c r="M843" s="12">
        <v>0</v>
      </c>
      <c r="N843" s="12">
        <v>0</v>
      </c>
      <c r="O843" s="12">
        <v>0</v>
      </c>
      <c r="P843" s="12">
        <v>0</v>
      </c>
      <c r="Q843" s="12">
        <v>0</v>
      </c>
      <c r="R843" s="12">
        <v>1</v>
      </c>
      <c r="S843" t="s">
        <v>218</v>
      </c>
    </row>
    <row r="844" spans="1:19" x14ac:dyDescent="0.25">
      <c r="A844" s="13">
        <v>45957.406539351854</v>
      </c>
      <c r="B844" t="s">
        <v>352</v>
      </c>
      <c r="C844" t="s">
        <v>363</v>
      </c>
      <c r="D844" t="s">
        <v>20</v>
      </c>
      <c r="E844" t="s">
        <v>11</v>
      </c>
      <c r="F844" t="s">
        <v>15</v>
      </c>
      <c r="G844">
        <v>3</v>
      </c>
      <c r="H844" s="12">
        <v>1</v>
      </c>
      <c r="I844" s="12">
        <v>0</v>
      </c>
      <c r="J844" s="12">
        <v>0</v>
      </c>
      <c r="K844" s="12">
        <v>1</v>
      </c>
      <c r="L844" s="12">
        <v>0</v>
      </c>
      <c r="M844" s="12">
        <v>0</v>
      </c>
      <c r="N844" s="12">
        <v>0</v>
      </c>
      <c r="O844" s="12">
        <v>0</v>
      </c>
      <c r="P844" s="12">
        <v>0</v>
      </c>
      <c r="Q844" s="12">
        <v>0</v>
      </c>
      <c r="R844" s="12">
        <v>0</v>
      </c>
      <c r="S844" t="s">
        <v>219</v>
      </c>
    </row>
    <row r="845" spans="1:19" x14ac:dyDescent="0.25">
      <c r="A845" s="13">
        <v>45957.40729166667</v>
      </c>
      <c r="B845" t="s">
        <v>352</v>
      </c>
      <c r="C845" t="s">
        <v>363</v>
      </c>
      <c r="D845" t="s">
        <v>10</v>
      </c>
      <c r="E845" t="s">
        <v>11</v>
      </c>
      <c r="F845" t="s">
        <v>12</v>
      </c>
      <c r="G845">
        <v>10.5</v>
      </c>
      <c r="H845" s="12">
        <v>0</v>
      </c>
      <c r="I845" s="12">
        <v>0</v>
      </c>
      <c r="J845" s="12">
        <v>0</v>
      </c>
      <c r="K845" s="12">
        <v>0</v>
      </c>
      <c r="L845" s="12">
        <v>0</v>
      </c>
      <c r="M845" s="12">
        <v>0</v>
      </c>
      <c r="N845" s="12">
        <v>0</v>
      </c>
      <c r="O845" s="12">
        <v>1</v>
      </c>
      <c r="P845" s="12">
        <v>0</v>
      </c>
      <c r="Q845" s="12">
        <v>0</v>
      </c>
      <c r="R845" s="12">
        <v>0</v>
      </c>
      <c r="S845" t="s">
        <v>220</v>
      </c>
    </row>
    <row r="846" spans="1:19" x14ac:dyDescent="0.25">
      <c r="A846" s="13">
        <v>45957.494502314818</v>
      </c>
      <c r="B846" t="s">
        <v>354</v>
      </c>
      <c r="C846" t="s">
        <v>363</v>
      </c>
      <c r="D846" t="s">
        <v>10</v>
      </c>
      <c r="E846" t="s">
        <v>11</v>
      </c>
      <c r="F846" t="s">
        <v>14</v>
      </c>
      <c r="G846">
        <v>0.5</v>
      </c>
      <c r="H846" s="12">
        <v>0</v>
      </c>
      <c r="I846" s="12">
        <v>0</v>
      </c>
      <c r="J846" s="12">
        <v>0</v>
      </c>
      <c r="K846" s="12">
        <v>0</v>
      </c>
      <c r="L846" s="12">
        <v>0</v>
      </c>
      <c r="M846" s="12">
        <v>0</v>
      </c>
      <c r="N846" s="12">
        <v>0</v>
      </c>
      <c r="O846" s="12">
        <v>0</v>
      </c>
      <c r="P846" s="12">
        <v>0</v>
      </c>
      <c r="Q846" s="12">
        <v>1</v>
      </c>
      <c r="R846" s="12">
        <v>0</v>
      </c>
    </row>
    <row r="847" spans="1:19" x14ac:dyDescent="0.25">
      <c r="A847" s="13">
        <v>45957.494629629633</v>
      </c>
      <c r="B847" t="s">
        <v>354</v>
      </c>
      <c r="C847" t="s">
        <v>363</v>
      </c>
      <c r="D847" t="s">
        <v>10</v>
      </c>
      <c r="E847" t="s">
        <v>11</v>
      </c>
      <c r="F847" t="s">
        <v>14</v>
      </c>
      <c r="G847">
        <v>0.5</v>
      </c>
      <c r="H847" s="12">
        <v>0</v>
      </c>
      <c r="I847" s="12">
        <v>0</v>
      </c>
      <c r="J847" s="12">
        <v>0</v>
      </c>
      <c r="K847" s="12">
        <v>0</v>
      </c>
      <c r="L847" s="12">
        <v>0</v>
      </c>
      <c r="M847" s="12">
        <v>0</v>
      </c>
      <c r="N847" s="12">
        <v>0</v>
      </c>
      <c r="O847" s="12">
        <v>0</v>
      </c>
      <c r="P847" s="12">
        <v>0</v>
      </c>
      <c r="Q847" s="12">
        <v>1</v>
      </c>
      <c r="R847" s="12">
        <v>0</v>
      </c>
    </row>
    <row r="848" spans="1:19" x14ac:dyDescent="0.25">
      <c r="A848" s="13">
        <v>45957.501018518517</v>
      </c>
      <c r="B848" t="s">
        <v>350</v>
      </c>
      <c r="C848" t="s">
        <v>363</v>
      </c>
      <c r="D848" t="s">
        <v>10</v>
      </c>
      <c r="E848" t="s">
        <v>11</v>
      </c>
      <c r="F848" t="s">
        <v>12</v>
      </c>
      <c r="G848">
        <v>10.5</v>
      </c>
      <c r="H848" s="12">
        <v>0</v>
      </c>
      <c r="I848" s="12">
        <v>0</v>
      </c>
      <c r="J848" s="12">
        <v>1</v>
      </c>
      <c r="K848" s="12">
        <v>0</v>
      </c>
      <c r="L848" s="12">
        <v>1</v>
      </c>
      <c r="M848" s="12">
        <v>0</v>
      </c>
      <c r="N848" s="12">
        <v>0</v>
      </c>
      <c r="O848" s="12">
        <v>0</v>
      </c>
      <c r="P848" s="12">
        <v>1</v>
      </c>
      <c r="Q848" s="12">
        <v>0</v>
      </c>
      <c r="R848" s="12">
        <v>0</v>
      </c>
    </row>
    <row r="849" spans="1:19" x14ac:dyDescent="0.25">
      <c r="A849" s="13">
        <v>45957.51059027778</v>
      </c>
      <c r="B849" t="s">
        <v>350</v>
      </c>
      <c r="C849" t="s">
        <v>363</v>
      </c>
      <c r="D849" t="s">
        <v>10</v>
      </c>
      <c r="E849" t="s">
        <v>11</v>
      </c>
      <c r="F849" t="s">
        <v>12</v>
      </c>
      <c r="G849">
        <v>10.5</v>
      </c>
      <c r="H849" s="12">
        <v>0</v>
      </c>
      <c r="I849" s="12">
        <v>0</v>
      </c>
      <c r="J849" s="12">
        <v>0</v>
      </c>
      <c r="K849" s="12">
        <v>0</v>
      </c>
      <c r="L849" s="12">
        <v>1</v>
      </c>
      <c r="M849" s="12">
        <v>0</v>
      </c>
      <c r="N849" s="12">
        <v>0</v>
      </c>
      <c r="O849" s="12">
        <v>0</v>
      </c>
      <c r="P849" s="12">
        <v>0</v>
      </c>
      <c r="Q849" s="12">
        <v>0</v>
      </c>
      <c r="R849" s="12">
        <v>0</v>
      </c>
    </row>
    <row r="850" spans="1:19" x14ac:dyDescent="0.25">
      <c r="A850" s="13">
        <v>45957.525300925925</v>
      </c>
      <c r="B850" t="s">
        <v>350</v>
      </c>
      <c r="C850" t="s">
        <v>363</v>
      </c>
      <c r="D850" t="s">
        <v>10</v>
      </c>
      <c r="E850" t="s">
        <v>11</v>
      </c>
      <c r="F850" t="s">
        <v>12</v>
      </c>
      <c r="G850">
        <v>10.5</v>
      </c>
      <c r="H850" s="12">
        <v>0</v>
      </c>
      <c r="I850" s="12">
        <v>0</v>
      </c>
      <c r="J850" s="12">
        <v>0</v>
      </c>
      <c r="K850" s="12">
        <v>0</v>
      </c>
      <c r="L850" s="12">
        <v>0</v>
      </c>
      <c r="M850" s="12">
        <v>0</v>
      </c>
      <c r="N850" s="12">
        <v>0</v>
      </c>
      <c r="O850" s="12">
        <v>0</v>
      </c>
      <c r="P850" s="12">
        <v>1</v>
      </c>
      <c r="Q850" s="12">
        <v>1</v>
      </c>
      <c r="R850" s="12">
        <v>0</v>
      </c>
    </row>
    <row r="851" spans="1:19" x14ac:dyDescent="0.25">
      <c r="A851" s="13">
        <v>45957.583518518521</v>
      </c>
      <c r="B851" t="s">
        <v>348</v>
      </c>
      <c r="C851" t="s">
        <v>363</v>
      </c>
      <c r="D851" t="s">
        <v>10</v>
      </c>
      <c r="E851" t="s">
        <v>11</v>
      </c>
      <c r="F851" t="s">
        <v>14</v>
      </c>
      <c r="G851">
        <v>0.5</v>
      </c>
      <c r="H851" s="12">
        <v>0</v>
      </c>
      <c r="I851" s="12">
        <v>0</v>
      </c>
      <c r="J851" s="12">
        <v>0</v>
      </c>
      <c r="K851" s="12">
        <v>0</v>
      </c>
      <c r="L851" s="12">
        <v>0</v>
      </c>
      <c r="M851" s="12">
        <v>0</v>
      </c>
      <c r="N851" s="12">
        <v>1</v>
      </c>
      <c r="O851" s="12">
        <v>0</v>
      </c>
      <c r="P851" s="12">
        <v>0</v>
      </c>
      <c r="Q851" s="12">
        <v>0</v>
      </c>
      <c r="R851" s="12">
        <v>0</v>
      </c>
    </row>
    <row r="852" spans="1:19" x14ac:dyDescent="0.25">
      <c r="A852" s="13">
        <v>45957.583611111113</v>
      </c>
      <c r="B852" t="s">
        <v>348</v>
      </c>
      <c r="C852" t="s">
        <v>363</v>
      </c>
      <c r="D852" t="s">
        <v>10</v>
      </c>
      <c r="E852" t="s">
        <v>11</v>
      </c>
      <c r="F852" t="s">
        <v>14</v>
      </c>
      <c r="G852">
        <v>0.5</v>
      </c>
      <c r="H852" s="12">
        <v>0</v>
      </c>
      <c r="I852" s="12">
        <v>0</v>
      </c>
      <c r="J852" s="12">
        <v>0</v>
      </c>
      <c r="K852" s="12">
        <v>0</v>
      </c>
      <c r="L852" s="12">
        <v>0</v>
      </c>
      <c r="M852" s="12">
        <v>0</v>
      </c>
      <c r="N852" s="12">
        <v>0</v>
      </c>
      <c r="O852" s="12">
        <v>0</v>
      </c>
      <c r="P852" s="12">
        <v>0</v>
      </c>
      <c r="Q852" s="12">
        <v>0</v>
      </c>
      <c r="R852" s="12">
        <v>1</v>
      </c>
      <c r="S852" t="s">
        <v>221</v>
      </c>
    </row>
    <row r="853" spans="1:19" x14ac:dyDescent="0.25">
      <c r="A853" s="13">
        <v>45957.583668981482</v>
      </c>
      <c r="B853" t="s">
        <v>348</v>
      </c>
      <c r="C853" t="s">
        <v>363</v>
      </c>
      <c r="D853" t="s">
        <v>10</v>
      </c>
      <c r="E853" t="s">
        <v>11</v>
      </c>
      <c r="F853" t="s">
        <v>14</v>
      </c>
      <c r="G853">
        <v>0.5</v>
      </c>
      <c r="H853" s="12">
        <v>0</v>
      </c>
      <c r="I853" s="12">
        <v>0</v>
      </c>
      <c r="J853" s="12">
        <v>0</v>
      </c>
      <c r="K853" s="12">
        <v>0</v>
      </c>
      <c r="L853" s="12">
        <v>0</v>
      </c>
      <c r="M853" s="12">
        <v>0</v>
      </c>
      <c r="N853" s="12">
        <v>0</v>
      </c>
      <c r="O853" s="12">
        <v>0</v>
      </c>
      <c r="P853" s="12">
        <v>0</v>
      </c>
      <c r="Q853" s="12">
        <v>1</v>
      </c>
      <c r="R853" s="12">
        <v>0</v>
      </c>
    </row>
    <row r="854" spans="1:19" x14ac:dyDescent="0.25">
      <c r="A854" s="13">
        <v>45957.625717592593</v>
      </c>
      <c r="B854" t="s">
        <v>349</v>
      </c>
      <c r="C854" t="s">
        <v>363</v>
      </c>
      <c r="D854" t="s">
        <v>10</v>
      </c>
      <c r="E854" t="s">
        <v>11</v>
      </c>
      <c r="F854" t="s">
        <v>15</v>
      </c>
      <c r="G854">
        <v>3</v>
      </c>
      <c r="H854" s="12">
        <v>0</v>
      </c>
      <c r="I854" s="12">
        <v>0</v>
      </c>
      <c r="J854" s="12">
        <v>0</v>
      </c>
      <c r="K854" s="12">
        <v>0</v>
      </c>
      <c r="L854" s="12">
        <v>1</v>
      </c>
      <c r="M854" s="12">
        <v>0</v>
      </c>
      <c r="N854" s="12">
        <v>0</v>
      </c>
      <c r="O854" s="12">
        <v>0</v>
      </c>
      <c r="P854" s="12">
        <v>0</v>
      </c>
      <c r="Q854" s="12">
        <v>0</v>
      </c>
      <c r="R854" s="12">
        <v>0</v>
      </c>
    </row>
    <row r="855" spans="1:19" x14ac:dyDescent="0.25">
      <c r="A855" s="13">
        <v>45957.626099537039</v>
      </c>
      <c r="B855" t="s">
        <v>349</v>
      </c>
      <c r="C855" t="s">
        <v>363</v>
      </c>
      <c r="D855" t="s">
        <v>10</v>
      </c>
      <c r="E855" t="s">
        <v>11</v>
      </c>
      <c r="F855" t="s">
        <v>12</v>
      </c>
      <c r="G855">
        <v>10.5</v>
      </c>
      <c r="H855" s="12">
        <v>0</v>
      </c>
      <c r="I855" s="12">
        <v>0</v>
      </c>
      <c r="J855" s="12">
        <v>0</v>
      </c>
      <c r="K855" s="12">
        <v>0</v>
      </c>
      <c r="L855" s="12">
        <v>1</v>
      </c>
      <c r="M855" s="12">
        <v>0</v>
      </c>
      <c r="N855" s="12">
        <v>0</v>
      </c>
      <c r="O855" s="12">
        <v>0</v>
      </c>
      <c r="P855" s="12">
        <v>0</v>
      </c>
      <c r="Q855" s="12">
        <v>0</v>
      </c>
      <c r="R855" s="12">
        <v>0</v>
      </c>
    </row>
    <row r="856" spans="1:19" x14ac:dyDescent="0.25">
      <c r="A856" s="13">
        <v>45957.638483796298</v>
      </c>
      <c r="B856" t="s">
        <v>349</v>
      </c>
      <c r="C856" t="s">
        <v>363</v>
      </c>
      <c r="D856" t="s">
        <v>10</v>
      </c>
      <c r="E856" t="s">
        <v>11</v>
      </c>
      <c r="F856" t="s">
        <v>14</v>
      </c>
      <c r="G856">
        <v>0.5</v>
      </c>
      <c r="H856" s="12">
        <v>0</v>
      </c>
      <c r="I856" s="12">
        <v>0</v>
      </c>
      <c r="J856" s="12">
        <v>0</v>
      </c>
      <c r="K856" s="12">
        <v>0</v>
      </c>
      <c r="L856" s="12">
        <v>0</v>
      </c>
      <c r="M856" s="12">
        <v>0</v>
      </c>
      <c r="N856" s="12">
        <v>0</v>
      </c>
      <c r="O856" s="12">
        <v>0</v>
      </c>
      <c r="P856" s="12">
        <v>0</v>
      </c>
      <c r="Q856" s="12">
        <v>1</v>
      </c>
      <c r="R856" s="12">
        <v>0</v>
      </c>
    </row>
    <row r="857" spans="1:19" x14ac:dyDescent="0.25">
      <c r="A857" s="13">
        <v>45957.64770833333</v>
      </c>
      <c r="B857" t="s">
        <v>349</v>
      </c>
      <c r="C857" t="s">
        <v>363</v>
      </c>
      <c r="D857" t="s">
        <v>10</v>
      </c>
      <c r="E857" t="s">
        <v>11</v>
      </c>
      <c r="F857" t="s">
        <v>14</v>
      </c>
      <c r="G857">
        <v>0.5</v>
      </c>
      <c r="H857" s="12">
        <v>0</v>
      </c>
      <c r="I857" s="12">
        <v>0</v>
      </c>
      <c r="J857" s="12">
        <v>0</v>
      </c>
      <c r="K857" s="12">
        <v>0</v>
      </c>
      <c r="L857" s="12">
        <v>0</v>
      </c>
      <c r="M857" s="12">
        <v>0</v>
      </c>
      <c r="N857" s="12">
        <v>0</v>
      </c>
      <c r="O857" s="12">
        <v>1</v>
      </c>
      <c r="P857" s="12">
        <v>0</v>
      </c>
      <c r="Q857" s="12">
        <v>0</v>
      </c>
      <c r="R857" s="12">
        <v>0</v>
      </c>
    </row>
    <row r="858" spans="1:19" x14ac:dyDescent="0.25">
      <c r="A858" s="13">
        <v>45957.647812499999</v>
      </c>
      <c r="B858" t="s">
        <v>349</v>
      </c>
      <c r="C858" t="s">
        <v>363</v>
      </c>
      <c r="D858" t="s">
        <v>10</v>
      </c>
      <c r="E858" t="s">
        <v>11</v>
      </c>
      <c r="F858" t="s">
        <v>12</v>
      </c>
      <c r="G858">
        <v>10.5</v>
      </c>
      <c r="H858" s="12">
        <v>1</v>
      </c>
      <c r="I858" s="12">
        <v>0</v>
      </c>
      <c r="J858" s="12">
        <v>0</v>
      </c>
      <c r="K858" s="12">
        <v>0</v>
      </c>
      <c r="L858" s="12">
        <v>1</v>
      </c>
      <c r="M858" s="12">
        <v>0</v>
      </c>
      <c r="N858" s="12">
        <v>0</v>
      </c>
      <c r="O858" s="12">
        <v>0</v>
      </c>
      <c r="P858" s="12">
        <v>1</v>
      </c>
      <c r="Q858" s="12">
        <v>0</v>
      </c>
      <c r="R858" s="12">
        <v>0</v>
      </c>
    </row>
    <row r="859" spans="1:19" x14ac:dyDescent="0.25">
      <c r="A859" s="13">
        <v>45957.649918981479</v>
      </c>
      <c r="B859" t="s">
        <v>349</v>
      </c>
      <c r="C859" t="s">
        <v>363</v>
      </c>
      <c r="D859" t="s">
        <v>10</v>
      </c>
      <c r="E859" t="s">
        <v>11</v>
      </c>
      <c r="F859" t="s">
        <v>15</v>
      </c>
      <c r="G859">
        <v>3</v>
      </c>
      <c r="H859" s="12">
        <v>0</v>
      </c>
      <c r="I859" s="12">
        <v>0</v>
      </c>
      <c r="J859" s="12">
        <v>0</v>
      </c>
      <c r="K859" s="12">
        <v>0</v>
      </c>
      <c r="L859" s="12">
        <v>0</v>
      </c>
      <c r="M859" s="12">
        <v>0</v>
      </c>
      <c r="N859" s="12">
        <v>1</v>
      </c>
      <c r="O859" s="12">
        <v>0</v>
      </c>
      <c r="P859" s="12">
        <v>0</v>
      </c>
      <c r="Q859" s="12">
        <v>0</v>
      </c>
      <c r="R859" s="12">
        <v>0</v>
      </c>
    </row>
    <row r="860" spans="1:19" x14ac:dyDescent="0.25">
      <c r="A860" s="13">
        <v>45957.655405092592</v>
      </c>
      <c r="B860" t="s">
        <v>349</v>
      </c>
      <c r="C860" t="s">
        <v>363</v>
      </c>
      <c r="D860" t="s">
        <v>10</v>
      </c>
      <c r="E860" t="s">
        <v>11</v>
      </c>
      <c r="F860" t="s">
        <v>15</v>
      </c>
      <c r="G860">
        <v>3</v>
      </c>
      <c r="H860" s="12">
        <v>0</v>
      </c>
      <c r="I860" s="12">
        <v>0</v>
      </c>
      <c r="J860" s="12">
        <v>0</v>
      </c>
      <c r="K860" s="12">
        <v>0</v>
      </c>
      <c r="L860" s="12">
        <v>0</v>
      </c>
      <c r="M860" s="12">
        <v>0</v>
      </c>
      <c r="N860" s="12">
        <v>0</v>
      </c>
      <c r="O860" s="12">
        <v>1</v>
      </c>
      <c r="P860" s="12">
        <v>0</v>
      </c>
      <c r="Q860" s="12">
        <v>0</v>
      </c>
      <c r="R860" s="12">
        <v>0</v>
      </c>
    </row>
    <row r="861" spans="1:19" x14ac:dyDescent="0.25">
      <c r="A861" s="13">
        <v>45957.65556712963</v>
      </c>
      <c r="B861" t="s">
        <v>349</v>
      </c>
      <c r="C861" t="s">
        <v>363</v>
      </c>
      <c r="D861" t="s">
        <v>10</v>
      </c>
      <c r="E861" t="s">
        <v>11</v>
      </c>
      <c r="F861" t="s">
        <v>14</v>
      </c>
      <c r="G861">
        <v>0.5</v>
      </c>
      <c r="H861" s="12">
        <v>0</v>
      </c>
      <c r="I861" s="12">
        <v>0</v>
      </c>
      <c r="J861" s="12">
        <v>0</v>
      </c>
      <c r="K861" s="12">
        <v>0</v>
      </c>
      <c r="L861" s="12">
        <v>0</v>
      </c>
      <c r="M861" s="12">
        <v>0</v>
      </c>
      <c r="N861" s="12">
        <v>0</v>
      </c>
      <c r="O861" s="12">
        <v>0</v>
      </c>
      <c r="P861" s="12">
        <v>0</v>
      </c>
      <c r="Q861" s="12">
        <v>0</v>
      </c>
      <c r="R861" s="12">
        <v>1</v>
      </c>
      <c r="S861" t="s">
        <v>222</v>
      </c>
    </row>
    <row r="862" spans="1:19" x14ac:dyDescent="0.25">
      <c r="A862" s="13">
        <v>45957.655636574076</v>
      </c>
      <c r="B862" t="s">
        <v>349</v>
      </c>
      <c r="C862" t="s">
        <v>363</v>
      </c>
      <c r="D862" t="s">
        <v>20</v>
      </c>
      <c r="E862" t="s">
        <v>11</v>
      </c>
      <c r="F862" t="s">
        <v>15</v>
      </c>
      <c r="G862">
        <v>3</v>
      </c>
      <c r="H862" s="12">
        <v>0</v>
      </c>
      <c r="I862" s="12">
        <v>0</v>
      </c>
      <c r="J862" s="12">
        <v>0</v>
      </c>
      <c r="K862" s="12">
        <v>0</v>
      </c>
      <c r="L862" s="12">
        <v>1</v>
      </c>
      <c r="M862" s="12">
        <v>0</v>
      </c>
      <c r="N862" s="12">
        <v>0</v>
      </c>
      <c r="O862" s="12">
        <v>0</v>
      </c>
      <c r="P862" s="12">
        <v>0</v>
      </c>
      <c r="Q862" s="12">
        <v>0</v>
      </c>
      <c r="R862" s="12">
        <v>0</v>
      </c>
    </row>
    <row r="863" spans="1:19" x14ac:dyDescent="0.25">
      <c r="A863" s="13">
        <v>45957.655775462961</v>
      </c>
      <c r="B863" t="s">
        <v>349</v>
      </c>
      <c r="C863" t="s">
        <v>363</v>
      </c>
      <c r="D863" t="s">
        <v>20</v>
      </c>
      <c r="E863" t="s">
        <v>11</v>
      </c>
      <c r="F863" t="s">
        <v>15</v>
      </c>
      <c r="G863">
        <v>3</v>
      </c>
      <c r="H863" s="12">
        <v>0</v>
      </c>
      <c r="I863" s="12">
        <v>0</v>
      </c>
      <c r="J863" s="12">
        <v>0</v>
      </c>
      <c r="K863" s="12">
        <v>0</v>
      </c>
      <c r="L863" s="12">
        <v>0</v>
      </c>
      <c r="M863" s="12">
        <v>0</v>
      </c>
      <c r="N863" s="12">
        <v>0</v>
      </c>
      <c r="O863" s="12">
        <v>0</v>
      </c>
      <c r="P863" s="12">
        <v>0</v>
      </c>
      <c r="Q863" s="12">
        <v>1</v>
      </c>
      <c r="R863" s="12">
        <v>0</v>
      </c>
    </row>
    <row r="864" spans="1:19" x14ac:dyDescent="0.25">
      <c r="A864" s="13">
        <v>45957.661932870367</v>
      </c>
      <c r="B864" t="s">
        <v>349</v>
      </c>
      <c r="C864" t="s">
        <v>363</v>
      </c>
      <c r="D864" t="s">
        <v>10</v>
      </c>
      <c r="E864" t="s">
        <v>11</v>
      </c>
      <c r="F864" t="s">
        <v>15</v>
      </c>
      <c r="G864">
        <v>3</v>
      </c>
      <c r="H864" s="12">
        <v>0</v>
      </c>
      <c r="I864" s="12">
        <v>0</v>
      </c>
      <c r="J864" s="12">
        <v>0</v>
      </c>
      <c r="K864" s="12">
        <v>0</v>
      </c>
      <c r="L864" s="12">
        <v>0</v>
      </c>
      <c r="M864" s="12">
        <v>1</v>
      </c>
      <c r="N864" s="12">
        <v>0</v>
      </c>
      <c r="O864" s="12">
        <v>0</v>
      </c>
      <c r="P864" s="12">
        <v>0</v>
      </c>
      <c r="Q864" s="12">
        <v>0</v>
      </c>
      <c r="R864" s="12">
        <v>0</v>
      </c>
    </row>
    <row r="865" spans="1:19" x14ac:dyDescent="0.25">
      <c r="A865" s="13">
        <v>45957.684467592589</v>
      </c>
      <c r="B865" t="s">
        <v>353</v>
      </c>
      <c r="C865" t="s">
        <v>363</v>
      </c>
      <c r="D865" t="s">
        <v>10</v>
      </c>
      <c r="E865" t="s">
        <v>11</v>
      </c>
      <c r="F865" t="s">
        <v>14</v>
      </c>
      <c r="G865">
        <v>0.5</v>
      </c>
      <c r="H865" s="12">
        <v>0</v>
      </c>
      <c r="I865" s="12">
        <v>1</v>
      </c>
      <c r="J865" s="12">
        <v>0</v>
      </c>
      <c r="K865" s="12">
        <v>0</v>
      </c>
      <c r="L865" s="12">
        <v>0</v>
      </c>
      <c r="M865" s="12">
        <v>0</v>
      </c>
      <c r="N865" s="12">
        <v>0</v>
      </c>
      <c r="O865" s="12">
        <v>0</v>
      </c>
      <c r="P865" s="12">
        <v>0</v>
      </c>
      <c r="Q865" s="12">
        <v>0</v>
      </c>
      <c r="R865" s="12">
        <v>0</v>
      </c>
      <c r="S865" t="s">
        <v>223</v>
      </c>
    </row>
    <row r="866" spans="1:19" x14ac:dyDescent="0.25">
      <c r="A866" s="13">
        <v>45957.748599537037</v>
      </c>
      <c r="B866" t="s">
        <v>355</v>
      </c>
      <c r="C866" t="s">
        <v>363</v>
      </c>
      <c r="D866" t="s">
        <v>10</v>
      </c>
      <c r="E866" t="s">
        <v>11</v>
      </c>
      <c r="F866" t="s">
        <v>18</v>
      </c>
      <c r="G866">
        <v>20</v>
      </c>
      <c r="H866" s="12">
        <v>0</v>
      </c>
      <c r="I866" s="12">
        <v>0</v>
      </c>
      <c r="J866" s="12">
        <v>0</v>
      </c>
      <c r="K866" s="12">
        <v>0</v>
      </c>
      <c r="L866" s="12">
        <v>1</v>
      </c>
      <c r="M866" s="12">
        <v>0</v>
      </c>
      <c r="N866" s="12">
        <v>0</v>
      </c>
      <c r="O866" s="12">
        <v>0</v>
      </c>
      <c r="P866" s="12">
        <v>0</v>
      </c>
      <c r="Q866" s="12">
        <v>0</v>
      </c>
      <c r="R866" s="12">
        <v>0</v>
      </c>
    </row>
    <row r="867" spans="1:19" x14ac:dyDescent="0.25">
      <c r="A867" s="13">
        <v>45957.748680555553</v>
      </c>
      <c r="B867" t="s">
        <v>355</v>
      </c>
      <c r="C867" t="s">
        <v>363</v>
      </c>
      <c r="D867" t="s">
        <v>10</v>
      </c>
      <c r="E867" t="s">
        <v>11</v>
      </c>
      <c r="F867" t="s">
        <v>12</v>
      </c>
      <c r="G867">
        <v>10.5</v>
      </c>
      <c r="H867" s="12">
        <v>0</v>
      </c>
      <c r="I867" s="12">
        <v>0</v>
      </c>
      <c r="J867" s="12">
        <v>0</v>
      </c>
      <c r="K867" s="12">
        <v>0</v>
      </c>
      <c r="L867" s="12">
        <v>1</v>
      </c>
      <c r="M867" s="12">
        <v>0</v>
      </c>
      <c r="N867" s="12">
        <v>0</v>
      </c>
      <c r="O867" s="12">
        <v>0</v>
      </c>
      <c r="P867" s="12">
        <v>0</v>
      </c>
      <c r="Q867" s="12">
        <v>0</v>
      </c>
      <c r="R867" s="12">
        <v>0</v>
      </c>
    </row>
    <row r="868" spans="1:19" x14ac:dyDescent="0.25">
      <c r="A868" s="13">
        <v>45957.748807870368</v>
      </c>
      <c r="B868" t="s">
        <v>355</v>
      </c>
      <c r="C868" t="s">
        <v>363</v>
      </c>
      <c r="D868" t="s">
        <v>20</v>
      </c>
      <c r="E868" t="s">
        <v>11</v>
      </c>
      <c r="F868" t="s">
        <v>15</v>
      </c>
      <c r="G868">
        <v>3</v>
      </c>
      <c r="H868" s="12">
        <v>0</v>
      </c>
      <c r="I868" s="12">
        <v>0</v>
      </c>
      <c r="J868" s="12">
        <v>0</v>
      </c>
      <c r="K868" s="12">
        <v>0</v>
      </c>
      <c r="L868" s="12">
        <v>1</v>
      </c>
      <c r="M868" s="12">
        <v>0</v>
      </c>
      <c r="N868" s="12">
        <v>0</v>
      </c>
      <c r="O868" s="12">
        <v>0</v>
      </c>
      <c r="P868" s="12">
        <v>0</v>
      </c>
      <c r="Q868" s="12">
        <v>0</v>
      </c>
      <c r="R868" s="12">
        <v>0</v>
      </c>
    </row>
    <row r="869" spans="1:19" x14ac:dyDescent="0.25">
      <c r="A869" s="13">
        <v>45957.748969907407</v>
      </c>
      <c r="B869" t="s">
        <v>355</v>
      </c>
      <c r="C869" t="s">
        <v>363</v>
      </c>
      <c r="D869" t="s">
        <v>10</v>
      </c>
      <c r="E869" t="s">
        <v>11</v>
      </c>
      <c r="F869" t="s">
        <v>15</v>
      </c>
      <c r="G869">
        <v>3</v>
      </c>
      <c r="H869" s="12">
        <v>0</v>
      </c>
      <c r="I869" s="12">
        <v>1</v>
      </c>
      <c r="J869" s="12">
        <v>1</v>
      </c>
      <c r="K869" s="12">
        <v>0</v>
      </c>
      <c r="L869" s="12">
        <v>0</v>
      </c>
      <c r="M869" s="12">
        <v>0</v>
      </c>
      <c r="N869" s="12">
        <v>0</v>
      </c>
      <c r="O869" s="12">
        <v>0</v>
      </c>
      <c r="P869" s="12">
        <v>0</v>
      </c>
      <c r="Q869" s="12">
        <v>0</v>
      </c>
      <c r="R869" s="12">
        <v>0</v>
      </c>
    </row>
    <row r="870" spans="1:19" x14ac:dyDescent="0.25">
      <c r="A870" s="13">
        <v>45957.749050925922</v>
      </c>
      <c r="B870" t="s">
        <v>355</v>
      </c>
      <c r="C870" t="s">
        <v>363</v>
      </c>
      <c r="D870" t="s">
        <v>10</v>
      </c>
      <c r="E870" t="s">
        <v>11</v>
      </c>
      <c r="F870" t="s">
        <v>15</v>
      </c>
      <c r="G870">
        <v>3</v>
      </c>
      <c r="H870" s="12">
        <v>0</v>
      </c>
      <c r="I870" s="12">
        <v>0</v>
      </c>
      <c r="J870" s="12">
        <v>0</v>
      </c>
      <c r="K870" s="12">
        <v>0</v>
      </c>
      <c r="L870" s="12">
        <v>0</v>
      </c>
      <c r="M870" s="12">
        <v>0</v>
      </c>
      <c r="N870" s="12">
        <v>0</v>
      </c>
      <c r="O870" s="12">
        <v>0</v>
      </c>
      <c r="P870" s="12">
        <v>1</v>
      </c>
      <c r="Q870" s="12">
        <v>0</v>
      </c>
      <c r="R870" s="12">
        <v>0</v>
      </c>
    </row>
    <row r="871" spans="1:19" x14ac:dyDescent="0.25">
      <c r="A871" s="13">
        <v>45957.749259259261</v>
      </c>
      <c r="B871" t="s">
        <v>355</v>
      </c>
      <c r="C871" t="s">
        <v>363</v>
      </c>
      <c r="D871" t="s">
        <v>10</v>
      </c>
      <c r="E871" t="s">
        <v>11</v>
      </c>
      <c r="F871" t="s">
        <v>12</v>
      </c>
      <c r="G871">
        <v>10.5</v>
      </c>
      <c r="H871" s="12">
        <v>0</v>
      </c>
      <c r="I871" s="12">
        <v>1</v>
      </c>
      <c r="J871" s="12">
        <v>0</v>
      </c>
      <c r="K871" s="12">
        <v>0</v>
      </c>
      <c r="L871" s="12">
        <v>0</v>
      </c>
      <c r="M871" s="12">
        <v>0</v>
      </c>
      <c r="N871" s="12">
        <v>0</v>
      </c>
      <c r="O871" s="12">
        <v>0</v>
      </c>
      <c r="P871" s="12">
        <v>0</v>
      </c>
      <c r="Q871" s="12">
        <v>0</v>
      </c>
      <c r="R871" s="12">
        <v>0</v>
      </c>
    </row>
    <row r="872" spans="1:19" x14ac:dyDescent="0.25">
      <c r="A872" s="13">
        <v>45958.402233796296</v>
      </c>
      <c r="B872" t="s">
        <v>352</v>
      </c>
      <c r="C872" t="s">
        <v>358</v>
      </c>
      <c r="D872" t="s">
        <v>10</v>
      </c>
      <c r="E872" t="s">
        <v>17</v>
      </c>
      <c r="F872" t="s">
        <v>14</v>
      </c>
      <c r="G872">
        <v>0.5</v>
      </c>
      <c r="H872" s="12">
        <v>0</v>
      </c>
      <c r="I872" s="12">
        <v>0</v>
      </c>
      <c r="J872" s="12">
        <v>0</v>
      </c>
      <c r="K872" s="12">
        <v>0</v>
      </c>
      <c r="L872" s="12">
        <v>0</v>
      </c>
      <c r="M872" s="12">
        <v>0</v>
      </c>
      <c r="N872" s="12">
        <v>0</v>
      </c>
      <c r="O872" s="12">
        <v>0</v>
      </c>
      <c r="P872" s="12">
        <v>0</v>
      </c>
      <c r="Q872" s="12">
        <v>1</v>
      </c>
      <c r="R872" s="12">
        <v>0</v>
      </c>
      <c r="S872" t="s">
        <v>224</v>
      </c>
    </row>
    <row r="873" spans="1:19" x14ac:dyDescent="0.25">
      <c r="A873" s="13">
        <v>45958.495532407411</v>
      </c>
      <c r="B873" t="s">
        <v>354</v>
      </c>
      <c r="C873" t="s">
        <v>358</v>
      </c>
      <c r="D873" t="s">
        <v>10</v>
      </c>
      <c r="E873" t="s">
        <v>11</v>
      </c>
      <c r="F873" t="s">
        <v>15</v>
      </c>
      <c r="G873">
        <v>3</v>
      </c>
      <c r="H873" s="12">
        <v>0</v>
      </c>
      <c r="I873" s="12">
        <v>0</v>
      </c>
      <c r="J873" s="12">
        <v>0</v>
      </c>
      <c r="K873" s="12">
        <v>0</v>
      </c>
      <c r="L873" s="12">
        <v>0</v>
      </c>
      <c r="M873" s="12">
        <v>0</v>
      </c>
      <c r="N873" s="12">
        <v>1</v>
      </c>
      <c r="O873" s="12">
        <v>0</v>
      </c>
      <c r="P873" s="12">
        <v>0</v>
      </c>
      <c r="Q873" s="12">
        <v>0</v>
      </c>
      <c r="R873" s="12">
        <v>0</v>
      </c>
    </row>
    <row r="874" spans="1:19" x14ac:dyDescent="0.25">
      <c r="A874" s="13">
        <v>45958.496018518519</v>
      </c>
      <c r="B874" t="s">
        <v>354</v>
      </c>
      <c r="C874" t="s">
        <v>358</v>
      </c>
      <c r="D874" t="s">
        <v>10</v>
      </c>
      <c r="E874" t="s">
        <v>11</v>
      </c>
      <c r="F874" t="s">
        <v>12</v>
      </c>
      <c r="G874">
        <v>10.5</v>
      </c>
      <c r="H874" s="12">
        <v>0</v>
      </c>
      <c r="I874" s="12">
        <v>0</v>
      </c>
      <c r="J874" s="12">
        <v>0</v>
      </c>
      <c r="K874" s="12">
        <v>0</v>
      </c>
      <c r="L874" s="12">
        <v>1</v>
      </c>
      <c r="M874" s="12">
        <v>0</v>
      </c>
      <c r="N874" s="12">
        <v>0</v>
      </c>
      <c r="O874" s="12">
        <v>0</v>
      </c>
      <c r="P874" s="12">
        <v>0</v>
      </c>
      <c r="Q874" s="12">
        <v>0</v>
      </c>
      <c r="R874" s="12">
        <v>0</v>
      </c>
      <c r="S874" t="s">
        <v>225</v>
      </c>
    </row>
    <row r="875" spans="1:19" x14ac:dyDescent="0.25">
      <c r="A875" s="13">
        <v>45958.548032407409</v>
      </c>
      <c r="B875" t="s">
        <v>351</v>
      </c>
      <c r="C875" t="s">
        <v>358</v>
      </c>
      <c r="D875" t="s">
        <v>10</v>
      </c>
      <c r="E875" t="s">
        <v>11</v>
      </c>
      <c r="F875" t="s">
        <v>12</v>
      </c>
      <c r="G875">
        <v>10.5</v>
      </c>
      <c r="H875" s="12">
        <v>0</v>
      </c>
      <c r="I875" s="12">
        <v>0</v>
      </c>
      <c r="J875" s="12">
        <v>0</v>
      </c>
      <c r="K875" s="12">
        <v>0</v>
      </c>
      <c r="L875" s="12">
        <v>0</v>
      </c>
      <c r="M875" s="12">
        <v>0</v>
      </c>
      <c r="N875" s="12">
        <v>0</v>
      </c>
      <c r="O875" s="12">
        <v>1</v>
      </c>
      <c r="P875" s="12">
        <v>0</v>
      </c>
      <c r="Q875" s="12">
        <v>0</v>
      </c>
      <c r="R875" s="12">
        <v>0</v>
      </c>
    </row>
    <row r="876" spans="1:19" x14ac:dyDescent="0.25">
      <c r="A876" s="13">
        <v>45958.565613425926</v>
      </c>
      <c r="B876" t="s">
        <v>351</v>
      </c>
      <c r="C876" t="s">
        <v>358</v>
      </c>
      <c r="D876" t="s">
        <v>10</v>
      </c>
      <c r="E876" t="s">
        <v>11</v>
      </c>
      <c r="F876" t="s">
        <v>14</v>
      </c>
      <c r="G876">
        <v>0.5</v>
      </c>
      <c r="H876" s="12">
        <v>0</v>
      </c>
      <c r="I876" s="12">
        <v>0</v>
      </c>
      <c r="J876" s="12">
        <v>0</v>
      </c>
      <c r="K876" s="12">
        <v>0</v>
      </c>
      <c r="L876" s="12">
        <v>0</v>
      </c>
      <c r="M876" s="12">
        <v>0</v>
      </c>
      <c r="N876" s="12">
        <v>0</v>
      </c>
      <c r="O876" s="12">
        <v>0</v>
      </c>
      <c r="P876" s="12">
        <v>0</v>
      </c>
      <c r="Q876" s="12">
        <v>1</v>
      </c>
      <c r="R876" s="12">
        <v>0</v>
      </c>
    </row>
    <row r="877" spans="1:19" x14ac:dyDescent="0.25">
      <c r="A877" s="13">
        <v>45958.58053240741</v>
      </c>
      <c r="B877" t="s">
        <v>351</v>
      </c>
      <c r="C877" t="s">
        <v>358</v>
      </c>
      <c r="D877" t="s">
        <v>10</v>
      </c>
      <c r="E877" t="s">
        <v>11</v>
      </c>
      <c r="F877" t="s">
        <v>14</v>
      </c>
      <c r="G877">
        <v>0.5</v>
      </c>
      <c r="H877" s="12">
        <v>0</v>
      </c>
      <c r="I877" s="12">
        <v>0</v>
      </c>
      <c r="J877" s="12">
        <v>0</v>
      </c>
      <c r="K877" s="12">
        <v>0</v>
      </c>
      <c r="L877" s="12">
        <v>1</v>
      </c>
      <c r="M877" s="12">
        <v>0</v>
      </c>
      <c r="N877" s="12">
        <v>0</v>
      </c>
      <c r="O877" s="12">
        <v>0</v>
      </c>
      <c r="P877" s="12">
        <v>0</v>
      </c>
      <c r="Q877" s="12">
        <v>0</v>
      </c>
      <c r="R877" s="12">
        <v>0</v>
      </c>
      <c r="S877" t="s">
        <v>226</v>
      </c>
    </row>
    <row r="878" spans="1:19" x14ac:dyDescent="0.25">
      <c r="A878" s="13">
        <v>45958.580752314818</v>
      </c>
      <c r="B878" t="s">
        <v>351</v>
      </c>
      <c r="C878" t="s">
        <v>358</v>
      </c>
      <c r="D878" t="s">
        <v>10</v>
      </c>
      <c r="E878" t="s">
        <v>11</v>
      </c>
      <c r="F878" t="s">
        <v>15</v>
      </c>
      <c r="G878">
        <v>3</v>
      </c>
      <c r="H878" s="12">
        <v>0</v>
      </c>
      <c r="I878" s="12">
        <v>0</v>
      </c>
      <c r="J878" s="12">
        <v>0</v>
      </c>
      <c r="K878" s="12">
        <v>0</v>
      </c>
      <c r="L878" s="12">
        <v>0</v>
      </c>
      <c r="M878" s="12">
        <v>0</v>
      </c>
      <c r="N878" s="12">
        <v>1</v>
      </c>
      <c r="O878" s="12">
        <v>0</v>
      </c>
      <c r="P878" s="12">
        <v>0</v>
      </c>
      <c r="Q878" s="12">
        <v>0</v>
      </c>
      <c r="R878" s="12">
        <v>0</v>
      </c>
    </row>
    <row r="879" spans="1:19" x14ac:dyDescent="0.25">
      <c r="A879" s="13">
        <v>45958.592152777775</v>
      </c>
      <c r="B879" t="s">
        <v>348</v>
      </c>
      <c r="C879" t="s">
        <v>358</v>
      </c>
      <c r="D879" t="s">
        <v>10</v>
      </c>
      <c r="E879" t="s">
        <v>11</v>
      </c>
      <c r="F879" t="s">
        <v>15</v>
      </c>
      <c r="G879">
        <v>3</v>
      </c>
      <c r="H879" s="12">
        <v>0</v>
      </c>
      <c r="I879" s="12">
        <v>0</v>
      </c>
      <c r="J879" s="12">
        <v>0</v>
      </c>
      <c r="K879" s="12">
        <v>0</v>
      </c>
      <c r="L879" s="12">
        <v>0</v>
      </c>
      <c r="M879" s="12">
        <v>0</v>
      </c>
      <c r="N879" s="12">
        <v>0</v>
      </c>
      <c r="O879" s="12">
        <v>0</v>
      </c>
      <c r="P879" s="12">
        <v>0</v>
      </c>
      <c r="Q879" s="12">
        <v>0</v>
      </c>
      <c r="R879" s="12">
        <v>1</v>
      </c>
      <c r="S879" t="s">
        <v>227</v>
      </c>
    </row>
    <row r="880" spans="1:19" x14ac:dyDescent="0.25">
      <c r="A880" s="13">
        <v>45958.592245370368</v>
      </c>
      <c r="B880" t="s">
        <v>348</v>
      </c>
      <c r="C880" t="s">
        <v>358</v>
      </c>
      <c r="D880" t="s">
        <v>10</v>
      </c>
      <c r="E880" t="s">
        <v>11</v>
      </c>
      <c r="F880" t="s">
        <v>15</v>
      </c>
      <c r="G880">
        <v>3</v>
      </c>
      <c r="H880" s="12">
        <v>0</v>
      </c>
      <c r="I880" s="12">
        <v>0</v>
      </c>
      <c r="J880" s="12">
        <v>0</v>
      </c>
      <c r="K880" s="12">
        <v>0</v>
      </c>
      <c r="L880" s="12">
        <v>0</v>
      </c>
      <c r="M880" s="12">
        <v>0</v>
      </c>
      <c r="N880" s="12">
        <v>1</v>
      </c>
      <c r="O880" s="12">
        <v>0</v>
      </c>
      <c r="P880" s="12">
        <v>0</v>
      </c>
      <c r="Q880" s="12">
        <v>0</v>
      </c>
      <c r="R880" s="12">
        <v>0</v>
      </c>
    </row>
    <row r="881" spans="1:19" x14ac:dyDescent="0.25">
      <c r="A881" s="13">
        <v>45958.592488425929</v>
      </c>
      <c r="B881" t="s">
        <v>348</v>
      </c>
      <c r="C881" t="s">
        <v>358</v>
      </c>
      <c r="D881" t="s">
        <v>10</v>
      </c>
      <c r="E881" t="s">
        <v>11</v>
      </c>
      <c r="F881" t="s">
        <v>14</v>
      </c>
      <c r="G881">
        <v>0.5</v>
      </c>
      <c r="H881" s="12">
        <v>0</v>
      </c>
      <c r="I881" s="12">
        <v>0</v>
      </c>
      <c r="J881" s="12">
        <v>0</v>
      </c>
      <c r="K881" s="12">
        <v>0</v>
      </c>
      <c r="L881" s="12">
        <v>0</v>
      </c>
      <c r="M881" s="12">
        <v>0</v>
      </c>
      <c r="N881" s="12">
        <v>0</v>
      </c>
      <c r="O881" s="12">
        <v>0</v>
      </c>
      <c r="P881" s="12">
        <v>0</v>
      </c>
      <c r="Q881" s="12">
        <v>1</v>
      </c>
      <c r="R881" s="12">
        <v>0</v>
      </c>
    </row>
    <row r="882" spans="1:19" x14ac:dyDescent="0.25">
      <c r="A882" s="13">
        <v>45958.597361111111</v>
      </c>
      <c r="B882" t="s">
        <v>348</v>
      </c>
      <c r="C882" t="s">
        <v>358</v>
      </c>
      <c r="D882" t="s">
        <v>10</v>
      </c>
      <c r="E882" t="s">
        <v>11</v>
      </c>
      <c r="F882" t="s">
        <v>14</v>
      </c>
      <c r="G882">
        <v>0.5</v>
      </c>
      <c r="H882" s="12">
        <v>0</v>
      </c>
      <c r="I882" s="12">
        <v>0</v>
      </c>
      <c r="J882" s="12">
        <v>0</v>
      </c>
      <c r="K882" s="12">
        <v>0</v>
      </c>
      <c r="L882" s="12">
        <v>0</v>
      </c>
      <c r="M882" s="12">
        <v>0</v>
      </c>
      <c r="N882" s="12">
        <v>0</v>
      </c>
      <c r="O882" s="12">
        <v>0</v>
      </c>
      <c r="P882" s="12">
        <v>0</v>
      </c>
      <c r="Q882" s="12">
        <v>1</v>
      </c>
      <c r="R882" s="12">
        <v>0</v>
      </c>
    </row>
    <row r="883" spans="1:19" x14ac:dyDescent="0.25">
      <c r="A883" s="13">
        <v>45958.623263888891</v>
      </c>
      <c r="B883" t="s">
        <v>348</v>
      </c>
      <c r="C883" t="s">
        <v>358</v>
      </c>
      <c r="D883" t="s">
        <v>10</v>
      </c>
      <c r="E883" t="s">
        <v>11</v>
      </c>
      <c r="F883" t="s">
        <v>14</v>
      </c>
      <c r="G883">
        <v>0.5</v>
      </c>
      <c r="H883" s="12">
        <v>0</v>
      </c>
      <c r="I883" s="12">
        <v>0</v>
      </c>
      <c r="J883" s="12">
        <v>0</v>
      </c>
      <c r="K883" s="12">
        <v>0</v>
      </c>
      <c r="L883" s="12">
        <v>0</v>
      </c>
      <c r="M883" s="12">
        <v>0</v>
      </c>
      <c r="N883" s="12">
        <v>0</v>
      </c>
      <c r="O883" s="12">
        <v>0</v>
      </c>
      <c r="P883" s="12">
        <v>0</v>
      </c>
      <c r="Q883" s="12">
        <v>0</v>
      </c>
      <c r="R883" s="12">
        <v>1</v>
      </c>
      <c r="S883" t="s">
        <v>228</v>
      </c>
    </row>
    <row r="884" spans="1:19" x14ac:dyDescent="0.25">
      <c r="A884" s="13">
        <v>45958.669560185182</v>
      </c>
      <c r="B884" t="s">
        <v>353</v>
      </c>
      <c r="C884" t="s">
        <v>358</v>
      </c>
      <c r="D884" t="s">
        <v>10</v>
      </c>
      <c r="E884" t="s">
        <v>11</v>
      </c>
      <c r="F884" t="s">
        <v>15</v>
      </c>
      <c r="G884">
        <v>3</v>
      </c>
      <c r="H884" s="12">
        <v>1</v>
      </c>
      <c r="I884" s="12">
        <v>0</v>
      </c>
      <c r="J884" s="12">
        <v>1</v>
      </c>
      <c r="K884" s="12">
        <v>0</v>
      </c>
      <c r="L884" s="12">
        <v>0</v>
      </c>
      <c r="M884" s="12">
        <v>0</v>
      </c>
      <c r="N884" s="12">
        <v>0</v>
      </c>
      <c r="O884" s="12">
        <v>0</v>
      </c>
      <c r="P884" s="12">
        <v>0</v>
      </c>
      <c r="Q884" s="12">
        <v>0</v>
      </c>
      <c r="R884" s="12">
        <v>0</v>
      </c>
    </row>
    <row r="885" spans="1:19" x14ac:dyDescent="0.25">
      <c r="A885" s="13">
        <v>45958.670173611114</v>
      </c>
      <c r="B885" t="s">
        <v>353</v>
      </c>
      <c r="C885" t="s">
        <v>358</v>
      </c>
      <c r="D885" t="s">
        <v>10</v>
      </c>
      <c r="E885" t="s">
        <v>11</v>
      </c>
      <c r="F885" t="s">
        <v>15</v>
      </c>
      <c r="G885">
        <v>3</v>
      </c>
      <c r="H885" s="12">
        <v>0</v>
      </c>
      <c r="I885" s="12">
        <v>0</v>
      </c>
      <c r="J885" s="12">
        <v>0</v>
      </c>
      <c r="K885" s="12">
        <v>0</v>
      </c>
      <c r="L885" s="12">
        <v>0</v>
      </c>
      <c r="M885" s="12">
        <v>0</v>
      </c>
      <c r="N885" s="12">
        <v>0</v>
      </c>
      <c r="O885" s="12">
        <v>0</v>
      </c>
      <c r="P885" s="12">
        <v>0</v>
      </c>
      <c r="Q885" s="12">
        <v>0</v>
      </c>
      <c r="R885" s="12">
        <v>1</v>
      </c>
      <c r="S885" t="s">
        <v>229</v>
      </c>
    </row>
    <row r="886" spans="1:19" x14ac:dyDescent="0.25">
      <c r="A886" s="13">
        <v>45959.383900462963</v>
      </c>
      <c r="B886" t="s">
        <v>352</v>
      </c>
      <c r="C886" t="s">
        <v>359</v>
      </c>
      <c r="D886" t="s">
        <v>10</v>
      </c>
      <c r="E886" t="s">
        <v>11</v>
      </c>
      <c r="F886" t="s">
        <v>12</v>
      </c>
      <c r="G886">
        <v>10.5</v>
      </c>
      <c r="H886" s="12">
        <v>1</v>
      </c>
      <c r="I886" s="12">
        <v>0</v>
      </c>
      <c r="J886" s="12">
        <v>1</v>
      </c>
      <c r="K886" s="12">
        <v>0</v>
      </c>
      <c r="L886" s="12">
        <v>0</v>
      </c>
      <c r="M886" s="12">
        <v>0</v>
      </c>
      <c r="N886" s="12">
        <v>0</v>
      </c>
      <c r="O886" s="12">
        <v>0</v>
      </c>
      <c r="P886" s="12">
        <v>0</v>
      </c>
      <c r="Q886" s="12">
        <v>0</v>
      </c>
      <c r="R886" s="12">
        <v>0</v>
      </c>
    </row>
    <row r="887" spans="1:19" x14ac:dyDescent="0.25">
      <c r="A887" s="13">
        <v>45959.391932870371</v>
      </c>
      <c r="B887" t="s">
        <v>352</v>
      </c>
      <c r="C887" t="s">
        <v>359</v>
      </c>
      <c r="D887" t="s">
        <v>10</v>
      </c>
      <c r="E887" t="s">
        <v>11</v>
      </c>
      <c r="F887" t="s">
        <v>15</v>
      </c>
      <c r="G887">
        <v>3</v>
      </c>
      <c r="H887" s="12">
        <v>0</v>
      </c>
      <c r="I887" s="12">
        <v>0</v>
      </c>
      <c r="J887" s="12">
        <v>0</v>
      </c>
      <c r="K887" s="12">
        <v>0</v>
      </c>
      <c r="L887" s="12">
        <v>0</v>
      </c>
      <c r="M887" s="12">
        <v>1</v>
      </c>
      <c r="N887" s="12">
        <v>0</v>
      </c>
      <c r="O887" s="12">
        <v>0</v>
      </c>
      <c r="P887" s="12">
        <v>0</v>
      </c>
      <c r="Q887" s="12">
        <v>0</v>
      </c>
      <c r="R887" s="12">
        <v>0</v>
      </c>
    </row>
    <row r="888" spans="1:19" x14ac:dyDescent="0.25">
      <c r="A888" s="13">
        <v>45959.527986111112</v>
      </c>
      <c r="B888" t="s">
        <v>350</v>
      </c>
      <c r="C888" t="s">
        <v>359</v>
      </c>
      <c r="D888" t="s">
        <v>10</v>
      </c>
      <c r="E888" t="s">
        <v>11</v>
      </c>
      <c r="F888" t="s">
        <v>12</v>
      </c>
      <c r="G888">
        <v>10.5</v>
      </c>
      <c r="H888" s="12">
        <v>1</v>
      </c>
      <c r="I888" s="12">
        <v>0</v>
      </c>
      <c r="J888" s="12">
        <v>1</v>
      </c>
      <c r="K888" s="12">
        <v>0</v>
      </c>
      <c r="L888" s="12">
        <v>0</v>
      </c>
      <c r="M888" s="12">
        <v>0</v>
      </c>
      <c r="N888" s="12">
        <v>0</v>
      </c>
      <c r="O888" s="12">
        <v>0</v>
      </c>
      <c r="P888" s="12">
        <v>0</v>
      </c>
      <c r="Q888" s="12">
        <v>0</v>
      </c>
      <c r="R888" s="12">
        <v>0</v>
      </c>
    </row>
    <row r="889" spans="1:19" x14ac:dyDescent="0.25">
      <c r="A889" s="13">
        <v>45959.534502314818</v>
      </c>
      <c r="B889" t="s">
        <v>350</v>
      </c>
      <c r="C889" t="s">
        <v>359</v>
      </c>
      <c r="D889" t="s">
        <v>10</v>
      </c>
      <c r="E889" t="s">
        <v>11</v>
      </c>
      <c r="F889" t="s">
        <v>12</v>
      </c>
      <c r="G889">
        <v>10.5</v>
      </c>
      <c r="H889" s="12">
        <v>0</v>
      </c>
      <c r="I889" s="12">
        <v>0</v>
      </c>
      <c r="J889" s="12">
        <v>0</v>
      </c>
      <c r="K889" s="12">
        <v>0</v>
      </c>
      <c r="L889" s="12">
        <v>0</v>
      </c>
      <c r="M889" s="12">
        <v>0</v>
      </c>
      <c r="N889" s="12">
        <v>0</v>
      </c>
      <c r="O889" s="12">
        <v>0</v>
      </c>
      <c r="P889" s="12">
        <v>0</v>
      </c>
      <c r="Q889" s="12">
        <v>0</v>
      </c>
      <c r="R889" s="12">
        <v>1</v>
      </c>
    </row>
    <row r="890" spans="1:19" x14ac:dyDescent="0.25">
      <c r="A890" s="13">
        <v>45959.540243055555</v>
      </c>
      <c r="B890" t="s">
        <v>350</v>
      </c>
      <c r="C890" t="s">
        <v>359</v>
      </c>
      <c r="D890" t="s">
        <v>10</v>
      </c>
      <c r="E890" t="s">
        <v>11</v>
      </c>
      <c r="F890" t="s">
        <v>14</v>
      </c>
      <c r="G890">
        <v>0.5</v>
      </c>
      <c r="H890" s="12">
        <v>0</v>
      </c>
      <c r="I890" s="12">
        <v>0</v>
      </c>
      <c r="J890" s="12">
        <v>0</v>
      </c>
      <c r="K890" s="12">
        <v>0</v>
      </c>
      <c r="L890" s="12">
        <v>0</v>
      </c>
      <c r="M890" s="12">
        <v>0</v>
      </c>
      <c r="N890" s="12">
        <v>0</v>
      </c>
      <c r="O890" s="12">
        <v>0</v>
      </c>
      <c r="P890" s="12">
        <v>0</v>
      </c>
      <c r="Q890" s="12">
        <v>1</v>
      </c>
      <c r="R890" s="12">
        <v>0</v>
      </c>
    </row>
    <row r="891" spans="1:19" x14ac:dyDescent="0.25">
      <c r="A891" s="13">
        <v>45959.57267361111</v>
      </c>
      <c r="B891" t="s">
        <v>351</v>
      </c>
      <c r="C891" t="s">
        <v>359</v>
      </c>
      <c r="D891" t="s">
        <v>10</v>
      </c>
      <c r="E891" t="s">
        <v>11</v>
      </c>
      <c r="F891" t="s">
        <v>12</v>
      </c>
      <c r="G891">
        <v>10.5</v>
      </c>
      <c r="H891" s="12">
        <v>0</v>
      </c>
      <c r="I891" s="12">
        <v>0</v>
      </c>
      <c r="J891" s="12">
        <v>0</v>
      </c>
      <c r="K891" s="12">
        <v>0</v>
      </c>
      <c r="L891" s="12">
        <v>1</v>
      </c>
      <c r="M891" s="12">
        <v>0</v>
      </c>
      <c r="N891" s="12">
        <v>0</v>
      </c>
      <c r="O891" s="12">
        <v>0</v>
      </c>
      <c r="P891" s="12">
        <v>0</v>
      </c>
      <c r="Q891" s="12">
        <v>0</v>
      </c>
      <c r="R891" s="12">
        <v>0</v>
      </c>
    </row>
    <row r="892" spans="1:19" x14ac:dyDescent="0.25">
      <c r="A892" s="13">
        <v>45959.602303240739</v>
      </c>
      <c r="B892" t="s">
        <v>348</v>
      </c>
      <c r="C892" t="s">
        <v>359</v>
      </c>
      <c r="D892" t="s">
        <v>10</v>
      </c>
      <c r="E892" t="s">
        <v>11</v>
      </c>
      <c r="F892" t="s">
        <v>15</v>
      </c>
      <c r="G892">
        <v>3</v>
      </c>
      <c r="H892" s="12">
        <v>0</v>
      </c>
      <c r="I892" s="12">
        <v>0</v>
      </c>
      <c r="J892" s="12">
        <v>0</v>
      </c>
      <c r="K892" s="12">
        <v>0</v>
      </c>
      <c r="L892" s="12">
        <v>0</v>
      </c>
      <c r="M892" s="12">
        <v>0</v>
      </c>
      <c r="N892" s="12">
        <v>0</v>
      </c>
      <c r="O892" s="12">
        <v>0</v>
      </c>
      <c r="P892" s="12">
        <v>0</v>
      </c>
      <c r="Q892" s="12">
        <v>1</v>
      </c>
      <c r="R892" s="12">
        <v>0</v>
      </c>
    </row>
    <row r="893" spans="1:19" x14ac:dyDescent="0.25">
      <c r="A893" s="13">
        <v>45959.602523148147</v>
      </c>
      <c r="B893" t="s">
        <v>348</v>
      </c>
      <c r="C893" t="s">
        <v>359</v>
      </c>
      <c r="D893" t="s">
        <v>10</v>
      </c>
      <c r="E893" t="s">
        <v>11</v>
      </c>
      <c r="F893" t="s">
        <v>14</v>
      </c>
      <c r="G893">
        <v>0.5</v>
      </c>
      <c r="H893" s="12">
        <v>0</v>
      </c>
      <c r="I893" s="12">
        <v>0</v>
      </c>
      <c r="J893" s="12">
        <v>0</v>
      </c>
      <c r="K893" s="12">
        <v>0</v>
      </c>
      <c r="L893" s="12">
        <v>0</v>
      </c>
      <c r="M893" s="12">
        <v>0</v>
      </c>
      <c r="N893" s="12">
        <v>0</v>
      </c>
      <c r="O893" s="12">
        <v>1</v>
      </c>
      <c r="P893" s="12">
        <v>1</v>
      </c>
      <c r="Q893" s="12">
        <v>0</v>
      </c>
      <c r="R893" s="12">
        <v>0</v>
      </c>
    </row>
    <row r="894" spans="1:19" x14ac:dyDescent="0.25">
      <c r="A894" s="13">
        <v>45959.720821759256</v>
      </c>
      <c r="B894" t="s">
        <v>355</v>
      </c>
      <c r="C894" t="s">
        <v>359</v>
      </c>
      <c r="D894" t="s">
        <v>10</v>
      </c>
      <c r="E894" t="s">
        <v>11</v>
      </c>
      <c r="F894" t="s">
        <v>15</v>
      </c>
      <c r="G894">
        <v>3</v>
      </c>
      <c r="H894" s="12">
        <v>0</v>
      </c>
      <c r="I894" s="12">
        <v>0</v>
      </c>
      <c r="J894" s="12">
        <v>0</v>
      </c>
      <c r="K894" s="12">
        <v>0</v>
      </c>
      <c r="L894" s="12">
        <v>1</v>
      </c>
      <c r="M894" s="12">
        <v>0</v>
      </c>
      <c r="N894" s="12">
        <v>0</v>
      </c>
      <c r="O894" s="12">
        <v>0</v>
      </c>
      <c r="P894" s="12">
        <v>0</v>
      </c>
      <c r="Q894" s="12">
        <v>0</v>
      </c>
      <c r="R894" s="12">
        <v>0</v>
      </c>
    </row>
    <row r="895" spans="1:19" x14ac:dyDescent="0.25">
      <c r="A895" s="13">
        <v>45959.720891203702</v>
      </c>
      <c r="B895" t="s">
        <v>355</v>
      </c>
      <c r="C895" t="s">
        <v>359</v>
      </c>
      <c r="D895" t="s">
        <v>10</v>
      </c>
      <c r="E895" t="s">
        <v>11</v>
      </c>
      <c r="F895" t="s">
        <v>15</v>
      </c>
      <c r="G895">
        <v>3</v>
      </c>
      <c r="H895" s="12">
        <v>0</v>
      </c>
      <c r="I895" s="12">
        <v>0</v>
      </c>
      <c r="J895" s="12">
        <v>0</v>
      </c>
      <c r="K895" s="12">
        <v>0</v>
      </c>
      <c r="L895" s="12">
        <v>1</v>
      </c>
      <c r="M895" s="12">
        <v>0</v>
      </c>
      <c r="N895" s="12">
        <v>0</v>
      </c>
      <c r="O895" s="12">
        <v>0</v>
      </c>
      <c r="P895" s="12">
        <v>0</v>
      </c>
      <c r="Q895" s="12">
        <v>0</v>
      </c>
      <c r="R895" s="12">
        <v>0</v>
      </c>
    </row>
    <row r="896" spans="1:19" x14ac:dyDescent="0.25">
      <c r="A896" s="13">
        <v>45959.720972222225</v>
      </c>
      <c r="B896" t="s">
        <v>355</v>
      </c>
      <c r="C896" t="s">
        <v>359</v>
      </c>
      <c r="D896" t="s">
        <v>10</v>
      </c>
      <c r="E896" t="s">
        <v>11</v>
      </c>
      <c r="F896" t="s">
        <v>15</v>
      </c>
      <c r="G896">
        <v>3</v>
      </c>
      <c r="H896" s="12">
        <v>0</v>
      </c>
      <c r="I896" s="12">
        <v>0</v>
      </c>
      <c r="J896" s="12">
        <v>0</v>
      </c>
      <c r="K896" s="12">
        <v>0</v>
      </c>
      <c r="L896" s="12">
        <v>0</v>
      </c>
      <c r="M896" s="12">
        <v>0</v>
      </c>
      <c r="N896" s="12">
        <v>1</v>
      </c>
      <c r="O896" s="12">
        <v>0</v>
      </c>
      <c r="P896" s="12">
        <v>0</v>
      </c>
      <c r="Q896" s="12">
        <v>0</v>
      </c>
      <c r="R896" s="12">
        <v>0</v>
      </c>
    </row>
    <row r="897" spans="1:19" x14ac:dyDescent="0.25">
      <c r="A897" s="13">
        <v>45959.721192129633</v>
      </c>
      <c r="B897" t="s">
        <v>355</v>
      </c>
      <c r="C897" t="s">
        <v>359</v>
      </c>
      <c r="D897" t="s">
        <v>10</v>
      </c>
      <c r="E897" t="s">
        <v>11</v>
      </c>
      <c r="F897" t="s">
        <v>15</v>
      </c>
      <c r="G897">
        <v>3</v>
      </c>
      <c r="H897" s="12">
        <v>1</v>
      </c>
      <c r="I897" s="12">
        <v>0</v>
      </c>
      <c r="J897" s="12">
        <v>1</v>
      </c>
      <c r="K897" s="12">
        <v>0</v>
      </c>
      <c r="L897" s="12">
        <v>0</v>
      </c>
      <c r="M897" s="12">
        <v>0</v>
      </c>
      <c r="N897" s="12">
        <v>0</v>
      </c>
      <c r="O897" s="12">
        <v>0</v>
      </c>
      <c r="P897" s="12">
        <v>0</v>
      </c>
      <c r="Q897" s="12">
        <v>0</v>
      </c>
      <c r="R897" s="12">
        <v>0</v>
      </c>
    </row>
    <row r="898" spans="1:19" x14ac:dyDescent="0.25">
      <c r="A898" s="13">
        <v>45960.445752314816</v>
      </c>
      <c r="B898" t="s">
        <v>347</v>
      </c>
      <c r="C898" t="s">
        <v>360</v>
      </c>
      <c r="D898" t="s">
        <v>20</v>
      </c>
      <c r="E898" t="s">
        <v>11</v>
      </c>
      <c r="F898" t="s">
        <v>12</v>
      </c>
      <c r="G898">
        <v>10.5</v>
      </c>
      <c r="H898" s="12">
        <v>0</v>
      </c>
      <c r="I898" s="12">
        <v>0</v>
      </c>
      <c r="J898" s="12">
        <v>0</v>
      </c>
      <c r="K898" s="12">
        <v>0</v>
      </c>
      <c r="L898" s="12">
        <v>0</v>
      </c>
      <c r="M898" s="12">
        <v>0</v>
      </c>
      <c r="N898" s="12">
        <v>0</v>
      </c>
      <c r="O898" s="12">
        <v>0</v>
      </c>
      <c r="P898" s="12">
        <v>1</v>
      </c>
      <c r="Q898" s="12">
        <v>1</v>
      </c>
      <c r="R898" s="12">
        <v>0</v>
      </c>
    </row>
    <row r="899" spans="1:19" x14ac:dyDescent="0.25">
      <c r="A899" s="13">
        <v>45960.446099537039</v>
      </c>
      <c r="B899" t="s">
        <v>347</v>
      </c>
      <c r="C899" t="s">
        <v>360</v>
      </c>
      <c r="D899" t="s">
        <v>10</v>
      </c>
      <c r="E899" t="s">
        <v>17</v>
      </c>
      <c r="F899" t="s">
        <v>12</v>
      </c>
      <c r="G899">
        <v>10.5</v>
      </c>
      <c r="H899" s="12">
        <v>0</v>
      </c>
      <c r="I899" s="12">
        <v>0</v>
      </c>
      <c r="J899" s="12">
        <v>0</v>
      </c>
      <c r="K899" s="12">
        <v>0</v>
      </c>
      <c r="L899" s="12">
        <v>0</v>
      </c>
      <c r="M899" s="12">
        <v>0</v>
      </c>
      <c r="N899" s="12">
        <v>0</v>
      </c>
      <c r="O899" s="12">
        <v>0</v>
      </c>
      <c r="P899" s="12">
        <v>0</v>
      </c>
      <c r="Q899" s="12">
        <v>1</v>
      </c>
      <c r="R899" s="12">
        <v>1</v>
      </c>
      <c r="S899" t="s">
        <v>230</v>
      </c>
    </row>
    <row r="900" spans="1:19" x14ac:dyDescent="0.25">
      <c r="A900" s="13">
        <v>45960.479675925926</v>
      </c>
      <c r="B900" t="s">
        <v>354</v>
      </c>
      <c r="C900" t="s">
        <v>360</v>
      </c>
      <c r="D900" t="s">
        <v>10</v>
      </c>
      <c r="E900" t="s">
        <v>11</v>
      </c>
      <c r="F900" t="s">
        <v>15</v>
      </c>
      <c r="G900">
        <v>3</v>
      </c>
      <c r="H900" s="12">
        <v>0</v>
      </c>
      <c r="I900" s="12">
        <v>0</v>
      </c>
      <c r="J900" s="12">
        <v>1</v>
      </c>
      <c r="K900" s="12">
        <v>0</v>
      </c>
      <c r="L900" s="12">
        <v>0</v>
      </c>
      <c r="M900" s="12">
        <v>0</v>
      </c>
      <c r="N900" s="12">
        <v>0</v>
      </c>
      <c r="O900" s="12">
        <v>0</v>
      </c>
      <c r="P900" s="12">
        <v>0</v>
      </c>
      <c r="Q900" s="12">
        <v>0</v>
      </c>
      <c r="R900" s="12">
        <v>0</v>
      </c>
    </row>
    <row r="901" spans="1:19" x14ac:dyDescent="0.25">
      <c r="A901" s="13">
        <v>45960.606446759259</v>
      </c>
      <c r="B901" t="s">
        <v>348</v>
      </c>
      <c r="C901" t="s">
        <v>360</v>
      </c>
      <c r="D901" t="s">
        <v>10</v>
      </c>
      <c r="E901" t="s">
        <v>11</v>
      </c>
      <c r="F901" t="s">
        <v>12</v>
      </c>
      <c r="G901">
        <v>10.5</v>
      </c>
      <c r="H901" s="12">
        <v>0</v>
      </c>
      <c r="I901" s="12">
        <v>0</v>
      </c>
      <c r="J901" s="12">
        <v>0</v>
      </c>
      <c r="K901" s="12">
        <v>0</v>
      </c>
      <c r="L901" s="12">
        <v>0</v>
      </c>
      <c r="M901" s="12">
        <v>0</v>
      </c>
      <c r="N901" s="12">
        <v>0</v>
      </c>
      <c r="O901" s="12">
        <v>1</v>
      </c>
      <c r="P901" s="12">
        <v>0</v>
      </c>
      <c r="Q901" s="12">
        <v>0</v>
      </c>
      <c r="R901" s="12">
        <v>0</v>
      </c>
      <c r="S901" t="s">
        <v>231</v>
      </c>
    </row>
    <row r="902" spans="1:19" x14ac:dyDescent="0.25">
      <c r="A902" s="13">
        <v>45960.614756944444</v>
      </c>
      <c r="B902" t="s">
        <v>348</v>
      </c>
      <c r="C902" t="s">
        <v>360</v>
      </c>
      <c r="D902" t="s">
        <v>10</v>
      </c>
      <c r="E902" t="s">
        <v>11</v>
      </c>
      <c r="F902" t="s">
        <v>12</v>
      </c>
      <c r="G902">
        <v>10.5</v>
      </c>
      <c r="H902" s="12">
        <v>0</v>
      </c>
      <c r="I902" s="12">
        <v>0</v>
      </c>
      <c r="J902" s="12">
        <v>0</v>
      </c>
      <c r="K902" s="12">
        <v>0</v>
      </c>
      <c r="L902" s="12">
        <v>1</v>
      </c>
      <c r="M902" s="12">
        <v>0</v>
      </c>
      <c r="N902" s="12">
        <v>0</v>
      </c>
      <c r="O902" s="12">
        <v>0</v>
      </c>
      <c r="P902" s="12">
        <v>0</v>
      </c>
      <c r="Q902" s="12">
        <v>0</v>
      </c>
      <c r="R902" s="12">
        <v>0</v>
      </c>
    </row>
    <row r="903" spans="1:19" x14ac:dyDescent="0.25">
      <c r="A903" s="13">
        <v>45960.623229166667</v>
      </c>
      <c r="B903" t="s">
        <v>348</v>
      </c>
      <c r="C903" t="s">
        <v>360</v>
      </c>
      <c r="D903" t="s">
        <v>10</v>
      </c>
      <c r="E903" t="s">
        <v>11</v>
      </c>
      <c r="F903" t="s">
        <v>15</v>
      </c>
      <c r="G903">
        <v>3</v>
      </c>
      <c r="H903" s="12">
        <v>0</v>
      </c>
      <c r="I903" s="12">
        <v>0</v>
      </c>
      <c r="J903" s="12">
        <v>0</v>
      </c>
      <c r="K903" s="12">
        <v>0</v>
      </c>
      <c r="L903" s="12">
        <v>0</v>
      </c>
      <c r="M903" s="12">
        <v>0</v>
      </c>
      <c r="N903" s="12">
        <v>0</v>
      </c>
      <c r="O903" s="12">
        <v>0</v>
      </c>
      <c r="P903" s="12">
        <v>0</v>
      </c>
      <c r="Q903" s="12">
        <v>0</v>
      </c>
      <c r="R903" s="12">
        <v>1</v>
      </c>
      <c r="S903" t="s">
        <v>232</v>
      </c>
    </row>
    <row r="904" spans="1:19" x14ac:dyDescent="0.25">
      <c r="A904" s="13">
        <v>45960.750162037039</v>
      </c>
      <c r="B904" t="s">
        <v>355</v>
      </c>
      <c r="C904" t="s">
        <v>360</v>
      </c>
      <c r="D904" t="s">
        <v>10</v>
      </c>
      <c r="E904" t="s">
        <v>11</v>
      </c>
      <c r="F904" t="s">
        <v>14</v>
      </c>
      <c r="G904">
        <v>0.5</v>
      </c>
      <c r="H904" s="12">
        <v>0</v>
      </c>
      <c r="I904" s="12">
        <v>0</v>
      </c>
      <c r="J904" s="12">
        <v>0</v>
      </c>
      <c r="K904" s="12">
        <v>0</v>
      </c>
      <c r="L904" s="12">
        <v>0</v>
      </c>
      <c r="M904" s="12">
        <v>0</v>
      </c>
      <c r="N904" s="12">
        <v>0</v>
      </c>
      <c r="O904" s="12">
        <v>0</v>
      </c>
      <c r="P904" s="12">
        <v>0</v>
      </c>
      <c r="Q904" s="12">
        <v>0</v>
      </c>
      <c r="R904" s="12">
        <v>1</v>
      </c>
    </row>
    <row r="905" spans="1:19" x14ac:dyDescent="0.25">
      <c r="A905" s="13">
        <v>45960.750231481485</v>
      </c>
      <c r="B905" t="s">
        <v>355</v>
      </c>
      <c r="C905" t="s">
        <v>360</v>
      </c>
      <c r="D905" t="s">
        <v>10</v>
      </c>
      <c r="E905" t="s">
        <v>11</v>
      </c>
      <c r="F905" t="s">
        <v>14</v>
      </c>
      <c r="G905">
        <v>0.5</v>
      </c>
      <c r="H905" s="12">
        <v>0</v>
      </c>
      <c r="I905" s="12">
        <v>0</v>
      </c>
      <c r="J905" s="12">
        <v>0</v>
      </c>
      <c r="K905" s="12">
        <v>0</v>
      </c>
      <c r="L905" s="12">
        <v>0</v>
      </c>
      <c r="M905" s="12">
        <v>0</v>
      </c>
      <c r="N905" s="12">
        <v>0</v>
      </c>
      <c r="O905" s="12">
        <v>0</v>
      </c>
      <c r="P905" s="12">
        <v>0</v>
      </c>
      <c r="Q905" s="12">
        <v>1</v>
      </c>
      <c r="R905" s="12">
        <v>0</v>
      </c>
    </row>
    <row r="906" spans="1:19" x14ac:dyDescent="0.25">
      <c r="A906" s="13">
        <v>45961.375659722224</v>
      </c>
      <c r="B906" t="s">
        <v>352</v>
      </c>
      <c r="C906" t="s">
        <v>361</v>
      </c>
      <c r="D906" t="s">
        <v>10</v>
      </c>
      <c r="E906" t="s">
        <v>11</v>
      </c>
      <c r="F906" t="s">
        <v>14</v>
      </c>
      <c r="G906">
        <v>0.5</v>
      </c>
      <c r="H906" s="12">
        <v>0</v>
      </c>
      <c r="I906" s="12">
        <v>0</v>
      </c>
      <c r="J906" s="12">
        <v>0</v>
      </c>
      <c r="K906" s="12">
        <v>0</v>
      </c>
      <c r="L906" s="12">
        <v>0</v>
      </c>
      <c r="M906" s="12">
        <v>0</v>
      </c>
      <c r="N906" s="12">
        <v>0</v>
      </c>
      <c r="O906" s="12">
        <v>0</v>
      </c>
      <c r="P906" s="12">
        <v>0</v>
      </c>
      <c r="Q906" s="12">
        <v>1</v>
      </c>
      <c r="R906" s="12">
        <v>0</v>
      </c>
    </row>
    <row r="907" spans="1:19" x14ac:dyDescent="0.25">
      <c r="A907" s="13">
        <v>45961.412881944445</v>
      </c>
      <c r="B907" t="s">
        <v>352</v>
      </c>
      <c r="C907" t="s">
        <v>361</v>
      </c>
      <c r="D907" t="s">
        <v>10</v>
      </c>
      <c r="E907" t="s">
        <v>11</v>
      </c>
      <c r="F907" t="s">
        <v>12</v>
      </c>
      <c r="G907">
        <v>10.5</v>
      </c>
      <c r="H907" s="12">
        <v>0</v>
      </c>
      <c r="I907" s="12">
        <v>0</v>
      </c>
      <c r="J907" s="12">
        <v>0</v>
      </c>
      <c r="K907" s="12">
        <v>0</v>
      </c>
      <c r="L907" s="12">
        <v>1</v>
      </c>
      <c r="M907" s="12">
        <v>0</v>
      </c>
      <c r="N907" s="12">
        <v>0</v>
      </c>
      <c r="O907" s="12">
        <v>0</v>
      </c>
      <c r="P907" s="12">
        <v>0</v>
      </c>
      <c r="Q907" s="12">
        <v>0</v>
      </c>
      <c r="R907" s="12">
        <v>0</v>
      </c>
    </row>
    <row r="908" spans="1:19" x14ac:dyDescent="0.25">
      <c r="A908" s="13">
        <v>45961.420532407406</v>
      </c>
      <c r="B908" t="s">
        <v>347</v>
      </c>
      <c r="C908" t="s">
        <v>361</v>
      </c>
      <c r="D908" t="s">
        <v>20</v>
      </c>
      <c r="E908" t="s">
        <v>11</v>
      </c>
      <c r="F908" t="s">
        <v>12</v>
      </c>
      <c r="G908">
        <v>10.5</v>
      </c>
      <c r="H908" s="12">
        <v>1</v>
      </c>
      <c r="I908" s="12">
        <v>0</v>
      </c>
      <c r="J908" s="12">
        <v>1</v>
      </c>
      <c r="K908" s="12">
        <v>0</v>
      </c>
      <c r="L908" s="12">
        <v>0</v>
      </c>
      <c r="M908" s="12">
        <v>0</v>
      </c>
      <c r="N908" s="12">
        <v>0</v>
      </c>
      <c r="O908" s="12">
        <v>0</v>
      </c>
      <c r="P908" s="12">
        <v>0</v>
      </c>
      <c r="Q908" s="12">
        <v>0</v>
      </c>
      <c r="R908" s="12">
        <v>0</v>
      </c>
    </row>
    <row r="909" spans="1:19" x14ac:dyDescent="0.25">
      <c r="A909" s="13">
        <v>45961.480567129627</v>
      </c>
      <c r="B909" t="s">
        <v>354</v>
      </c>
      <c r="C909" t="s">
        <v>361</v>
      </c>
      <c r="D909" t="s">
        <v>10</v>
      </c>
      <c r="E909" t="s">
        <v>11</v>
      </c>
      <c r="F909" t="s">
        <v>18</v>
      </c>
      <c r="G909">
        <v>20</v>
      </c>
      <c r="H909" s="12">
        <v>0</v>
      </c>
      <c r="I909" s="12">
        <v>0</v>
      </c>
      <c r="J909" s="12">
        <v>0</v>
      </c>
      <c r="K909" s="12">
        <v>0</v>
      </c>
      <c r="L909" s="12">
        <v>0</v>
      </c>
      <c r="M909" s="12">
        <v>0</v>
      </c>
      <c r="N909" s="12">
        <v>0</v>
      </c>
      <c r="O909" s="12">
        <v>0</v>
      </c>
      <c r="P909" s="12">
        <v>0</v>
      </c>
      <c r="Q909" s="12">
        <v>1</v>
      </c>
      <c r="R909" s="12">
        <v>0</v>
      </c>
      <c r="S909" t="s">
        <v>233</v>
      </c>
    </row>
    <row r="910" spans="1:19" x14ac:dyDescent="0.25">
      <c r="A910" s="13">
        <v>45961.53570601852</v>
      </c>
      <c r="B910" t="s">
        <v>350</v>
      </c>
      <c r="C910" t="s">
        <v>361</v>
      </c>
      <c r="D910" t="s">
        <v>20</v>
      </c>
      <c r="E910" t="s">
        <v>11</v>
      </c>
      <c r="F910" t="s">
        <v>12</v>
      </c>
      <c r="G910">
        <v>10.5</v>
      </c>
      <c r="H910" s="12">
        <v>0</v>
      </c>
      <c r="I910" s="12">
        <v>0</v>
      </c>
      <c r="J910" s="12">
        <v>0</v>
      </c>
      <c r="K910" s="12">
        <v>0</v>
      </c>
      <c r="L910" s="12">
        <v>0</v>
      </c>
      <c r="M910" s="12">
        <v>0</v>
      </c>
      <c r="N910" s="12">
        <v>0</v>
      </c>
      <c r="O910" s="12">
        <v>0</v>
      </c>
      <c r="P910" s="12">
        <v>0</v>
      </c>
      <c r="Q910" s="12">
        <v>0</v>
      </c>
      <c r="R910" s="12">
        <v>1</v>
      </c>
      <c r="S910" t="s">
        <v>67</v>
      </c>
    </row>
    <row r="911" spans="1:19" x14ac:dyDescent="0.25">
      <c r="A911" s="13">
        <v>45961.621562499997</v>
      </c>
      <c r="B911" t="s">
        <v>348</v>
      </c>
      <c r="C911" t="s">
        <v>361</v>
      </c>
      <c r="D911" t="s">
        <v>10</v>
      </c>
      <c r="E911" t="s">
        <v>11</v>
      </c>
      <c r="F911" t="s">
        <v>14</v>
      </c>
      <c r="G911">
        <v>0.5</v>
      </c>
      <c r="H911" s="12">
        <v>0</v>
      </c>
      <c r="I911" s="12">
        <v>0</v>
      </c>
      <c r="J911" s="12">
        <v>0</v>
      </c>
      <c r="K911" s="12">
        <v>0</v>
      </c>
      <c r="L911" s="12">
        <v>0</v>
      </c>
      <c r="M911" s="12">
        <v>0</v>
      </c>
      <c r="N911" s="12">
        <v>0</v>
      </c>
      <c r="O911" s="12">
        <v>0</v>
      </c>
      <c r="P911" s="12">
        <v>0</v>
      </c>
      <c r="Q911" s="12">
        <v>0</v>
      </c>
      <c r="R911" s="12">
        <v>1</v>
      </c>
      <c r="S911" t="s">
        <v>234</v>
      </c>
    </row>
    <row r="912" spans="1:19" x14ac:dyDescent="0.25">
      <c r="A912" s="13">
        <v>45961.664386574077</v>
      </c>
      <c r="B912" t="s">
        <v>349</v>
      </c>
      <c r="C912" t="s">
        <v>361</v>
      </c>
      <c r="D912" t="s">
        <v>10</v>
      </c>
      <c r="E912" t="s">
        <v>11</v>
      </c>
      <c r="F912" t="s">
        <v>12</v>
      </c>
      <c r="G912">
        <v>10.5</v>
      </c>
      <c r="H912" s="12">
        <v>0</v>
      </c>
      <c r="I912" s="12">
        <v>0</v>
      </c>
      <c r="J912" s="12">
        <v>0</v>
      </c>
      <c r="K912" s="12">
        <v>0</v>
      </c>
      <c r="L912" s="12">
        <v>0</v>
      </c>
      <c r="M912" s="12">
        <v>0</v>
      </c>
      <c r="N912" s="12">
        <v>0</v>
      </c>
      <c r="O912" s="12">
        <v>0</v>
      </c>
      <c r="P912" s="12">
        <v>1</v>
      </c>
      <c r="Q912" s="12">
        <v>0</v>
      </c>
      <c r="R912" s="12">
        <v>0</v>
      </c>
      <c r="S912" t="s">
        <v>235</v>
      </c>
    </row>
    <row r="913" spans="1:19" x14ac:dyDescent="0.25">
      <c r="A913" s="13">
        <v>45961.665601851855</v>
      </c>
      <c r="B913" t="s">
        <v>349</v>
      </c>
      <c r="C913" t="s">
        <v>361</v>
      </c>
      <c r="D913" t="s">
        <v>10</v>
      </c>
      <c r="E913" t="s">
        <v>11</v>
      </c>
      <c r="F913" t="s">
        <v>12</v>
      </c>
      <c r="G913">
        <v>10.5</v>
      </c>
      <c r="H913" s="12">
        <v>0</v>
      </c>
      <c r="I913" s="12">
        <v>0</v>
      </c>
      <c r="J913" s="12">
        <v>0</v>
      </c>
      <c r="K913" s="12">
        <v>0</v>
      </c>
      <c r="L913" s="12">
        <v>0</v>
      </c>
      <c r="M913" s="12">
        <v>0</v>
      </c>
      <c r="N913" s="12">
        <v>0</v>
      </c>
      <c r="O913" s="12">
        <v>0</v>
      </c>
      <c r="P913" s="12">
        <v>1</v>
      </c>
      <c r="Q913" s="12">
        <v>0</v>
      </c>
      <c r="R913" s="12">
        <v>0</v>
      </c>
      <c r="S913" t="s">
        <v>236</v>
      </c>
    </row>
    <row r="914" spans="1:19" x14ac:dyDescent="0.25">
      <c r="A914" s="13">
        <v>45961.746504629627</v>
      </c>
      <c r="B914" t="s">
        <v>355</v>
      </c>
      <c r="C914" t="s">
        <v>361</v>
      </c>
      <c r="D914" t="s">
        <v>10</v>
      </c>
      <c r="E914" t="s">
        <v>11</v>
      </c>
      <c r="F914" t="s">
        <v>12</v>
      </c>
      <c r="G914">
        <v>10.5</v>
      </c>
      <c r="H914" s="12">
        <v>0</v>
      </c>
      <c r="I914" s="12">
        <v>0</v>
      </c>
      <c r="J914" s="12">
        <v>0</v>
      </c>
      <c r="K914" s="12">
        <v>0</v>
      </c>
      <c r="L914" s="12">
        <v>1</v>
      </c>
      <c r="M914" s="12">
        <v>0</v>
      </c>
      <c r="N914" s="12">
        <v>0</v>
      </c>
      <c r="O914" s="12">
        <v>0</v>
      </c>
      <c r="P914" s="12">
        <v>0</v>
      </c>
      <c r="Q914" s="12">
        <v>0</v>
      </c>
      <c r="R914" s="12">
        <v>0</v>
      </c>
    </row>
    <row r="915" spans="1:19" x14ac:dyDescent="0.25">
      <c r="A915" s="13">
        <v>45961.74659722222</v>
      </c>
      <c r="B915" t="s">
        <v>355</v>
      </c>
      <c r="C915" t="s">
        <v>361</v>
      </c>
      <c r="D915" t="s">
        <v>10</v>
      </c>
      <c r="E915" t="s">
        <v>11</v>
      </c>
      <c r="F915" t="s">
        <v>14</v>
      </c>
      <c r="G915">
        <v>0.5</v>
      </c>
      <c r="H915" s="12">
        <v>0</v>
      </c>
      <c r="I915" s="12">
        <v>0</v>
      </c>
      <c r="J915" s="12">
        <v>0</v>
      </c>
      <c r="K915" s="12">
        <v>0</v>
      </c>
      <c r="L915" s="12">
        <v>0</v>
      </c>
      <c r="M915" s="12">
        <v>0</v>
      </c>
      <c r="N915" s="12">
        <v>0</v>
      </c>
      <c r="O915" s="12">
        <v>0</v>
      </c>
      <c r="P915" s="12">
        <v>0</v>
      </c>
      <c r="Q915" s="12">
        <v>0</v>
      </c>
      <c r="R915" s="12">
        <v>1</v>
      </c>
    </row>
    <row r="916" spans="1:19" x14ac:dyDescent="0.25">
      <c r="A916" s="13">
        <v>45961.746666666666</v>
      </c>
      <c r="B916" t="s">
        <v>355</v>
      </c>
      <c r="C916" t="s">
        <v>361</v>
      </c>
      <c r="D916" t="s">
        <v>10</v>
      </c>
      <c r="E916" t="s">
        <v>11</v>
      </c>
      <c r="F916" t="s">
        <v>14</v>
      </c>
      <c r="G916">
        <v>0.5</v>
      </c>
      <c r="H916" s="12">
        <v>0</v>
      </c>
      <c r="I916" s="12">
        <v>0</v>
      </c>
      <c r="J916" s="12">
        <v>0</v>
      </c>
      <c r="K916" s="12">
        <v>0</v>
      </c>
      <c r="L916" s="12">
        <v>0</v>
      </c>
      <c r="M916" s="12">
        <v>0</v>
      </c>
      <c r="N916" s="12">
        <v>0</v>
      </c>
      <c r="O916" s="12">
        <v>0</v>
      </c>
      <c r="P916" s="12">
        <v>0</v>
      </c>
      <c r="Q916" s="12">
        <v>1</v>
      </c>
      <c r="R916" s="12">
        <v>0</v>
      </c>
    </row>
    <row r="917" spans="1:19" x14ac:dyDescent="0.25">
      <c r="A917" s="13">
        <v>45962.431481481479</v>
      </c>
      <c r="B917" t="s">
        <v>347</v>
      </c>
      <c r="C917" t="s">
        <v>362</v>
      </c>
      <c r="D917" t="s">
        <v>10</v>
      </c>
      <c r="E917" t="s">
        <v>11</v>
      </c>
      <c r="F917" t="s">
        <v>14</v>
      </c>
      <c r="G917">
        <v>0.5</v>
      </c>
      <c r="H917" s="12">
        <v>0</v>
      </c>
      <c r="I917" s="12">
        <v>0</v>
      </c>
      <c r="J917" s="12">
        <v>0</v>
      </c>
      <c r="K917" s="12">
        <v>0</v>
      </c>
      <c r="L917" s="12">
        <v>0</v>
      </c>
      <c r="M917" s="12">
        <v>0</v>
      </c>
      <c r="N917" s="12">
        <v>0</v>
      </c>
      <c r="O917" s="12">
        <v>0</v>
      </c>
      <c r="P917" s="12">
        <v>1</v>
      </c>
      <c r="Q917" s="12">
        <v>0</v>
      </c>
      <c r="R917" s="12">
        <v>0</v>
      </c>
    </row>
    <row r="918" spans="1:19" x14ac:dyDescent="0.25">
      <c r="A918" s="13">
        <v>45964.478993055556</v>
      </c>
      <c r="B918" t="s">
        <v>354</v>
      </c>
      <c r="C918" t="s">
        <v>363</v>
      </c>
      <c r="D918" t="s">
        <v>10</v>
      </c>
      <c r="E918" t="s">
        <v>11</v>
      </c>
      <c r="F918" t="s">
        <v>15</v>
      </c>
      <c r="G918">
        <v>3</v>
      </c>
      <c r="H918" s="12">
        <v>0</v>
      </c>
      <c r="I918" s="12">
        <v>0</v>
      </c>
      <c r="J918" s="12">
        <v>0</v>
      </c>
      <c r="K918" s="12">
        <v>0</v>
      </c>
      <c r="L918" s="12">
        <v>0</v>
      </c>
      <c r="M918" s="12">
        <v>0</v>
      </c>
      <c r="N918" s="12">
        <v>0</v>
      </c>
      <c r="O918" s="12">
        <v>0</v>
      </c>
      <c r="P918" s="12">
        <v>1</v>
      </c>
      <c r="Q918" s="12">
        <v>0</v>
      </c>
      <c r="R918" s="12">
        <v>0</v>
      </c>
    </row>
    <row r="919" spans="1:19" x14ac:dyDescent="0.25">
      <c r="A919" s="13">
        <v>45964.479120370372</v>
      </c>
      <c r="B919" t="s">
        <v>354</v>
      </c>
      <c r="C919" t="s">
        <v>363</v>
      </c>
      <c r="D919" t="s">
        <v>10</v>
      </c>
      <c r="E919" t="s">
        <v>11</v>
      </c>
      <c r="F919" t="s">
        <v>15</v>
      </c>
      <c r="G919">
        <v>3</v>
      </c>
      <c r="H919" s="12">
        <v>0</v>
      </c>
      <c r="I919" s="12">
        <v>0</v>
      </c>
      <c r="J919" s="12">
        <v>0</v>
      </c>
      <c r="K919" s="12">
        <v>0</v>
      </c>
      <c r="L919" s="12">
        <v>0</v>
      </c>
      <c r="M919" s="12">
        <v>0</v>
      </c>
      <c r="N919" s="12">
        <v>0</v>
      </c>
      <c r="O919" s="12">
        <v>0</v>
      </c>
      <c r="P919" s="12">
        <v>0</v>
      </c>
      <c r="Q919" s="12">
        <v>1</v>
      </c>
      <c r="R919" s="12">
        <v>0</v>
      </c>
    </row>
    <row r="920" spans="1:19" x14ac:dyDescent="0.25">
      <c r="A920" s="13">
        <v>45964.479421296295</v>
      </c>
      <c r="B920" t="s">
        <v>354</v>
      </c>
      <c r="C920" t="s">
        <v>363</v>
      </c>
      <c r="D920" t="s">
        <v>10</v>
      </c>
      <c r="E920" t="s">
        <v>11</v>
      </c>
      <c r="F920" t="s">
        <v>15</v>
      </c>
      <c r="G920">
        <v>3</v>
      </c>
      <c r="H920" s="12">
        <v>0</v>
      </c>
      <c r="I920" s="12">
        <v>0</v>
      </c>
      <c r="J920" s="12">
        <v>0</v>
      </c>
      <c r="K920" s="12">
        <v>0</v>
      </c>
      <c r="L920" s="12">
        <v>0</v>
      </c>
      <c r="M920" s="12">
        <v>0</v>
      </c>
      <c r="N920" s="12">
        <v>0</v>
      </c>
      <c r="O920" s="12">
        <v>1</v>
      </c>
      <c r="P920" s="12">
        <v>0</v>
      </c>
      <c r="Q920" s="12">
        <v>0</v>
      </c>
      <c r="R920" s="12">
        <v>0</v>
      </c>
    </row>
    <row r="921" spans="1:19" x14ac:dyDescent="0.25">
      <c r="A921" s="13">
        <v>45964.479571759257</v>
      </c>
      <c r="B921" t="s">
        <v>354</v>
      </c>
      <c r="C921" t="s">
        <v>363</v>
      </c>
      <c r="D921" t="s">
        <v>10</v>
      </c>
      <c r="E921" t="s">
        <v>11</v>
      </c>
      <c r="F921" t="s">
        <v>15</v>
      </c>
      <c r="G921">
        <v>3</v>
      </c>
      <c r="H921" s="12">
        <v>0</v>
      </c>
      <c r="I921" s="12">
        <v>0</v>
      </c>
      <c r="J921" s="12">
        <v>0</v>
      </c>
      <c r="K921" s="12">
        <v>0</v>
      </c>
      <c r="L921" s="12">
        <v>0</v>
      </c>
      <c r="M921" s="12">
        <v>0</v>
      </c>
      <c r="N921" s="12">
        <v>0</v>
      </c>
      <c r="O921" s="12">
        <v>1</v>
      </c>
      <c r="P921" s="12">
        <v>0</v>
      </c>
      <c r="Q921" s="12">
        <v>0</v>
      </c>
      <c r="R921" s="12">
        <v>0</v>
      </c>
    </row>
    <row r="922" spans="1:19" x14ac:dyDescent="0.25">
      <c r="A922" s="13">
        <v>45964.484733796293</v>
      </c>
      <c r="B922" t="s">
        <v>354</v>
      </c>
      <c r="C922" t="s">
        <v>363</v>
      </c>
      <c r="D922" t="s">
        <v>10</v>
      </c>
      <c r="E922" t="s">
        <v>11</v>
      </c>
      <c r="F922" t="s">
        <v>12</v>
      </c>
      <c r="G922">
        <v>10.5</v>
      </c>
      <c r="H922" s="12">
        <v>1</v>
      </c>
      <c r="I922" s="12">
        <v>0</v>
      </c>
      <c r="J922" s="12">
        <v>1</v>
      </c>
      <c r="K922" s="12">
        <v>0</v>
      </c>
      <c r="L922" s="12">
        <v>0</v>
      </c>
      <c r="M922" s="12">
        <v>0</v>
      </c>
      <c r="N922" s="12">
        <v>0</v>
      </c>
      <c r="O922" s="12">
        <v>0</v>
      </c>
      <c r="P922" s="12">
        <v>0</v>
      </c>
      <c r="Q922" s="12">
        <v>0</v>
      </c>
      <c r="R922" s="12">
        <v>0</v>
      </c>
    </row>
    <row r="923" spans="1:19" x14ac:dyDescent="0.25">
      <c r="A923" s="13">
        <v>45964.570775462962</v>
      </c>
      <c r="B923" t="s">
        <v>351</v>
      </c>
      <c r="C923" t="s">
        <v>363</v>
      </c>
      <c r="D923" t="s">
        <v>10</v>
      </c>
      <c r="E923" t="s">
        <v>11</v>
      </c>
      <c r="F923" t="s">
        <v>14</v>
      </c>
      <c r="G923">
        <v>0.5</v>
      </c>
      <c r="H923" s="12">
        <v>0</v>
      </c>
      <c r="I923" s="12">
        <v>0</v>
      </c>
      <c r="J923" s="12">
        <v>0</v>
      </c>
      <c r="K923" s="12">
        <v>0</v>
      </c>
      <c r="L923" s="12">
        <v>0</v>
      </c>
      <c r="M923" s="12">
        <v>0</v>
      </c>
      <c r="N923" s="12">
        <v>0</v>
      </c>
      <c r="O923" s="12">
        <v>0</v>
      </c>
      <c r="P923" s="12">
        <v>0</v>
      </c>
      <c r="Q923" s="12">
        <v>1</v>
      </c>
      <c r="R923" s="12">
        <v>0</v>
      </c>
    </row>
    <row r="924" spans="1:19" x14ac:dyDescent="0.25">
      <c r="A924" s="13">
        <v>45964.575567129628</v>
      </c>
      <c r="B924" t="s">
        <v>351</v>
      </c>
      <c r="C924" t="s">
        <v>363</v>
      </c>
      <c r="D924" t="s">
        <v>10</v>
      </c>
      <c r="E924" t="s">
        <v>11</v>
      </c>
      <c r="F924" t="s">
        <v>12</v>
      </c>
      <c r="G924">
        <v>10.5</v>
      </c>
      <c r="H924" s="12">
        <v>0</v>
      </c>
      <c r="I924" s="12">
        <v>0</v>
      </c>
      <c r="J924" s="12">
        <v>0</v>
      </c>
      <c r="K924" s="12">
        <v>0</v>
      </c>
      <c r="L924" s="12">
        <v>1</v>
      </c>
      <c r="M924" s="12">
        <v>0</v>
      </c>
      <c r="N924" s="12">
        <v>0</v>
      </c>
      <c r="O924" s="12">
        <v>0</v>
      </c>
      <c r="P924" s="12">
        <v>0</v>
      </c>
      <c r="Q924" s="12">
        <v>0</v>
      </c>
      <c r="R924" s="12">
        <v>0</v>
      </c>
    </row>
    <row r="925" spans="1:19" x14ac:dyDescent="0.25">
      <c r="A925" s="13">
        <v>45964.590671296297</v>
      </c>
      <c r="B925" t="s">
        <v>348</v>
      </c>
      <c r="C925" t="s">
        <v>363</v>
      </c>
      <c r="D925" t="s">
        <v>10</v>
      </c>
      <c r="E925" t="s">
        <v>11</v>
      </c>
      <c r="F925" t="s">
        <v>14</v>
      </c>
      <c r="G925">
        <v>0.5</v>
      </c>
      <c r="H925" s="12">
        <v>0</v>
      </c>
      <c r="I925" s="12">
        <v>0</v>
      </c>
      <c r="J925" s="12">
        <v>0</v>
      </c>
      <c r="K925" s="12">
        <v>0</v>
      </c>
      <c r="L925" s="12">
        <v>0</v>
      </c>
      <c r="M925" s="12">
        <v>0</v>
      </c>
      <c r="N925" s="12">
        <v>0</v>
      </c>
      <c r="O925" s="12">
        <v>0</v>
      </c>
      <c r="P925" s="12">
        <v>1</v>
      </c>
      <c r="Q925" s="12">
        <v>0</v>
      </c>
      <c r="R925" s="12">
        <v>0</v>
      </c>
    </row>
    <row r="926" spans="1:19" x14ac:dyDescent="0.25">
      <c r="A926" s="13">
        <v>45964.59233796296</v>
      </c>
      <c r="B926" t="s">
        <v>348</v>
      </c>
      <c r="C926" t="s">
        <v>363</v>
      </c>
      <c r="D926" t="s">
        <v>10</v>
      </c>
      <c r="E926" t="s">
        <v>11</v>
      </c>
      <c r="F926" t="s">
        <v>12</v>
      </c>
      <c r="G926">
        <v>10.5</v>
      </c>
      <c r="H926" s="12">
        <v>0</v>
      </c>
      <c r="I926" s="12">
        <v>1</v>
      </c>
      <c r="J926" s="12">
        <v>1</v>
      </c>
      <c r="K926" s="12">
        <v>0</v>
      </c>
      <c r="L926" s="12">
        <v>0</v>
      </c>
      <c r="M926" s="12">
        <v>0</v>
      </c>
      <c r="N926" s="12">
        <v>0</v>
      </c>
      <c r="O926" s="12">
        <v>0</v>
      </c>
      <c r="P926" s="12">
        <v>0</v>
      </c>
      <c r="Q926" s="12">
        <v>0</v>
      </c>
      <c r="R926" s="12">
        <v>0</v>
      </c>
    </row>
    <row r="927" spans="1:19" x14ac:dyDescent="0.25">
      <c r="A927" s="13">
        <v>45964.624166666668</v>
      </c>
      <c r="B927" t="s">
        <v>348</v>
      </c>
      <c r="C927" t="s">
        <v>363</v>
      </c>
      <c r="D927" t="s">
        <v>20</v>
      </c>
      <c r="E927" t="s">
        <v>11</v>
      </c>
      <c r="F927" t="s">
        <v>15</v>
      </c>
      <c r="G927">
        <v>3</v>
      </c>
      <c r="H927" s="12">
        <v>0</v>
      </c>
      <c r="I927" s="12">
        <v>1</v>
      </c>
      <c r="J927" s="12">
        <v>0</v>
      </c>
      <c r="K927" s="12">
        <v>0</v>
      </c>
      <c r="L927" s="12">
        <v>0</v>
      </c>
      <c r="M927" s="12">
        <v>0</v>
      </c>
      <c r="N927" s="12">
        <v>0</v>
      </c>
      <c r="O927" s="12">
        <v>0</v>
      </c>
      <c r="P927" s="12">
        <v>0</v>
      </c>
      <c r="Q927" s="12">
        <v>0</v>
      </c>
      <c r="R927" s="12">
        <v>0</v>
      </c>
    </row>
    <row r="928" spans="1:19" x14ac:dyDescent="0.25">
      <c r="A928" s="13">
        <v>45964.634166666663</v>
      </c>
      <c r="B928" t="s">
        <v>349</v>
      </c>
      <c r="C928" t="s">
        <v>363</v>
      </c>
      <c r="D928" t="s">
        <v>10</v>
      </c>
      <c r="E928" t="s">
        <v>11</v>
      </c>
      <c r="F928" t="s">
        <v>15</v>
      </c>
      <c r="G928">
        <v>3</v>
      </c>
      <c r="H928" s="12">
        <v>0</v>
      </c>
      <c r="I928" s="12">
        <v>0</v>
      </c>
      <c r="J928" s="12">
        <v>0</v>
      </c>
      <c r="K928" s="12">
        <v>0</v>
      </c>
      <c r="L928" s="12">
        <v>0</v>
      </c>
      <c r="M928" s="12">
        <v>0</v>
      </c>
      <c r="N928" s="12">
        <v>0</v>
      </c>
      <c r="O928" s="12">
        <v>0</v>
      </c>
      <c r="P928" s="12">
        <v>0</v>
      </c>
      <c r="Q928" s="12">
        <v>0</v>
      </c>
      <c r="R928" s="12">
        <v>1</v>
      </c>
      <c r="S928" t="s">
        <v>214</v>
      </c>
    </row>
    <row r="929" spans="1:19" x14ac:dyDescent="0.25">
      <c r="A929" s="13">
        <v>45964.64130787037</v>
      </c>
      <c r="B929" t="s">
        <v>349</v>
      </c>
      <c r="C929" t="s">
        <v>363</v>
      </c>
      <c r="D929" t="s">
        <v>10</v>
      </c>
      <c r="E929" t="s">
        <v>11</v>
      </c>
      <c r="F929" t="s">
        <v>15</v>
      </c>
      <c r="G929">
        <v>3</v>
      </c>
      <c r="H929" s="12">
        <v>0</v>
      </c>
      <c r="I929" s="12">
        <v>0</v>
      </c>
      <c r="J929" s="12">
        <v>0</v>
      </c>
      <c r="K929" s="12">
        <v>0</v>
      </c>
      <c r="L929" s="12">
        <v>0</v>
      </c>
      <c r="M929" s="12">
        <v>1</v>
      </c>
      <c r="N929" s="12">
        <v>0</v>
      </c>
      <c r="O929" s="12">
        <v>0</v>
      </c>
      <c r="P929" s="12">
        <v>0</v>
      </c>
      <c r="Q929" s="12">
        <v>0</v>
      </c>
      <c r="R929" s="12">
        <v>0</v>
      </c>
    </row>
    <row r="930" spans="1:19" x14ac:dyDescent="0.25">
      <c r="A930" s="13">
        <v>45964.664120370369</v>
      </c>
      <c r="B930" t="s">
        <v>349</v>
      </c>
      <c r="C930" t="s">
        <v>363</v>
      </c>
      <c r="D930" t="s">
        <v>10</v>
      </c>
      <c r="E930" t="s">
        <v>17</v>
      </c>
      <c r="F930" t="s">
        <v>15</v>
      </c>
      <c r="G930">
        <v>3</v>
      </c>
      <c r="H930" s="12">
        <v>0</v>
      </c>
      <c r="I930" s="12">
        <v>0</v>
      </c>
      <c r="J930" s="12">
        <v>0</v>
      </c>
      <c r="K930" s="12">
        <v>0</v>
      </c>
      <c r="L930" s="12">
        <v>0</v>
      </c>
      <c r="M930" s="12">
        <v>0</v>
      </c>
      <c r="N930" s="12">
        <v>1</v>
      </c>
      <c r="O930" s="12">
        <v>0</v>
      </c>
      <c r="P930" s="12">
        <v>0</v>
      </c>
      <c r="Q930" s="12">
        <v>0</v>
      </c>
      <c r="R930" s="12">
        <v>0</v>
      </c>
    </row>
    <row r="931" spans="1:19" x14ac:dyDescent="0.25">
      <c r="A931" s="13">
        <v>45964.700983796298</v>
      </c>
      <c r="B931" t="s">
        <v>353</v>
      </c>
      <c r="C931" t="s">
        <v>363</v>
      </c>
      <c r="D931" t="s">
        <v>20</v>
      </c>
      <c r="E931" t="s">
        <v>11</v>
      </c>
      <c r="F931" t="s">
        <v>12</v>
      </c>
      <c r="G931">
        <v>10.5</v>
      </c>
      <c r="H931" s="12">
        <v>1</v>
      </c>
      <c r="I931" s="12">
        <v>0</v>
      </c>
      <c r="J931" s="12">
        <v>1</v>
      </c>
      <c r="K931" s="12">
        <v>0</v>
      </c>
      <c r="L931" s="12">
        <v>0</v>
      </c>
      <c r="M931" s="12">
        <v>0</v>
      </c>
      <c r="N931" s="12">
        <v>0</v>
      </c>
      <c r="O931" s="12">
        <v>0</v>
      </c>
      <c r="P931" s="12">
        <v>0</v>
      </c>
      <c r="Q931" s="12">
        <v>0</v>
      </c>
      <c r="R931" s="12">
        <v>0</v>
      </c>
      <c r="S931" t="s">
        <v>237</v>
      </c>
    </row>
    <row r="932" spans="1:19" x14ac:dyDescent="0.25">
      <c r="A932" s="13">
        <v>45964.763032407405</v>
      </c>
      <c r="B932" t="s">
        <v>355</v>
      </c>
      <c r="C932" t="s">
        <v>363</v>
      </c>
      <c r="D932" t="s">
        <v>10</v>
      </c>
      <c r="E932" t="s">
        <v>11</v>
      </c>
      <c r="F932" t="s">
        <v>12</v>
      </c>
      <c r="G932">
        <v>10.5</v>
      </c>
      <c r="H932" s="12">
        <v>0</v>
      </c>
      <c r="I932" s="12">
        <v>0</v>
      </c>
      <c r="J932" s="12">
        <v>1</v>
      </c>
      <c r="K932" s="12">
        <v>0</v>
      </c>
      <c r="L932" s="12">
        <v>0</v>
      </c>
      <c r="M932" s="12">
        <v>0</v>
      </c>
      <c r="N932" s="12">
        <v>0</v>
      </c>
      <c r="O932" s="12">
        <v>0</v>
      </c>
      <c r="P932" s="12">
        <v>0</v>
      </c>
      <c r="Q932" s="12">
        <v>0</v>
      </c>
      <c r="R932" s="12">
        <v>0</v>
      </c>
    </row>
    <row r="933" spans="1:19" x14ac:dyDescent="0.25">
      <c r="A933" s="13">
        <v>45965.470682870371</v>
      </c>
      <c r="B933" t="s">
        <v>354</v>
      </c>
      <c r="C933" t="s">
        <v>358</v>
      </c>
      <c r="D933" t="s">
        <v>10</v>
      </c>
      <c r="E933" t="s">
        <v>11</v>
      </c>
      <c r="F933" t="s">
        <v>15</v>
      </c>
      <c r="G933">
        <v>3</v>
      </c>
      <c r="H933" s="12">
        <v>0</v>
      </c>
      <c r="I933" s="12">
        <v>0</v>
      </c>
      <c r="J933" s="12">
        <v>0</v>
      </c>
      <c r="K933" s="12">
        <v>0</v>
      </c>
      <c r="L933" s="12">
        <v>1</v>
      </c>
      <c r="M933" s="12">
        <v>0</v>
      </c>
      <c r="N933" s="12">
        <v>0</v>
      </c>
      <c r="O933" s="12">
        <v>0</v>
      </c>
      <c r="P933" s="12">
        <v>0</v>
      </c>
      <c r="Q933" s="12">
        <v>0</v>
      </c>
      <c r="R933" s="12">
        <v>0</v>
      </c>
    </row>
    <row r="934" spans="1:19" x14ac:dyDescent="0.25">
      <c r="A934" s="13">
        <v>45965.470902777779</v>
      </c>
      <c r="B934" t="s">
        <v>354</v>
      </c>
      <c r="C934" t="s">
        <v>358</v>
      </c>
      <c r="D934" t="s">
        <v>10</v>
      </c>
      <c r="E934" t="s">
        <v>11</v>
      </c>
      <c r="F934" t="s">
        <v>15</v>
      </c>
      <c r="G934">
        <v>3</v>
      </c>
      <c r="H934" s="12">
        <v>0</v>
      </c>
      <c r="I934" s="12">
        <v>0</v>
      </c>
      <c r="J934" s="12">
        <v>0</v>
      </c>
      <c r="K934" s="12">
        <v>0</v>
      </c>
      <c r="L934" s="12">
        <v>1</v>
      </c>
      <c r="M934" s="12">
        <v>0</v>
      </c>
      <c r="N934" s="12">
        <v>0</v>
      </c>
      <c r="O934" s="12">
        <v>0</v>
      </c>
      <c r="P934" s="12">
        <v>1</v>
      </c>
      <c r="Q934" s="12">
        <v>0</v>
      </c>
      <c r="R934" s="12">
        <v>0</v>
      </c>
    </row>
    <row r="935" spans="1:19" x14ac:dyDescent="0.25">
      <c r="A935" s="13">
        <v>45965.471145833333</v>
      </c>
      <c r="B935" t="s">
        <v>354</v>
      </c>
      <c r="C935" t="s">
        <v>358</v>
      </c>
      <c r="D935" t="s">
        <v>10</v>
      </c>
      <c r="E935" t="s">
        <v>11</v>
      </c>
      <c r="F935" t="s">
        <v>15</v>
      </c>
      <c r="G935">
        <v>3</v>
      </c>
      <c r="H935" s="12">
        <v>0</v>
      </c>
      <c r="I935" s="12">
        <v>0</v>
      </c>
      <c r="J935" s="12">
        <v>0</v>
      </c>
      <c r="K935" s="12">
        <v>0</v>
      </c>
      <c r="L935" s="12">
        <v>0</v>
      </c>
      <c r="M935" s="12">
        <v>0</v>
      </c>
      <c r="N935" s="12">
        <v>0</v>
      </c>
      <c r="O935" s="12">
        <v>1</v>
      </c>
      <c r="P935" s="12">
        <v>0</v>
      </c>
      <c r="Q935" s="12">
        <v>0</v>
      </c>
      <c r="R935" s="12">
        <v>0</v>
      </c>
    </row>
    <row r="936" spans="1:19" x14ac:dyDescent="0.25">
      <c r="A936" s="13">
        <v>45965.480462962965</v>
      </c>
      <c r="B936" t="s">
        <v>354</v>
      </c>
      <c r="C936" t="s">
        <v>358</v>
      </c>
      <c r="D936" t="s">
        <v>10</v>
      </c>
      <c r="E936" t="s">
        <v>11</v>
      </c>
      <c r="F936" t="s">
        <v>15</v>
      </c>
      <c r="G936">
        <v>3</v>
      </c>
      <c r="H936" s="12">
        <v>1</v>
      </c>
      <c r="I936" s="12">
        <v>0</v>
      </c>
      <c r="J936" s="12">
        <v>1</v>
      </c>
      <c r="K936" s="12">
        <v>0</v>
      </c>
      <c r="L936" s="12">
        <v>0</v>
      </c>
      <c r="M936" s="12">
        <v>0</v>
      </c>
      <c r="N936" s="12">
        <v>0</v>
      </c>
      <c r="O936" s="12">
        <v>0</v>
      </c>
      <c r="P936" s="12">
        <v>0</v>
      </c>
      <c r="Q936" s="12">
        <v>0</v>
      </c>
      <c r="R936" s="12">
        <v>0</v>
      </c>
      <c r="S936" t="s">
        <v>238</v>
      </c>
    </row>
    <row r="937" spans="1:19" x14ac:dyDescent="0.25">
      <c r="A937" s="13">
        <v>45965.570787037039</v>
      </c>
      <c r="B937" t="s">
        <v>351</v>
      </c>
      <c r="C937" t="s">
        <v>358</v>
      </c>
      <c r="D937" t="s">
        <v>10</v>
      </c>
      <c r="E937" t="s">
        <v>11</v>
      </c>
      <c r="F937" t="s">
        <v>15</v>
      </c>
      <c r="G937">
        <v>3</v>
      </c>
      <c r="H937" s="12">
        <v>0</v>
      </c>
      <c r="I937" s="12">
        <v>1</v>
      </c>
      <c r="J937" s="12">
        <v>0</v>
      </c>
      <c r="K937" s="12">
        <v>0</v>
      </c>
      <c r="L937" s="12">
        <v>0</v>
      </c>
      <c r="M937" s="12">
        <v>0</v>
      </c>
      <c r="N937" s="12">
        <v>0</v>
      </c>
      <c r="O937" s="12">
        <v>0</v>
      </c>
      <c r="P937" s="12">
        <v>0</v>
      </c>
      <c r="Q937" s="12">
        <v>0</v>
      </c>
      <c r="R937" s="12">
        <v>0</v>
      </c>
      <c r="S937" t="s">
        <v>239</v>
      </c>
    </row>
    <row r="938" spans="1:19" x14ac:dyDescent="0.25">
      <c r="A938" s="13">
        <v>45965.583738425928</v>
      </c>
      <c r="B938" t="s">
        <v>348</v>
      </c>
      <c r="C938" t="s">
        <v>358</v>
      </c>
      <c r="D938" t="s">
        <v>10</v>
      </c>
      <c r="E938" t="s">
        <v>11</v>
      </c>
      <c r="F938" t="s">
        <v>12</v>
      </c>
      <c r="G938">
        <v>10.5</v>
      </c>
      <c r="H938" s="12">
        <v>0</v>
      </c>
      <c r="I938" s="12">
        <v>1</v>
      </c>
      <c r="J938" s="12">
        <v>0</v>
      </c>
      <c r="K938" s="12">
        <v>0</v>
      </c>
      <c r="L938" s="12">
        <v>0</v>
      </c>
      <c r="M938" s="12">
        <v>0</v>
      </c>
      <c r="N938" s="12">
        <v>0</v>
      </c>
      <c r="O938" s="12">
        <v>0</v>
      </c>
      <c r="P938" s="12">
        <v>0</v>
      </c>
      <c r="Q938" s="12">
        <v>0</v>
      </c>
      <c r="R938" s="12">
        <v>0</v>
      </c>
      <c r="S938" t="s">
        <v>240</v>
      </c>
    </row>
    <row r="939" spans="1:19" x14ac:dyDescent="0.25">
      <c r="A939" s="13">
        <v>45965.59547453704</v>
      </c>
      <c r="B939" t="s">
        <v>348</v>
      </c>
      <c r="C939" t="s">
        <v>358</v>
      </c>
      <c r="D939" t="s">
        <v>10</v>
      </c>
      <c r="E939" t="s">
        <v>11</v>
      </c>
      <c r="F939" t="s">
        <v>12</v>
      </c>
      <c r="G939">
        <v>10.5</v>
      </c>
      <c r="H939" s="12">
        <v>1</v>
      </c>
      <c r="I939" s="12">
        <v>0</v>
      </c>
      <c r="J939" s="12">
        <v>1</v>
      </c>
      <c r="K939" s="12">
        <v>0</v>
      </c>
      <c r="L939" s="12">
        <v>1</v>
      </c>
      <c r="M939" s="12">
        <v>0</v>
      </c>
      <c r="N939" s="12">
        <v>0</v>
      </c>
      <c r="O939" s="12">
        <v>0</v>
      </c>
      <c r="P939" s="12">
        <v>0</v>
      </c>
      <c r="Q939" s="12">
        <v>0</v>
      </c>
      <c r="R939" s="12">
        <v>0</v>
      </c>
    </row>
    <row r="940" spans="1:19" x14ac:dyDescent="0.25">
      <c r="A940" s="13">
        <v>45965.626087962963</v>
      </c>
      <c r="B940" t="s">
        <v>349</v>
      </c>
      <c r="C940" t="s">
        <v>358</v>
      </c>
      <c r="D940" t="s">
        <v>10</v>
      </c>
      <c r="E940" t="s">
        <v>11</v>
      </c>
      <c r="F940" t="s">
        <v>15</v>
      </c>
      <c r="G940">
        <v>3</v>
      </c>
      <c r="H940" s="12">
        <v>0</v>
      </c>
      <c r="I940" s="12">
        <v>0</v>
      </c>
      <c r="J940" s="12">
        <v>0</v>
      </c>
      <c r="K940" s="12">
        <v>0</v>
      </c>
      <c r="L940" s="12">
        <v>0</v>
      </c>
      <c r="M940" s="12">
        <v>0</v>
      </c>
      <c r="N940" s="12">
        <v>1</v>
      </c>
      <c r="O940" s="12">
        <v>0</v>
      </c>
      <c r="P940" s="12">
        <v>0</v>
      </c>
      <c r="Q940" s="12">
        <v>0</v>
      </c>
      <c r="R940" s="12">
        <v>0</v>
      </c>
    </row>
    <row r="941" spans="1:19" x14ac:dyDescent="0.25">
      <c r="A941" s="13">
        <v>45965.749537037038</v>
      </c>
      <c r="B941" t="s">
        <v>355</v>
      </c>
      <c r="C941" t="s">
        <v>358</v>
      </c>
      <c r="D941" t="s">
        <v>10</v>
      </c>
      <c r="E941" t="s">
        <v>11</v>
      </c>
      <c r="F941" t="s">
        <v>15</v>
      </c>
      <c r="G941">
        <v>3</v>
      </c>
      <c r="H941" s="12">
        <v>0</v>
      </c>
      <c r="I941" s="12">
        <v>0</v>
      </c>
      <c r="J941" s="12">
        <v>0</v>
      </c>
      <c r="K941" s="12">
        <v>0</v>
      </c>
      <c r="L941" s="12">
        <v>1</v>
      </c>
      <c r="M941" s="12">
        <v>0</v>
      </c>
      <c r="N941" s="12">
        <v>0</v>
      </c>
      <c r="O941" s="12">
        <v>0</v>
      </c>
      <c r="P941" s="12">
        <v>0</v>
      </c>
      <c r="Q941" s="12">
        <v>0</v>
      </c>
      <c r="R941" s="12">
        <v>0</v>
      </c>
    </row>
    <row r="942" spans="1:19" x14ac:dyDescent="0.25">
      <c r="A942" s="13">
        <v>45965.749594907407</v>
      </c>
      <c r="B942" t="s">
        <v>355</v>
      </c>
      <c r="C942" t="s">
        <v>358</v>
      </c>
      <c r="D942" t="s">
        <v>10</v>
      </c>
      <c r="E942" t="s">
        <v>11</v>
      </c>
      <c r="F942" t="s">
        <v>15</v>
      </c>
      <c r="G942">
        <v>3</v>
      </c>
      <c r="H942" s="12">
        <v>0</v>
      </c>
      <c r="I942" s="12">
        <v>0</v>
      </c>
      <c r="J942" s="12">
        <v>0</v>
      </c>
      <c r="K942" s="12">
        <v>0</v>
      </c>
      <c r="L942" s="12">
        <v>1</v>
      </c>
      <c r="M942" s="12">
        <v>0</v>
      </c>
      <c r="N942" s="12">
        <v>0</v>
      </c>
      <c r="O942" s="12">
        <v>0</v>
      </c>
      <c r="P942" s="12">
        <v>0</v>
      </c>
      <c r="Q942" s="12">
        <v>0</v>
      </c>
      <c r="R942" s="12">
        <v>0</v>
      </c>
    </row>
    <row r="943" spans="1:19" x14ac:dyDescent="0.25">
      <c r="A943" s="13">
        <v>45965.749699074076</v>
      </c>
      <c r="B943" t="s">
        <v>355</v>
      </c>
      <c r="C943" t="s">
        <v>358</v>
      </c>
      <c r="D943" t="s">
        <v>10</v>
      </c>
      <c r="E943" t="s">
        <v>11</v>
      </c>
      <c r="F943" t="s">
        <v>15</v>
      </c>
      <c r="G943">
        <v>3</v>
      </c>
      <c r="H943" s="12">
        <v>1</v>
      </c>
      <c r="I943" s="12">
        <v>0</v>
      </c>
      <c r="J943" s="12">
        <v>1</v>
      </c>
      <c r="K943" s="12">
        <v>0</v>
      </c>
      <c r="L943" s="12">
        <v>0</v>
      </c>
      <c r="M943" s="12">
        <v>0</v>
      </c>
      <c r="N943" s="12">
        <v>0</v>
      </c>
      <c r="O943" s="12">
        <v>0</v>
      </c>
      <c r="P943" s="12">
        <v>0</v>
      </c>
      <c r="Q943" s="12">
        <v>0</v>
      </c>
      <c r="R943" s="12">
        <v>0</v>
      </c>
    </row>
    <row r="944" spans="1:19" x14ac:dyDescent="0.25">
      <c r="A944" s="13">
        <v>45965.749803240738</v>
      </c>
      <c r="B944" t="s">
        <v>355</v>
      </c>
      <c r="C944" t="s">
        <v>358</v>
      </c>
      <c r="D944" t="s">
        <v>10</v>
      </c>
      <c r="E944" t="s">
        <v>11</v>
      </c>
      <c r="F944" t="s">
        <v>14</v>
      </c>
      <c r="G944">
        <v>0.5</v>
      </c>
      <c r="H944" s="12">
        <v>0</v>
      </c>
      <c r="I944" s="12">
        <v>0</v>
      </c>
      <c r="J944" s="12">
        <v>0</v>
      </c>
      <c r="K944" s="12">
        <v>0</v>
      </c>
      <c r="L944" s="12">
        <v>0</v>
      </c>
      <c r="M944" s="12">
        <v>0</v>
      </c>
      <c r="N944" s="12">
        <v>0</v>
      </c>
      <c r="O944" s="12">
        <v>0</v>
      </c>
      <c r="P944" s="12">
        <v>0</v>
      </c>
      <c r="Q944" s="12">
        <v>1</v>
      </c>
      <c r="R944" s="12">
        <v>0</v>
      </c>
    </row>
    <row r="945" spans="1:19" x14ac:dyDescent="0.25">
      <c r="A945" s="13">
        <v>45966.431828703702</v>
      </c>
      <c r="B945" t="s">
        <v>347</v>
      </c>
      <c r="C945" t="s">
        <v>359</v>
      </c>
      <c r="D945" t="s">
        <v>20</v>
      </c>
      <c r="E945" t="s">
        <v>11</v>
      </c>
      <c r="F945" t="s">
        <v>15</v>
      </c>
      <c r="G945">
        <v>3</v>
      </c>
      <c r="H945" s="12">
        <v>1</v>
      </c>
      <c r="I945" s="12">
        <v>0</v>
      </c>
      <c r="J945" s="12">
        <v>1</v>
      </c>
      <c r="K945" s="12">
        <v>0</v>
      </c>
      <c r="L945" s="12">
        <v>0</v>
      </c>
      <c r="M945" s="12">
        <v>0</v>
      </c>
      <c r="N945" s="12">
        <v>0</v>
      </c>
      <c r="O945" s="12">
        <v>0</v>
      </c>
      <c r="P945" s="12">
        <v>0</v>
      </c>
      <c r="Q945" s="12">
        <v>0</v>
      </c>
      <c r="R945" s="12">
        <v>0</v>
      </c>
    </row>
    <row r="946" spans="1:19" x14ac:dyDescent="0.25">
      <c r="A946" s="13">
        <v>45966.434930555559</v>
      </c>
      <c r="B946" t="s">
        <v>347</v>
      </c>
      <c r="C946" t="s">
        <v>359</v>
      </c>
      <c r="D946" t="s">
        <v>20</v>
      </c>
      <c r="E946" t="s">
        <v>11</v>
      </c>
      <c r="F946" t="s">
        <v>15</v>
      </c>
      <c r="G946">
        <v>3</v>
      </c>
      <c r="H946" s="12">
        <v>0</v>
      </c>
      <c r="I946" s="12">
        <v>0</v>
      </c>
      <c r="J946" s="12">
        <v>0</v>
      </c>
      <c r="K946" s="12">
        <v>0</v>
      </c>
      <c r="L946" s="12">
        <v>0</v>
      </c>
      <c r="M946" s="12">
        <v>0</v>
      </c>
      <c r="N946" s="12">
        <v>0</v>
      </c>
      <c r="O946" s="12">
        <v>0</v>
      </c>
      <c r="P946" s="12">
        <v>1</v>
      </c>
      <c r="Q946" s="12">
        <v>0</v>
      </c>
      <c r="R946" s="12">
        <v>0</v>
      </c>
    </row>
    <row r="947" spans="1:19" x14ac:dyDescent="0.25">
      <c r="A947" s="13">
        <v>45966.460949074077</v>
      </c>
      <c r="B947" t="s">
        <v>354</v>
      </c>
      <c r="C947" t="s">
        <v>359</v>
      </c>
      <c r="D947" t="s">
        <v>20</v>
      </c>
      <c r="E947" t="s">
        <v>11</v>
      </c>
      <c r="F947" t="s">
        <v>12</v>
      </c>
      <c r="G947">
        <v>10.5</v>
      </c>
      <c r="H947" s="12">
        <v>1</v>
      </c>
      <c r="I947" s="12">
        <v>0</v>
      </c>
      <c r="J947" s="12">
        <v>1</v>
      </c>
      <c r="K947" s="12">
        <v>0</v>
      </c>
      <c r="L947" s="12">
        <v>0</v>
      </c>
      <c r="M947" s="12">
        <v>0</v>
      </c>
      <c r="N947" s="12">
        <v>0</v>
      </c>
      <c r="O947" s="12">
        <v>0</v>
      </c>
      <c r="P947" s="12">
        <v>0</v>
      </c>
      <c r="Q947" s="12">
        <v>0</v>
      </c>
      <c r="R947" s="12">
        <v>1</v>
      </c>
      <c r="S947" t="s">
        <v>241</v>
      </c>
    </row>
    <row r="948" spans="1:19" x14ac:dyDescent="0.25">
      <c r="A948" s="13">
        <v>45966.496932870374</v>
      </c>
      <c r="B948" t="s">
        <v>354</v>
      </c>
      <c r="C948" t="s">
        <v>359</v>
      </c>
      <c r="D948" t="s">
        <v>20</v>
      </c>
      <c r="E948" t="s">
        <v>11</v>
      </c>
      <c r="F948" t="s">
        <v>15</v>
      </c>
      <c r="G948">
        <v>3</v>
      </c>
      <c r="H948" s="12">
        <v>0</v>
      </c>
      <c r="I948" s="12">
        <v>0</v>
      </c>
      <c r="J948" s="12">
        <v>0</v>
      </c>
      <c r="K948" s="12">
        <v>1</v>
      </c>
      <c r="L948" s="12">
        <v>0</v>
      </c>
      <c r="M948" s="12">
        <v>0</v>
      </c>
      <c r="N948" s="12">
        <v>0</v>
      </c>
      <c r="O948" s="12">
        <v>0</v>
      </c>
      <c r="P948" s="12">
        <v>0</v>
      </c>
      <c r="Q948" s="12">
        <v>0</v>
      </c>
      <c r="R948" s="12">
        <v>0</v>
      </c>
      <c r="S948" t="s">
        <v>242</v>
      </c>
    </row>
    <row r="949" spans="1:19" x14ac:dyDescent="0.25">
      <c r="A949" s="13">
        <v>45966.538391203707</v>
      </c>
      <c r="B949" t="s">
        <v>350</v>
      </c>
      <c r="C949" t="s">
        <v>359</v>
      </c>
      <c r="D949" t="s">
        <v>10</v>
      </c>
      <c r="E949" t="s">
        <v>11</v>
      </c>
      <c r="F949" t="s">
        <v>15</v>
      </c>
      <c r="G949">
        <v>3</v>
      </c>
      <c r="H949" s="12">
        <v>0</v>
      </c>
      <c r="I949" s="12">
        <v>0</v>
      </c>
      <c r="J949" s="12">
        <v>0</v>
      </c>
      <c r="K949" s="12">
        <v>0</v>
      </c>
      <c r="L949" s="12">
        <v>0</v>
      </c>
      <c r="M949" s="12">
        <v>0</v>
      </c>
      <c r="N949" s="12">
        <v>1</v>
      </c>
      <c r="O949" s="12">
        <v>0</v>
      </c>
      <c r="P949" s="12">
        <v>0</v>
      </c>
      <c r="Q949" s="12">
        <v>0</v>
      </c>
      <c r="R949" s="12">
        <v>0</v>
      </c>
    </row>
    <row r="950" spans="1:19" x14ac:dyDescent="0.25">
      <c r="A950" s="13">
        <v>45966.538854166669</v>
      </c>
      <c r="B950" t="s">
        <v>350</v>
      </c>
      <c r="C950" t="s">
        <v>359</v>
      </c>
      <c r="D950" t="s">
        <v>10</v>
      </c>
      <c r="E950" t="s">
        <v>11</v>
      </c>
      <c r="F950" t="s">
        <v>15</v>
      </c>
      <c r="G950">
        <v>3</v>
      </c>
      <c r="H950" s="12">
        <v>0</v>
      </c>
      <c r="I950" s="12">
        <v>0</v>
      </c>
      <c r="J950" s="12">
        <v>0</v>
      </c>
      <c r="K950" s="12">
        <v>0</v>
      </c>
      <c r="L950" s="12">
        <v>0</v>
      </c>
      <c r="M950" s="12">
        <v>0</v>
      </c>
      <c r="N950" s="12">
        <v>0</v>
      </c>
      <c r="O950" s="12">
        <v>1</v>
      </c>
      <c r="P950" s="12">
        <v>0</v>
      </c>
      <c r="Q950" s="12">
        <v>0</v>
      </c>
      <c r="R950" s="12">
        <v>0</v>
      </c>
      <c r="S950" t="s">
        <v>243</v>
      </c>
    </row>
    <row r="951" spans="1:19" x14ac:dyDescent="0.25">
      <c r="A951" s="13">
        <v>45966.539166666669</v>
      </c>
      <c r="B951" t="s">
        <v>350</v>
      </c>
      <c r="C951" t="s">
        <v>359</v>
      </c>
      <c r="D951" t="s">
        <v>10</v>
      </c>
      <c r="E951" t="s">
        <v>11</v>
      </c>
      <c r="F951" t="s">
        <v>15</v>
      </c>
      <c r="G951">
        <v>3</v>
      </c>
      <c r="H951" s="12">
        <v>1</v>
      </c>
      <c r="I951" s="12">
        <v>0</v>
      </c>
      <c r="J951" s="12">
        <v>0</v>
      </c>
      <c r="K951" s="12">
        <v>0</v>
      </c>
      <c r="L951" s="12">
        <v>0</v>
      </c>
      <c r="M951" s="12">
        <v>0</v>
      </c>
      <c r="N951" s="12">
        <v>0</v>
      </c>
      <c r="O951" s="12">
        <v>0</v>
      </c>
      <c r="P951" s="12">
        <v>0</v>
      </c>
      <c r="Q951" s="12">
        <v>0</v>
      </c>
      <c r="R951" s="12">
        <v>0</v>
      </c>
      <c r="S951" t="s">
        <v>244</v>
      </c>
    </row>
    <row r="952" spans="1:19" x14ac:dyDescent="0.25">
      <c r="A952" s="13">
        <v>45966.617546296293</v>
      </c>
      <c r="B952" t="s">
        <v>348</v>
      </c>
      <c r="C952" t="s">
        <v>359</v>
      </c>
      <c r="D952" t="s">
        <v>10</v>
      </c>
      <c r="E952" t="s">
        <v>11</v>
      </c>
      <c r="F952" t="s">
        <v>12</v>
      </c>
      <c r="G952">
        <v>10.5</v>
      </c>
      <c r="H952" s="12">
        <v>0</v>
      </c>
      <c r="I952" s="12">
        <v>0</v>
      </c>
      <c r="J952" s="12">
        <v>0</v>
      </c>
      <c r="K952" s="12">
        <v>0</v>
      </c>
      <c r="L952" s="12">
        <v>1</v>
      </c>
      <c r="M952" s="12">
        <v>0</v>
      </c>
      <c r="N952" s="12">
        <v>0</v>
      </c>
      <c r="O952" s="12">
        <v>0</v>
      </c>
      <c r="P952" s="12">
        <v>1</v>
      </c>
      <c r="Q952" s="12">
        <v>0</v>
      </c>
      <c r="R952" s="12">
        <v>0</v>
      </c>
    </row>
    <row r="953" spans="1:19" x14ac:dyDescent="0.25">
      <c r="A953" s="13">
        <v>45966.617673611108</v>
      </c>
      <c r="B953" t="s">
        <v>348</v>
      </c>
      <c r="C953" t="s">
        <v>359</v>
      </c>
      <c r="D953" t="s">
        <v>10</v>
      </c>
      <c r="E953" t="s">
        <v>11</v>
      </c>
      <c r="F953" t="s">
        <v>12</v>
      </c>
      <c r="G953">
        <v>10.5</v>
      </c>
      <c r="H953" s="12">
        <v>0</v>
      </c>
      <c r="I953" s="12">
        <v>1</v>
      </c>
      <c r="J953" s="12">
        <v>1</v>
      </c>
      <c r="K953" s="12">
        <v>0</v>
      </c>
      <c r="L953" s="12">
        <v>0</v>
      </c>
      <c r="M953" s="12">
        <v>0</v>
      </c>
      <c r="N953" s="12">
        <v>0</v>
      </c>
      <c r="O953" s="12">
        <v>0</v>
      </c>
      <c r="P953" s="12">
        <v>0</v>
      </c>
      <c r="Q953" s="12">
        <v>0</v>
      </c>
      <c r="R953" s="12">
        <v>0</v>
      </c>
    </row>
    <row r="954" spans="1:19" x14ac:dyDescent="0.25">
      <c r="A954" s="13">
        <v>45966.617708333331</v>
      </c>
      <c r="B954" t="s">
        <v>348</v>
      </c>
      <c r="C954" t="s">
        <v>359</v>
      </c>
      <c r="D954" t="s">
        <v>10</v>
      </c>
      <c r="E954" t="s">
        <v>11</v>
      </c>
      <c r="F954" t="s">
        <v>14</v>
      </c>
      <c r="G954">
        <v>0.5</v>
      </c>
      <c r="H954" s="12">
        <v>0</v>
      </c>
      <c r="I954" s="12">
        <v>0</v>
      </c>
      <c r="J954" s="12">
        <v>0</v>
      </c>
      <c r="K954" s="12">
        <v>0</v>
      </c>
      <c r="L954" s="12">
        <v>0</v>
      </c>
      <c r="M954" s="12">
        <v>0</v>
      </c>
      <c r="N954" s="12">
        <v>0</v>
      </c>
      <c r="O954" s="12">
        <v>0</v>
      </c>
      <c r="P954" s="12">
        <v>0</v>
      </c>
      <c r="Q954" s="12">
        <v>1</v>
      </c>
      <c r="R954" s="12">
        <v>0</v>
      </c>
    </row>
    <row r="955" spans="1:19" x14ac:dyDescent="0.25">
      <c r="A955" s="13">
        <v>45966.626493055555</v>
      </c>
      <c r="B955" t="s">
        <v>349</v>
      </c>
      <c r="C955" t="s">
        <v>359</v>
      </c>
      <c r="D955" t="s">
        <v>10</v>
      </c>
      <c r="E955" t="s">
        <v>11</v>
      </c>
      <c r="F955" t="s">
        <v>15</v>
      </c>
      <c r="G955">
        <v>3</v>
      </c>
      <c r="H955" s="12">
        <v>0</v>
      </c>
      <c r="I955" s="12">
        <v>1</v>
      </c>
      <c r="J955" s="12">
        <v>1</v>
      </c>
      <c r="K955" s="12">
        <v>0</v>
      </c>
      <c r="L955" s="12">
        <v>0</v>
      </c>
      <c r="M955" s="12">
        <v>0</v>
      </c>
      <c r="N955" s="12">
        <v>0</v>
      </c>
      <c r="O955" s="12">
        <v>0</v>
      </c>
      <c r="P955" s="12">
        <v>0</v>
      </c>
      <c r="Q955" s="12">
        <v>0</v>
      </c>
      <c r="R955" s="12">
        <v>0</v>
      </c>
    </row>
    <row r="956" spans="1:19" x14ac:dyDescent="0.25">
      <c r="A956" s="13">
        <v>45966.704525462963</v>
      </c>
      <c r="B956" t="s">
        <v>353</v>
      </c>
      <c r="C956" t="s">
        <v>359</v>
      </c>
      <c r="D956" t="s">
        <v>10</v>
      </c>
      <c r="E956" t="s">
        <v>11</v>
      </c>
      <c r="F956" t="s">
        <v>15</v>
      </c>
      <c r="G956">
        <v>3</v>
      </c>
      <c r="H956" s="12">
        <v>0</v>
      </c>
      <c r="I956" s="12">
        <v>0</v>
      </c>
      <c r="J956" s="12">
        <v>0</v>
      </c>
      <c r="K956" s="12">
        <v>0</v>
      </c>
      <c r="L956" s="12">
        <v>0</v>
      </c>
      <c r="M956" s="12">
        <v>0</v>
      </c>
      <c r="N956" s="12">
        <v>0</v>
      </c>
      <c r="O956" s="12">
        <v>0</v>
      </c>
      <c r="P956" s="12">
        <v>1</v>
      </c>
      <c r="Q956" s="12">
        <v>0</v>
      </c>
      <c r="R956" s="12">
        <v>0</v>
      </c>
      <c r="S956" t="s">
        <v>245</v>
      </c>
    </row>
    <row r="957" spans="1:19" x14ac:dyDescent="0.25">
      <c r="A957" s="13">
        <v>45966.704826388886</v>
      </c>
      <c r="B957" t="s">
        <v>353</v>
      </c>
      <c r="C957" t="s">
        <v>359</v>
      </c>
      <c r="D957" t="s">
        <v>10</v>
      </c>
      <c r="E957" t="s">
        <v>11</v>
      </c>
      <c r="F957" t="s">
        <v>14</v>
      </c>
      <c r="G957">
        <v>0.5</v>
      </c>
      <c r="H957" s="12">
        <v>0</v>
      </c>
      <c r="I957" s="12">
        <v>0</v>
      </c>
      <c r="J957" s="12">
        <v>0</v>
      </c>
      <c r="K957" s="12">
        <v>0</v>
      </c>
      <c r="L957" s="12">
        <v>0</v>
      </c>
      <c r="M957" s="12">
        <v>0</v>
      </c>
      <c r="N957" s="12">
        <v>0</v>
      </c>
      <c r="O957" s="12">
        <v>1</v>
      </c>
      <c r="P957" s="12">
        <v>0</v>
      </c>
      <c r="Q957" s="12">
        <v>0</v>
      </c>
      <c r="R957" s="12">
        <v>0</v>
      </c>
      <c r="S957" t="s">
        <v>246</v>
      </c>
    </row>
    <row r="958" spans="1:19" x14ac:dyDescent="0.25">
      <c r="A958" s="13">
        <v>45966.735844907409</v>
      </c>
      <c r="B958" t="s">
        <v>355</v>
      </c>
      <c r="C958" t="s">
        <v>359</v>
      </c>
      <c r="D958" t="s">
        <v>10</v>
      </c>
      <c r="E958" t="s">
        <v>11</v>
      </c>
      <c r="F958" t="s">
        <v>15</v>
      </c>
      <c r="G958">
        <v>3</v>
      </c>
      <c r="H958" s="12">
        <v>0</v>
      </c>
      <c r="I958" s="12">
        <v>0</v>
      </c>
      <c r="J958" s="12">
        <v>0</v>
      </c>
      <c r="K958" s="12">
        <v>0</v>
      </c>
      <c r="L958" s="12">
        <v>1</v>
      </c>
      <c r="M958" s="12">
        <v>0</v>
      </c>
      <c r="N958" s="12">
        <v>0</v>
      </c>
      <c r="O958" s="12">
        <v>0</v>
      </c>
      <c r="P958" s="12">
        <v>0</v>
      </c>
      <c r="Q958" s="12">
        <v>0</v>
      </c>
      <c r="R958" s="12">
        <v>0</v>
      </c>
      <c r="S958" t="s">
        <v>247</v>
      </c>
    </row>
    <row r="959" spans="1:19" x14ac:dyDescent="0.25">
      <c r="A959" s="13">
        <v>45967.414548611108</v>
      </c>
      <c r="B959" t="s">
        <v>352</v>
      </c>
      <c r="C959" t="s">
        <v>360</v>
      </c>
      <c r="D959" t="s">
        <v>20</v>
      </c>
      <c r="E959" t="s">
        <v>11</v>
      </c>
      <c r="F959" t="s">
        <v>15</v>
      </c>
      <c r="G959">
        <v>3</v>
      </c>
      <c r="H959" s="12">
        <v>0</v>
      </c>
      <c r="I959" s="12">
        <v>0</v>
      </c>
      <c r="J959" s="12">
        <v>0</v>
      </c>
      <c r="K959" s="12">
        <v>0</v>
      </c>
      <c r="L959" s="12">
        <v>0</v>
      </c>
      <c r="M959" s="12">
        <v>0</v>
      </c>
      <c r="N959" s="12">
        <v>0</v>
      </c>
      <c r="O959" s="12">
        <v>0</v>
      </c>
      <c r="P959" s="12">
        <v>0</v>
      </c>
      <c r="Q959" s="12">
        <v>0</v>
      </c>
      <c r="R959" s="12">
        <v>1</v>
      </c>
      <c r="S959" t="s">
        <v>248</v>
      </c>
    </row>
    <row r="960" spans="1:19" x14ac:dyDescent="0.25">
      <c r="A960" s="13">
        <v>45967.457824074074</v>
      </c>
      <c r="B960" t="s">
        <v>347</v>
      </c>
      <c r="C960" t="s">
        <v>360</v>
      </c>
      <c r="D960" t="s">
        <v>10</v>
      </c>
      <c r="E960" t="s">
        <v>11</v>
      </c>
      <c r="F960" t="s">
        <v>15</v>
      </c>
      <c r="G960">
        <v>3</v>
      </c>
      <c r="H960" s="12">
        <v>0</v>
      </c>
      <c r="I960" s="12">
        <v>0</v>
      </c>
      <c r="J960" s="12">
        <v>0</v>
      </c>
      <c r="K960" s="12">
        <v>0</v>
      </c>
      <c r="L960" s="12">
        <v>0</v>
      </c>
      <c r="M960" s="12">
        <v>0</v>
      </c>
      <c r="N960" s="12">
        <v>0</v>
      </c>
      <c r="O960" s="12">
        <v>0</v>
      </c>
      <c r="P960" s="12">
        <v>1</v>
      </c>
      <c r="Q960" s="12">
        <v>0</v>
      </c>
      <c r="R960" s="12">
        <v>0</v>
      </c>
    </row>
    <row r="961" spans="1:19" x14ac:dyDescent="0.25">
      <c r="A961" s="13">
        <v>45967.457939814813</v>
      </c>
      <c r="B961" t="s">
        <v>347</v>
      </c>
      <c r="C961" t="s">
        <v>360</v>
      </c>
      <c r="D961" t="s">
        <v>10</v>
      </c>
      <c r="E961" t="s">
        <v>11</v>
      </c>
      <c r="F961" t="s">
        <v>15</v>
      </c>
      <c r="G961">
        <v>3</v>
      </c>
      <c r="H961" s="12">
        <v>0</v>
      </c>
      <c r="I961" s="12">
        <v>0</v>
      </c>
      <c r="J961" s="12">
        <v>0</v>
      </c>
      <c r="K961" s="12">
        <v>0</v>
      </c>
      <c r="L961" s="12">
        <v>0</v>
      </c>
      <c r="M961" s="12">
        <v>0</v>
      </c>
      <c r="N961" s="12">
        <v>0</v>
      </c>
      <c r="O961" s="12">
        <v>0</v>
      </c>
      <c r="P961" s="12">
        <v>1</v>
      </c>
      <c r="Q961" s="12">
        <v>0</v>
      </c>
      <c r="R961" s="12">
        <v>0</v>
      </c>
    </row>
    <row r="962" spans="1:19" x14ac:dyDescent="0.25">
      <c r="A962" s="13">
        <v>45967.478067129632</v>
      </c>
      <c r="B962" t="s">
        <v>354</v>
      </c>
      <c r="C962" t="s">
        <v>360</v>
      </c>
      <c r="D962" t="s">
        <v>10</v>
      </c>
      <c r="E962" t="s">
        <v>11</v>
      </c>
      <c r="F962" t="s">
        <v>14</v>
      </c>
      <c r="G962">
        <v>0.5</v>
      </c>
      <c r="H962" s="12">
        <v>0</v>
      </c>
      <c r="I962" s="12">
        <v>0</v>
      </c>
      <c r="J962" s="12">
        <v>0</v>
      </c>
      <c r="K962" s="12">
        <v>0</v>
      </c>
      <c r="L962" s="12">
        <v>0</v>
      </c>
      <c r="M962" s="12">
        <v>0</v>
      </c>
      <c r="N962" s="12">
        <v>0</v>
      </c>
      <c r="O962" s="12">
        <v>0</v>
      </c>
      <c r="P962" s="12">
        <v>0</v>
      </c>
      <c r="Q962" s="12">
        <v>1</v>
      </c>
      <c r="R962" s="12">
        <v>0</v>
      </c>
    </row>
    <row r="963" spans="1:19" x14ac:dyDescent="0.25">
      <c r="A963" s="13">
        <v>45967.47865740741</v>
      </c>
      <c r="B963" t="s">
        <v>354</v>
      </c>
      <c r="C963" t="s">
        <v>360</v>
      </c>
      <c r="D963" t="s">
        <v>20</v>
      </c>
      <c r="E963" t="s">
        <v>17</v>
      </c>
      <c r="F963" t="s">
        <v>15</v>
      </c>
      <c r="G963">
        <v>3</v>
      </c>
      <c r="H963" s="12">
        <v>0</v>
      </c>
      <c r="I963" s="12">
        <v>0</v>
      </c>
      <c r="J963" s="12">
        <v>0</v>
      </c>
      <c r="K963" s="12">
        <v>0</v>
      </c>
      <c r="L963" s="12">
        <v>0</v>
      </c>
      <c r="M963" s="12">
        <v>0</v>
      </c>
      <c r="N963" s="12">
        <v>0</v>
      </c>
      <c r="O963" s="12">
        <v>0</v>
      </c>
      <c r="P963" s="12">
        <v>0</v>
      </c>
      <c r="Q963" s="12">
        <v>0</v>
      </c>
      <c r="R963" s="12">
        <v>1</v>
      </c>
      <c r="S963" t="s">
        <v>249</v>
      </c>
    </row>
    <row r="964" spans="1:19" x14ac:dyDescent="0.25">
      <c r="A964" s="13">
        <v>45967.502395833333</v>
      </c>
      <c r="B964" t="s">
        <v>350</v>
      </c>
      <c r="C964" t="s">
        <v>360</v>
      </c>
      <c r="D964" t="s">
        <v>10</v>
      </c>
      <c r="E964" t="s">
        <v>17</v>
      </c>
      <c r="F964" t="s">
        <v>12</v>
      </c>
      <c r="G964">
        <v>10.5</v>
      </c>
      <c r="H964" s="12">
        <v>0</v>
      </c>
      <c r="I964" s="12">
        <v>0</v>
      </c>
      <c r="J964" s="12">
        <v>1</v>
      </c>
      <c r="K964" s="12">
        <v>0</v>
      </c>
      <c r="L964" s="12">
        <v>1</v>
      </c>
      <c r="M964" s="12">
        <v>0</v>
      </c>
      <c r="N964" s="12">
        <v>0</v>
      </c>
      <c r="O964" s="12">
        <v>0</v>
      </c>
      <c r="P964" s="12">
        <v>0</v>
      </c>
      <c r="Q964" s="12">
        <v>0</v>
      </c>
      <c r="R964" s="12">
        <v>0</v>
      </c>
    </row>
    <row r="965" spans="1:19" x14ac:dyDescent="0.25">
      <c r="A965" s="13">
        <v>45967.579814814817</v>
      </c>
      <c r="B965" t="s">
        <v>351</v>
      </c>
      <c r="C965" t="s">
        <v>360</v>
      </c>
      <c r="D965" t="s">
        <v>10</v>
      </c>
      <c r="E965" t="s">
        <v>11</v>
      </c>
      <c r="F965" t="s">
        <v>15</v>
      </c>
      <c r="G965">
        <v>3</v>
      </c>
      <c r="H965" s="12">
        <v>0</v>
      </c>
      <c r="I965" s="12">
        <v>0</v>
      </c>
      <c r="J965" s="12">
        <v>0</v>
      </c>
      <c r="K965" s="12">
        <v>0</v>
      </c>
      <c r="L965" s="12">
        <v>0</v>
      </c>
      <c r="M965" s="12">
        <v>0</v>
      </c>
      <c r="N965" s="12">
        <v>1</v>
      </c>
      <c r="O965" s="12">
        <v>0</v>
      </c>
      <c r="P965" s="12">
        <v>0</v>
      </c>
      <c r="Q965" s="12">
        <v>0</v>
      </c>
      <c r="R965" s="12">
        <v>0</v>
      </c>
    </row>
    <row r="966" spans="1:19" x14ac:dyDescent="0.25">
      <c r="A966" s="13">
        <v>45967.587013888886</v>
      </c>
      <c r="B966" t="s">
        <v>348</v>
      </c>
      <c r="C966" t="s">
        <v>360</v>
      </c>
      <c r="D966" t="s">
        <v>10</v>
      </c>
      <c r="E966" t="s">
        <v>11</v>
      </c>
      <c r="F966" t="s">
        <v>15</v>
      </c>
      <c r="G966">
        <v>3</v>
      </c>
      <c r="H966" s="12">
        <v>1</v>
      </c>
      <c r="I966" s="12">
        <v>0</v>
      </c>
      <c r="J966" s="12">
        <v>1</v>
      </c>
      <c r="K966" s="12">
        <v>0</v>
      </c>
      <c r="L966" s="12">
        <v>0</v>
      </c>
      <c r="M966" s="12">
        <v>0</v>
      </c>
      <c r="N966" s="12">
        <v>0</v>
      </c>
      <c r="O966" s="12">
        <v>0</v>
      </c>
      <c r="P966" s="12">
        <v>0</v>
      </c>
      <c r="Q966" s="12">
        <v>0</v>
      </c>
      <c r="R966" s="12">
        <v>0</v>
      </c>
    </row>
    <row r="967" spans="1:19" x14ac:dyDescent="0.25">
      <c r="A967" s="13">
        <v>45967.593715277777</v>
      </c>
      <c r="B967" t="s">
        <v>348</v>
      </c>
      <c r="C967" t="s">
        <v>360</v>
      </c>
      <c r="D967" t="s">
        <v>10</v>
      </c>
      <c r="E967" t="s">
        <v>11</v>
      </c>
      <c r="F967" t="s">
        <v>15</v>
      </c>
      <c r="G967">
        <v>3</v>
      </c>
      <c r="H967" s="12">
        <v>0</v>
      </c>
      <c r="I967" s="12">
        <v>0</v>
      </c>
      <c r="J967" s="12">
        <v>0</v>
      </c>
      <c r="K967" s="12">
        <v>0</v>
      </c>
      <c r="L967" s="12">
        <v>0</v>
      </c>
      <c r="M967" s="12">
        <v>0</v>
      </c>
      <c r="N967" s="12">
        <v>0</v>
      </c>
      <c r="O967" s="12">
        <v>1</v>
      </c>
      <c r="P967" s="12">
        <v>0</v>
      </c>
      <c r="Q967" s="12">
        <v>0</v>
      </c>
      <c r="R967" s="12">
        <v>0</v>
      </c>
      <c r="S967" t="s">
        <v>127</v>
      </c>
    </row>
    <row r="968" spans="1:19" x14ac:dyDescent="0.25">
      <c r="A968" s="13">
        <v>45967.741307870368</v>
      </c>
      <c r="B968" t="s">
        <v>355</v>
      </c>
      <c r="C968" t="s">
        <v>360</v>
      </c>
      <c r="D968" t="s">
        <v>10</v>
      </c>
      <c r="E968" t="s">
        <v>11</v>
      </c>
      <c r="F968" t="s">
        <v>14</v>
      </c>
      <c r="G968">
        <v>0.5</v>
      </c>
      <c r="H968" s="12">
        <v>0</v>
      </c>
      <c r="I968" s="12">
        <v>0</v>
      </c>
      <c r="J968" s="12">
        <v>0</v>
      </c>
      <c r="K968" s="12">
        <v>0</v>
      </c>
      <c r="L968" s="12">
        <v>0</v>
      </c>
      <c r="M968" s="12">
        <v>0</v>
      </c>
      <c r="N968" s="12">
        <v>0</v>
      </c>
      <c r="O968" s="12">
        <v>0</v>
      </c>
      <c r="P968" s="12">
        <v>0</v>
      </c>
      <c r="Q968" s="12">
        <v>0</v>
      </c>
      <c r="R968" s="12">
        <v>1</v>
      </c>
    </row>
    <row r="969" spans="1:19" x14ac:dyDescent="0.25">
      <c r="A969" s="13">
        <v>45967.741377314815</v>
      </c>
      <c r="B969" t="s">
        <v>355</v>
      </c>
      <c r="C969" t="s">
        <v>360</v>
      </c>
      <c r="D969" t="s">
        <v>10</v>
      </c>
      <c r="E969" t="s">
        <v>11</v>
      </c>
      <c r="F969" t="s">
        <v>14</v>
      </c>
      <c r="G969">
        <v>0.5</v>
      </c>
      <c r="H969" s="12">
        <v>0</v>
      </c>
      <c r="I969" s="12">
        <v>0</v>
      </c>
      <c r="J969" s="12">
        <v>0</v>
      </c>
      <c r="K969" s="12">
        <v>0</v>
      </c>
      <c r="L969" s="12">
        <v>0</v>
      </c>
      <c r="M969" s="12">
        <v>0</v>
      </c>
      <c r="N969" s="12">
        <v>0</v>
      </c>
      <c r="O969" s="12">
        <v>0</v>
      </c>
      <c r="P969" s="12">
        <v>0</v>
      </c>
      <c r="Q969" s="12">
        <v>1</v>
      </c>
      <c r="R969" s="12">
        <v>0</v>
      </c>
    </row>
    <row r="970" spans="1:19" x14ac:dyDescent="0.25">
      <c r="A970" s="13">
        <v>45967.741469907407</v>
      </c>
      <c r="B970" t="s">
        <v>355</v>
      </c>
      <c r="C970" t="s">
        <v>360</v>
      </c>
      <c r="D970" t="s">
        <v>10</v>
      </c>
      <c r="E970" t="s">
        <v>11</v>
      </c>
      <c r="F970" t="s">
        <v>14</v>
      </c>
      <c r="G970">
        <v>0.5</v>
      </c>
      <c r="H970" s="12">
        <v>0</v>
      </c>
      <c r="I970" s="12">
        <v>0</v>
      </c>
      <c r="J970" s="12">
        <v>0</v>
      </c>
      <c r="K970" s="12">
        <v>0</v>
      </c>
      <c r="L970" s="12">
        <v>0</v>
      </c>
      <c r="M970" s="12">
        <v>0</v>
      </c>
      <c r="N970" s="12">
        <v>0</v>
      </c>
      <c r="O970" s="12">
        <v>0</v>
      </c>
      <c r="P970" s="12">
        <v>0</v>
      </c>
      <c r="Q970" s="12">
        <v>1</v>
      </c>
      <c r="R970" s="12">
        <v>0</v>
      </c>
    </row>
    <row r="971" spans="1:19" x14ac:dyDescent="0.25">
      <c r="A971" s="13">
        <v>45967.741539351853</v>
      </c>
      <c r="B971" t="s">
        <v>355</v>
      </c>
      <c r="C971" t="s">
        <v>360</v>
      </c>
      <c r="D971" t="s">
        <v>10</v>
      </c>
      <c r="E971" t="s">
        <v>11</v>
      </c>
      <c r="F971" t="s">
        <v>14</v>
      </c>
      <c r="G971">
        <v>0.5</v>
      </c>
      <c r="H971" s="12">
        <v>0</v>
      </c>
      <c r="I971" s="12">
        <v>0</v>
      </c>
      <c r="J971" s="12">
        <v>0</v>
      </c>
      <c r="K971" s="12">
        <v>0</v>
      </c>
      <c r="L971" s="12">
        <v>0</v>
      </c>
      <c r="M971" s="12">
        <v>0</v>
      </c>
      <c r="N971" s="12">
        <v>0</v>
      </c>
      <c r="O971" s="12">
        <v>0</v>
      </c>
      <c r="P971" s="12">
        <v>0</v>
      </c>
      <c r="Q971" s="12">
        <v>1</v>
      </c>
      <c r="R971" s="12">
        <v>0</v>
      </c>
    </row>
    <row r="972" spans="1:19" x14ac:dyDescent="0.25">
      <c r="A972" s="13">
        <v>45967.742291666669</v>
      </c>
      <c r="B972" t="s">
        <v>355</v>
      </c>
      <c r="C972" t="s">
        <v>360</v>
      </c>
      <c r="D972" t="s">
        <v>10</v>
      </c>
      <c r="E972" t="s">
        <v>11</v>
      </c>
      <c r="F972" t="s">
        <v>15</v>
      </c>
      <c r="G972">
        <v>3</v>
      </c>
      <c r="H972" s="12">
        <v>0</v>
      </c>
      <c r="I972" s="12">
        <v>0</v>
      </c>
      <c r="J972" s="12">
        <v>0</v>
      </c>
      <c r="K972" s="12">
        <v>0</v>
      </c>
      <c r="L972" s="12">
        <v>0</v>
      </c>
      <c r="M972" s="12">
        <v>0</v>
      </c>
      <c r="N972" s="12">
        <v>1</v>
      </c>
      <c r="O972" s="12">
        <v>0</v>
      </c>
      <c r="P972" s="12">
        <v>0</v>
      </c>
      <c r="Q972" s="12">
        <v>0</v>
      </c>
      <c r="R972" s="12">
        <v>0</v>
      </c>
    </row>
    <row r="973" spans="1:19" x14ac:dyDescent="0.25">
      <c r="A973" s="13">
        <v>45967.742442129631</v>
      </c>
      <c r="B973" t="s">
        <v>355</v>
      </c>
      <c r="C973" t="s">
        <v>360</v>
      </c>
      <c r="D973" t="s">
        <v>20</v>
      </c>
      <c r="E973" t="s">
        <v>11</v>
      </c>
      <c r="F973" t="s">
        <v>15</v>
      </c>
      <c r="G973">
        <v>3</v>
      </c>
      <c r="H973" s="12">
        <v>1</v>
      </c>
      <c r="I973" s="12">
        <v>0</v>
      </c>
      <c r="J973" s="12">
        <v>1</v>
      </c>
      <c r="K973" s="12">
        <v>0</v>
      </c>
      <c r="L973" s="12">
        <v>0</v>
      </c>
      <c r="M973" s="12">
        <v>0</v>
      </c>
      <c r="N973" s="12">
        <v>0</v>
      </c>
      <c r="O973" s="12">
        <v>0</v>
      </c>
      <c r="P973" s="12">
        <v>0</v>
      </c>
      <c r="Q973" s="12">
        <v>0</v>
      </c>
      <c r="R973" s="12">
        <v>0</v>
      </c>
    </row>
    <row r="974" spans="1:19" x14ac:dyDescent="0.25">
      <c r="A974" s="13">
        <v>45968.498680555553</v>
      </c>
      <c r="B974" t="s">
        <v>354</v>
      </c>
      <c r="C974" t="s">
        <v>361</v>
      </c>
      <c r="D974" t="s">
        <v>10</v>
      </c>
      <c r="E974" t="s">
        <v>11</v>
      </c>
      <c r="F974" t="s">
        <v>14</v>
      </c>
      <c r="G974">
        <v>0.5</v>
      </c>
      <c r="H974" s="12">
        <v>0</v>
      </c>
      <c r="I974" s="12">
        <v>0</v>
      </c>
      <c r="J974" s="12">
        <v>0</v>
      </c>
      <c r="K974" s="12">
        <v>0</v>
      </c>
      <c r="L974" s="12">
        <v>0</v>
      </c>
      <c r="M974" s="12">
        <v>0</v>
      </c>
      <c r="N974" s="12">
        <v>0</v>
      </c>
      <c r="O974" s="12">
        <v>0</v>
      </c>
      <c r="P974" s="12">
        <v>0</v>
      </c>
      <c r="Q974" s="12">
        <v>1</v>
      </c>
      <c r="R974" s="12">
        <v>0</v>
      </c>
    </row>
    <row r="975" spans="1:19" x14ac:dyDescent="0.25">
      <c r="A975" s="13">
        <v>45968.498773148145</v>
      </c>
      <c r="B975" t="s">
        <v>354</v>
      </c>
      <c r="C975" t="s">
        <v>361</v>
      </c>
      <c r="D975" t="s">
        <v>10</v>
      </c>
      <c r="E975" t="s">
        <v>11</v>
      </c>
      <c r="F975" t="s">
        <v>14</v>
      </c>
      <c r="G975">
        <v>0.5</v>
      </c>
      <c r="H975" s="12">
        <v>0</v>
      </c>
      <c r="I975" s="12">
        <v>0</v>
      </c>
      <c r="J975" s="12">
        <v>0</v>
      </c>
      <c r="K975" s="12">
        <v>0</v>
      </c>
      <c r="L975" s="12">
        <v>0</v>
      </c>
      <c r="M975" s="12">
        <v>0</v>
      </c>
      <c r="N975" s="12">
        <v>0</v>
      </c>
      <c r="O975" s="12">
        <v>0</v>
      </c>
      <c r="P975" s="12">
        <v>1</v>
      </c>
      <c r="Q975" s="12">
        <v>1</v>
      </c>
      <c r="R975" s="12">
        <v>0</v>
      </c>
    </row>
    <row r="976" spans="1:19" x14ac:dyDescent="0.25">
      <c r="A976" s="13">
        <v>45968.508564814816</v>
      </c>
      <c r="B976" t="s">
        <v>350</v>
      </c>
      <c r="C976" t="s">
        <v>361</v>
      </c>
      <c r="D976" t="s">
        <v>10</v>
      </c>
      <c r="E976" t="s">
        <v>11</v>
      </c>
      <c r="F976" t="s">
        <v>15</v>
      </c>
      <c r="G976">
        <v>3</v>
      </c>
      <c r="H976" s="12">
        <v>0</v>
      </c>
      <c r="I976" s="12">
        <v>0</v>
      </c>
      <c r="J976" s="12">
        <v>0</v>
      </c>
      <c r="K976" s="12">
        <v>0</v>
      </c>
      <c r="L976" s="12">
        <v>0</v>
      </c>
      <c r="M976" s="12">
        <v>0</v>
      </c>
      <c r="N976" s="12">
        <v>0</v>
      </c>
      <c r="O976" s="12">
        <v>0</v>
      </c>
      <c r="P976" s="12">
        <v>1</v>
      </c>
      <c r="Q976" s="12">
        <v>0</v>
      </c>
      <c r="R976" s="12">
        <v>0</v>
      </c>
    </row>
    <row r="977" spans="1:19" x14ac:dyDescent="0.25">
      <c r="A977" s="13">
        <v>45968.622511574074</v>
      </c>
      <c r="B977" t="s">
        <v>348</v>
      </c>
      <c r="C977" t="s">
        <v>361</v>
      </c>
      <c r="D977" t="s">
        <v>10</v>
      </c>
      <c r="E977" t="s">
        <v>11</v>
      </c>
      <c r="F977" t="s">
        <v>18</v>
      </c>
      <c r="G977">
        <v>20</v>
      </c>
      <c r="H977" s="12">
        <v>0</v>
      </c>
      <c r="I977" s="12">
        <v>0</v>
      </c>
      <c r="J977" s="12">
        <v>0</v>
      </c>
      <c r="K977" s="12">
        <v>0</v>
      </c>
      <c r="L977" s="12">
        <v>1</v>
      </c>
      <c r="M977" s="12">
        <v>0</v>
      </c>
      <c r="N977" s="12">
        <v>0</v>
      </c>
      <c r="O977" s="12">
        <v>0</v>
      </c>
      <c r="P977" s="12">
        <v>0</v>
      </c>
      <c r="Q977" s="12">
        <v>0</v>
      </c>
      <c r="R977" s="12">
        <v>0</v>
      </c>
    </row>
    <row r="978" spans="1:19" x14ac:dyDescent="0.25">
      <c r="A978" s="13">
        <v>45968.622650462959</v>
      </c>
      <c r="B978" t="s">
        <v>348</v>
      </c>
      <c r="C978" t="s">
        <v>361</v>
      </c>
      <c r="D978" t="s">
        <v>10</v>
      </c>
      <c r="E978" t="s">
        <v>11</v>
      </c>
      <c r="F978" t="s">
        <v>18</v>
      </c>
      <c r="G978">
        <v>20</v>
      </c>
      <c r="H978" s="12">
        <v>0</v>
      </c>
      <c r="I978" s="12">
        <v>0</v>
      </c>
      <c r="J978" s="12">
        <v>0</v>
      </c>
      <c r="K978" s="12">
        <v>0</v>
      </c>
      <c r="L978" s="12">
        <v>1</v>
      </c>
      <c r="M978" s="12">
        <v>0</v>
      </c>
      <c r="N978" s="12">
        <v>0</v>
      </c>
      <c r="O978" s="12">
        <v>0</v>
      </c>
      <c r="P978" s="12">
        <v>0</v>
      </c>
      <c r="Q978" s="12">
        <v>0</v>
      </c>
      <c r="R978" s="12">
        <v>0</v>
      </c>
    </row>
    <row r="979" spans="1:19" x14ac:dyDescent="0.25">
      <c r="A979" s="13">
        <v>45968.62290509259</v>
      </c>
      <c r="B979" t="s">
        <v>348</v>
      </c>
      <c r="C979" t="s">
        <v>361</v>
      </c>
      <c r="D979" t="s">
        <v>10</v>
      </c>
      <c r="E979" t="s">
        <v>11</v>
      </c>
      <c r="F979" t="s">
        <v>15</v>
      </c>
      <c r="G979">
        <v>3</v>
      </c>
      <c r="H979" s="12">
        <v>0</v>
      </c>
      <c r="I979" s="12">
        <v>0</v>
      </c>
      <c r="J979" s="12">
        <v>0</v>
      </c>
      <c r="K979" s="12">
        <v>0</v>
      </c>
      <c r="L979" s="12">
        <v>0</v>
      </c>
      <c r="M979" s="12">
        <v>0</v>
      </c>
      <c r="N979" s="12">
        <v>0</v>
      </c>
      <c r="O979" s="12">
        <v>0</v>
      </c>
      <c r="P979" s="12">
        <v>1</v>
      </c>
      <c r="Q979" s="12">
        <v>0</v>
      </c>
      <c r="R979" s="12">
        <v>0</v>
      </c>
      <c r="S979" t="s">
        <v>250</v>
      </c>
    </row>
    <row r="980" spans="1:19" x14ac:dyDescent="0.25">
      <c r="A980" s="13">
        <v>45968.623124999998</v>
      </c>
      <c r="B980" t="s">
        <v>348</v>
      </c>
      <c r="C980" t="s">
        <v>361</v>
      </c>
      <c r="D980" t="s">
        <v>10</v>
      </c>
      <c r="E980" t="s">
        <v>11</v>
      </c>
      <c r="F980" t="s">
        <v>15</v>
      </c>
      <c r="G980">
        <v>3</v>
      </c>
      <c r="H980" s="12">
        <v>0</v>
      </c>
      <c r="I980" s="12">
        <v>0</v>
      </c>
      <c r="J980" s="12">
        <v>0</v>
      </c>
      <c r="K980" s="12">
        <v>0</v>
      </c>
      <c r="L980" s="12">
        <v>0</v>
      </c>
      <c r="M980" s="12">
        <v>0</v>
      </c>
      <c r="N980" s="12">
        <v>0</v>
      </c>
      <c r="O980" s="12">
        <v>0</v>
      </c>
      <c r="P980" s="12">
        <v>0</v>
      </c>
      <c r="Q980" s="12">
        <v>0</v>
      </c>
      <c r="R980" s="12">
        <v>1</v>
      </c>
      <c r="S980" t="s">
        <v>251</v>
      </c>
    </row>
    <row r="981" spans="1:19" x14ac:dyDescent="0.25">
      <c r="A981" s="13">
        <v>45968.627453703702</v>
      </c>
      <c r="B981" t="s">
        <v>349</v>
      </c>
      <c r="C981" t="s">
        <v>361</v>
      </c>
      <c r="D981" t="s">
        <v>10</v>
      </c>
      <c r="E981" t="s">
        <v>11</v>
      </c>
      <c r="F981" t="s">
        <v>15</v>
      </c>
      <c r="G981">
        <v>3</v>
      </c>
      <c r="H981" s="12">
        <v>1</v>
      </c>
      <c r="I981" s="12">
        <v>0</v>
      </c>
      <c r="J981" s="12">
        <v>0</v>
      </c>
      <c r="K981" s="12">
        <v>0</v>
      </c>
      <c r="L981" s="12">
        <v>0</v>
      </c>
      <c r="M981" s="12">
        <v>0</v>
      </c>
      <c r="N981" s="12">
        <v>0</v>
      </c>
      <c r="O981" s="12">
        <v>0</v>
      </c>
      <c r="P981" s="12">
        <v>0</v>
      </c>
      <c r="Q981" s="12">
        <v>0</v>
      </c>
      <c r="R981" s="12">
        <v>0</v>
      </c>
    </row>
    <row r="982" spans="1:19" x14ac:dyDescent="0.25">
      <c r="A982" s="13">
        <v>45968.634155092594</v>
      </c>
      <c r="B982" t="s">
        <v>349</v>
      </c>
      <c r="C982" t="s">
        <v>361</v>
      </c>
      <c r="D982" t="s">
        <v>10</v>
      </c>
      <c r="E982" t="s">
        <v>11</v>
      </c>
      <c r="F982" t="s">
        <v>15</v>
      </c>
      <c r="G982">
        <v>3</v>
      </c>
      <c r="H982" s="12">
        <v>1</v>
      </c>
      <c r="I982" s="12">
        <v>0</v>
      </c>
      <c r="J982" s="12">
        <v>0</v>
      </c>
      <c r="K982" s="12">
        <v>0</v>
      </c>
      <c r="L982" s="12">
        <v>0</v>
      </c>
      <c r="M982" s="12">
        <v>0</v>
      </c>
      <c r="N982" s="12">
        <v>0</v>
      </c>
      <c r="O982" s="12">
        <v>0</v>
      </c>
      <c r="P982" s="12">
        <v>0</v>
      </c>
      <c r="Q982" s="12">
        <v>0</v>
      </c>
      <c r="R982" s="12">
        <v>0</v>
      </c>
    </row>
    <row r="983" spans="1:19" x14ac:dyDescent="0.25">
      <c r="A983" s="13">
        <v>45968.654907407406</v>
      </c>
      <c r="B983" t="s">
        <v>349</v>
      </c>
      <c r="C983" t="s">
        <v>361</v>
      </c>
      <c r="D983" t="s">
        <v>10</v>
      </c>
      <c r="E983" t="s">
        <v>11</v>
      </c>
      <c r="F983" t="s">
        <v>12</v>
      </c>
      <c r="G983">
        <v>10.5</v>
      </c>
      <c r="H983" s="12">
        <v>0</v>
      </c>
      <c r="I983" s="12">
        <v>0</v>
      </c>
      <c r="J983" s="12">
        <v>0</v>
      </c>
      <c r="K983" s="12">
        <v>0</v>
      </c>
      <c r="L983" s="12">
        <v>0</v>
      </c>
      <c r="M983" s="12">
        <v>0</v>
      </c>
      <c r="N983" s="12">
        <v>0</v>
      </c>
      <c r="O983" s="12">
        <v>1</v>
      </c>
      <c r="P983" s="12">
        <v>0</v>
      </c>
      <c r="Q983" s="12">
        <v>0</v>
      </c>
      <c r="R983" s="12">
        <v>0</v>
      </c>
    </row>
    <row r="984" spans="1:19" x14ac:dyDescent="0.25">
      <c r="A984" s="13">
        <v>45968.654999999999</v>
      </c>
      <c r="B984" t="s">
        <v>349</v>
      </c>
      <c r="C984" t="s">
        <v>361</v>
      </c>
      <c r="D984" t="s">
        <v>10</v>
      </c>
      <c r="E984" t="s">
        <v>11</v>
      </c>
      <c r="F984" t="s">
        <v>15</v>
      </c>
      <c r="G984">
        <v>3</v>
      </c>
      <c r="H984" s="12">
        <v>1</v>
      </c>
      <c r="I984" s="12">
        <v>0</v>
      </c>
      <c r="J984" s="12">
        <v>1</v>
      </c>
      <c r="K984" s="12">
        <v>0</v>
      </c>
      <c r="L984" s="12">
        <v>0</v>
      </c>
      <c r="M984" s="12">
        <v>0</v>
      </c>
      <c r="N984" s="12">
        <v>0</v>
      </c>
      <c r="O984" s="12">
        <v>0</v>
      </c>
      <c r="P984" s="12">
        <v>0</v>
      </c>
      <c r="Q984" s="12">
        <v>0</v>
      </c>
      <c r="R984" s="12">
        <v>0</v>
      </c>
    </row>
    <row r="985" spans="1:19" x14ac:dyDescent="0.25">
      <c r="A985" s="13">
        <v>45968.750451388885</v>
      </c>
      <c r="B985" t="s">
        <v>355</v>
      </c>
      <c r="C985" t="s">
        <v>361</v>
      </c>
      <c r="D985" t="s">
        <v>10</v>
      </c>
      <c r="E985" t="s">
        <v>11</v>
      </c>
      <c r="F985" t="s">
        <v>15</v>
      </c>
      <c r="G985">
        <v>3</v>
      </c>
      <c r="H985" s="12">
        <v>0</v>
      </c>
      <c r="I985" s="12">
        <v>0</v>
      </c>
      <c r="J985" s="12">
        <v>0</v>
      </c>
      <c r="K985" s="12">
        <v>0</v>
      </c>
      <c r="L985" s="12">
        <v>0</v>
      </c>
      <c r="M985" s="12">
        <v>0</v>
      </c>
      <c r="N985" s="12">
        <v>0</v>
      </c>
      <c r="O985" s="12">
        <v>0</v>
      </c>
      <c r="P985" s="12">
        <v>1</v>
      </c>
      <c r="Q985" s="12">
        <v>0</v>
      </c>
      <c r="R985" s="12">
        <v>0</v>
      </c>
    </row>
    <row r="986" spans="1:19" x14ac:dyDescent="0.25">
      <c r="A986" s="13">
        <v>45968.750567129631</v>
      </c>
      <c r="B986" t="s">
        <v>355</v>
      </c>
      <c r="C986" t="s">
        <v>361</v>
      </c>
      <c r="D986" t="s">
        <v>20</v>
      </c>
      <c r="E986" t="s">
        <v>11</v>
      </c>
      <c r="F986" t="s">
        <v>15</v>
      </c>
      <c r="G986">
        <v>3</v>
      </c>
      <c r="H986" s="12">
        <v>0</v>
      </c>
      <c r="I986" s="12">
        <v>0</v>
      </c>
      <c r="J986" s="12">
        <v>0</v>
      </c>
      <c r="K986" s="12">
        <v>0</v>
      </c>
      <c r="L986" s="12">
        <v>0</v>
      </c>
      <c r="M986" s="12">
        <v>0</v>
      </c>
      <c r="N986" s="12">
        <v>0</v>
      </c>
      <c r="O986" s="12">
        <v>0</v>
      </c>
      <c r="P986" s="12">
        <v>0</v>
      </c>
      <c r="Q986" s="12">
        <v>1</v>
      </c>
      <c r="R986" s="12">
        <v>0</v>
      </c>
    </row>
    <row r="987" spans="1:19" x14ac:dyDescent="0.25">
      <c r="A987" s="13">
        <v>45969.442835648151</v>
      </c>
      <c r="B987" t="s">
        <v>347</v>
      </c>
      <c r="C987" t="s">
        <v>362</v>
      </c>
      <c r="D987" t="s">
        <v>10</v>
      </c>
      <c r="E987" t="s">
        <v>11</v>
      </c>
      <c r="F987" t="s">
        <v>12</v>
      </c>
      <c r="G987">
        <v>10.5</v>
      </c>
      <c r="H987" s="12">
        <v>0</v>
      </c>
      <c r="I987" s="12">
        <v>0</v>
      </c>
      <c r="J987" s="12">
        <v>0</v>
      </c>
      <c r="K987" s="12">
        <v>0</v>
      </c>
      <c r="L987" s="12">
        <v>1</v>
      </c>
      <c r="M987" s="12">
        <v>0</v>
      </c>
      <c r="N987" s="12">
        <v>0</v>
      </c>
      <c r="O987" s="12">
        <v>0</v>
      </c>
      <c r="P987" s="12">
        <v>0</v>
      </c>
      <c r="Q987" s="12">
        <v>0</v>
      </c>
      <c r="R987" s="12">
        <v>0</v>
      </c>
    </row>
    <row r="988" spans="1:19" x14ac:dyDescent="0.25">
      <c r="A988" s="13">
        <v>45969.443622685183</v>
      </c>
      <c r="B988" t="s">
        <v>347</v>
      </c>
      <c r="C988" t="s">
        <v>362</v>
      </c>
      <c r="D988" t="s">
        <v>10</v>
      </c>
      <c r="E988" t="s">
        <v>11</v>
      </c>
      <c r="F988" t="s">
        <v>12</v>
      </c>
      <c r="G988">
        <v>10.5</v>
      </c>
      <c r="H988" s="12">
        <v>0</v>
      </c>
      <c r="I988" s="12">
        <v>1</v>
      </c>
      <c r="J988" s="12">
        <v>0</v>
      </c>
      <c r="K988" s="12">
        <v>0</v>
      </c>
      <c r="L988" s="12">
        <v>0</v>
      </c>
      <c r="M988" s="12">
        <v>0</v>
      </c>
      <c r="N988" s="12">
        <v>0</v>
      </c>
      <c r="O988" s="12">
        <v>0</v>
      </c>
      <c r="P988" s="12">
        <v>0</v>
      </c>
      <c r="Q988" s="12">
        <v>0</v>
      </c>
      <c r="R988" s="12">
        <v>0</v>
      </c>
      <c r="S988" t="s">
        <v>252</v>
      </c>
    </row>
    <row r="989" spans="1:19" x14ac:dyDescent="0.25">
      <c r="A989" s="13">
        <v>45969.466458333336</v>
      </c>
      <c r="B989" t="s">
        <v>354</v>
      </c>
      <c r="C989" t="s">
        <v>362</v>
      </c>
      <c r="D989" t="s">
        <v>10</v>
      </c>
      <c r="E989" t="s">
        <v>11</v>
      </c>
      <c r="F989" t="s">
        <v>12</v>
      </c>
      <c r="G989">
        <v>10.5</v>
      </c>
      <c r="H989" s="12">
        <v>0</v>
      </c>
      <c r="I989" s="12">
        <v>0</v>
      </c>
      <c r="J989" s="12">
        <v>0</v>
      </c>
      <c r="K989" s="12">
        <v>0</v>
      </c>
      <c r="L989" s="12">
        <v>0</v>
      </c>
      <c r="M989" s="12">
        <v>0</v>
      </c>
      <c r="N989" s="12">
        <v>0</v>
      </c>
      <c r="O989" s="12">
        <v>1</v>
      </c>
      <c r="P989" s="12">
        <v>0</v>
      </c>
      <c r="Q989" s="12">
        <v>0</v>
      </c>
      <c r="R989" s="12">
        <v>0</v>
      </c>
      <c r="S989" t="s">
        <v>253</v>
      </c>
    </row>
    <row r="990" spans="1:19" x14ac:dyDescent="0.25">
      <c r="A990" s="13">
        <v>45971.485925925925</v>
      </c>
      <c r="B990" t="s">
        <v>354</v>
      </c>
      <c r="C990" t="s">
        <v>363</v>
      </c>
      <c r="D990" t="s">
        <v>10</v>
      </c>
      <c r="E990" t="s">
        <v>11</v>
      </c>
      <c r="F990" t="s">
        <v>12</v>
      </c>
      <c r="G990">
        <v>10.5</v>
      </c>
      <c r="H990" s="12">
        <v>0</v>
      </c>
      <c r="I990" s="12">
        <v>0</v>
      </c>
      <c r="J990" s="12">
        <v>0</v>
      </c>
      <c r="K990" s="12">
        <v>0</v>
      </c>
      <c r="L990" s="12">
        <v>0</v>
      </c>
      <c r="M990" s="12">
        <v>1</v>
      </c>
      <c r="N990" s="12">
        <v>0</v>
      </c>
      <c r="O990" s="12">
        <v>0</v>
      </c>
      <c r="P990" s="12">
        <v>0</v>
      </c>
      <c r="Q990" s="12">
        <v>0</v>
      </c>
      <c r="R990" s="12">
        <v>0</v>
      </c>
    </row>
    <row r="991" spans="1:19" x14ac:dyDescent="0.25">
      <c r="A991" s="13">
        <v>45971.544849537036</v>
      </c>
      <c r="B991" t="s">
        <v>351</v>
      </c>
      <c r="C991" t="s">
        <v>363</v>
      </c>
      <c r="D991" t="s">
        <v>10</v>
      </c>
      <c r="E991" t="s">
        <v>11</v>
      </c>
      <c r="F991" t="s">
        <v>12</v>
      </c>
      <c r="G991">
        <v>10.5</v>
      </c>
      <c r="H991" s="12">
        <v>0</v>
      </c>
      <c r="I991" s="12">
        <v>0</v>
      </c>
      <c r="J991" s="12">
        <v>0</v>
      </c>
      <c r="K991" s="12">
        <v>0</v>
      </c>
      <c r="L991" s="12">
        <v>1</v>
      </c>
      <c r="M991" s="12">
        <v>0</v>
      </c>
      <c r="N991" s="12">
        <v>0</v>
      </c>
      <c r="O991" s="12">
        <v>0</v>
      </c>
      <c r="P991" s="12">
        <v>0</v>
      </c>
      <c r="Q991" s="12">
        <v>0</v>
      </c>
      <c r="R991" s="12">
        <v>0</v>
      </c>
    </row>
    <row r="992" spans="1:19" x14ac:dyDescent="0.25">
      <c r="A992" s="13">
        <v>45971.574305555558</v>
      </c>
      <c r="B992" t="s">
        <v>351</v>
      </c>
      <c r="C992" t="s">
        <v>363</v>
      </c>
      <c r="D992" t="s">
        <v>10</v>
      </c>
      <c r="E992" t="s">
        <v>11</v>
      </c>
      <c r="F992" t="s">
        <v>12</v>
      </c>
      <c r="G992">
        <v>10.5</v>
      </c>
      <c r="H992" s="12">
        <v>0</v>
      </c>
      <c r="I992" s="12">
        <v>0</v>
      </c>
      <c r="J992" s="12">
        <v>0</v>
      </c>
      <c r="K992" s="12">
        <v>0</v>
      </c>
      <c r="L992" s="12">
        <v>1</v>
      </c>
      <c r="M992" s="12">
        <v>0</v>
      </c>
      <c r="N992" s="12">
        <v>0</v>
      </c>
      <c r="O992" s="12">
        <v>0</v>
      </c>
      <c r="P992" s="12">
        <v>0</v>
      </c>
      <c r="Q992" s="12">
        <v>0</v>
      </c>
      <c r="R992" s="12">
        <v>0</v>
      </c>
    </row>
    <row r="993" spans="1:19" x14ac:dyDescent="0.25">
      <c r="A993" s="13">
        <v>45971.575266203705</v>
      </c>
      <c r="B993" t="s">
        <v>351</v>
      </c>
      <c r="C993" t="s">
        <v>363</v>
      </c>
      <c r="D993" t="s">
        <v>10</v>
      </c>
      <c r="E993" t="s">
        <v>11</v>
      </c>
      <c r="F993" t="s">
        <v>14</v>
      </c>
      <c r="G993">
        <v>0.5</v>
      </c>
      <c r="H993" s="12">
        <v>0</v>
      </c>
      <c r="I993" s="12">
        <v>0</v>
      </c>
      <c r="J993" s="12">
        <v>0</v>
      </c>
      <c r="K993" s="12">
        <v>0</v>
      </c>
      <c r="L993" s="12">
        <v>0</v>
      </c>
      <c r="M993" s="12">
        <v>0</v>
      </c>
      <c r="N993" s="12">
        <v>0</v>
      </c>
      <c r="O993" s="12">
        <v>0</v>
      </c>
      <c r="P993" s="12">
        <v>0</v>
      </c>
      <c r="Q993" s="12">
        <v>0</v>
      </c>
      <c r="R993" s="12">
        <v>1</v>
      </c>
      <c r="S993" t="s">
        <v>254</v>
      </c>
    </row>
    <row r="994" spans="1:19" x14ac:dyDescent="0.25">
      <c r="A994" s="13">
        <v>45971.590983796297</v>
      </c>
      <c r="B994" t="s">
        <v>348</v>
      </c>
      <c r="C994" t="s">
        <v>363</v>
      </c>
      <c r="D994" t="s">
        <v>10</v>
      </c>
      <c r="E994" t="s">
        <v>11</v>
      </c>
      <c r="F994" t="s">
        <v>14</v>
      </c>
      <c r="G994">
        <v>0.5</v>
      </c>
      <c r="H994" s="12">
        <v>0</v>
      </c>
      <c r="I994" s="12">
        <v>0</v>
      </c>
      <c r="J994" s="12">
        <v>0</v>
      </c>
      <c r="K994" s="12">
        <v>0</v>
      </c>
      <c r="L994" s="12">
        <v>0</v>
      </c>
      <c r="M994" s="12">
        <v>0</v>
      </c>
      <c r="N994" s="12">
        <v>0</v>
      </c>
      <c r="O994" s="12">
        <v>0</v>
      </c>
      <c r="P994" s="12">
        <v>0</v>
      </c>
      <c r="Q994" s="12">
        <v>0</v>
      </c>
      <c r="R994" s="12">
        <v>1</v>
      </c>
      <c r="S994" t="s">
        <v>255</v>
      </c>
    </row>
    <row r="995" spans="1:19" x14ac:dyDescent="0.25">
      <c r="A995" s="13">
        <v>45971.622557870367</v>
      </c>
      <c r="B995" t="s">
        <v>348</v>
      </c>
      <c r="C995" t="s">
        <v>363</v>
      </c>
      <c r="D995" t="s">
        <v>10</v>
      </c>
      <c r="E995" t="s">
        <v>11</v>
      </c>
      <c r="F995" t="s">
        <v>14</v>
      </c>
      <c r="G995">
        <v>0.5</v>
      </c>
      <c r="H995" s="12">
        <v>0</v>
      </c>
      <c r="I995" s="12">
        <v>0</v>
      </c>
      <c r="J995" s="12">
        <v>0</v>
      </c>
      <c r="K995" s="12">
        <v>0</v>
      </c>
      <c r="L995" s="12">
        <v>0</v>
      </c>
      <c r="M995" s="12">
        <v>0</v>
      </c>
      <c r="N995" s="12">
        <v>0</v>
      </c>
      <c r="O995" s="12">
        <v>0</v>
      </c>
      <c r="P995" s="12">
        <v>0</v>
      </c>
      <c r="Q995" s="12">
        <v>0</v>
      </c>
      <c r="R995" s="12">
        <v>1</v>
      </c>
      <c r="S995" t="s">
        <v>256</v>
      </c>
    </row>
    <row r="996" spans="1:19" x14ac:dyDescent="0.25">
      <c r="A996" s="13">
        <v>45971.622824074075</v>
      </c>
      <c r="B996" t="s">
        <v>348</v>
      </c>
      <c r="C996" t="s">
        <v>363</v>
      </c>
      <c r="D996" t="s">
        <v>10</v>
      </c>
      <c r="E996" t="s">
        <v>11</v>
      </c>
      <c r="F996" t="s">
        <v>14</v>
      </c>
      <c r="G996">
        <v>0.5</v>
      </c>
      <c r="H996" s="12">
        <v>1</v>
      </c>
      <c r="I996" s="12">
        <v>0</v>
      </c>
      <c r="J996" s="12">
        <v>0</v>
      </c>
      <c r="K996" s="12">
        <v>1</v>
      </c>
      <c r="L996" s="12">
        <v>0</v>
      </c>
      <c r="M996" s="12">
        <v>0</v>
      </c>
      <c r="N996" s="12">
        <v>0</v>
      </c>
      <c r="O996" s="12">
        <v>0</v>
      </c>
      <c r="P996" s="12">
        <v>0</v>
      </c>
      <c r="Q996" s="12">
        <v>0</v>
      </c>
      <c r="R996" s="12">
        <v>1</v>
      </c>
      <c r="S996" t="s">
        <v>257</v>
      </c>
    </row>
    <row r="997" spans="1:19" x14ac:dyDescent="0.25">
      <c r="A997" s="13">
        <v>45971.62290509259</v>
      </c>
      <c r="B997" t="s">
        <v>348</v>
      </c>
      <c r="C997" t="s">
        <v>363</v>
      </c>
      <c r="D997" t="s">
        <v>10</v>
      </c>
      <c r="E997" t="s">
        <v>11</v>
      </c>
      <c r="F997" t="s">
        <v>15</v>
      </c>
      <c r="G997">
        <v>3</v>
      </c>
      <c r="H997" s="12">
        <v>1</v>
      </c>
      <c r="I997" s="12">
        <v>0</v>
      </c>
      <c r="J997" s="12">
        <v>1</v>
      </c>
      <c r="K997" s="12">
        <v>0</v>
      </c>
      <c r="L997" s="12">
        <v>0</v>
      </c>
      <c r="M997" s="12">
        <v>0</v>
      </c>
      <c r="N997" s="12">
        <v>0</v>
      </c>
      <c r="O997" s="12">
        <v>0</v>
      </c>
      <c r="P997" s="12">
        <v>0</v>
      </c>
      <c r="Q997" s="12">
        <v>0</v>
      </c>
      <c r="R997" s="12">
        <v>0</v>
      </c>
    </row>
    <row r="998" spans="1:19" x14ac:dyDescent="0.25">
      <c r="A998" s="13">
        <v>45971.637650462966</v>
      </c>
      <c r="B998" t="s">
        <v>349</v>
      </c>
      <c r="C998" t="s">
        <v>363</v>
      </c>
      <c r="D998" t="s">
        <v>10</v>
      </c>
      <c r="E998" t="s">
        <v>11</v>
      </c>
      <c r="F998" t="s">
        <v>12</v>
      </c>
      <c r="G998">
        <v>10.5</v>
      </c>
      <c r="H998" s="12">
        <v>1</v>
      </c>
      <c r="I998" s="12">
        <v>0</v>
      </c>
      <c r="J998" s="12">
        <v>0</v>
      </c>
      <c r="K998" s="12">
        <v>0</v>
      </c>
      <c r="L998" s="12">
        <v>0</v>
      </c>
      <c r="M998" s="12">
        <v>0</v>
      </c>
      <c r="N998" s="12">
        <v>0</v>
      </c>
      <c r="O998" s="12">
        <v>1</v>
      </c>
      <c r="P998" s="12">
        <v>0</v>
      </c>
      <c r="Q998" s="12">
        <v>0</v>
      </c>
      <c r="R998" s="12">
        <v>0</v>
      </c>
    </row>
    <row r="999" spans="1:19" x14ac:dyDescent="0.25">
      <c r="A999" s="13">
        <v>45971.65053240741</v>
      </c>
      <c r="B999" t="s">
        <v>349</v>
      </c>
      <c r="C999" t="s">
        <v>363</v>
      </c>
      <c r="D999" t="s">
        <v>10</v>
      </c>
      <c r="E999" t="s">
        <v>11</v>
      </c>
      <c r="F999" t="s">
        <v>15</v>
      </c>
      <c r="G999">
        <v>3</v>
      </c>
      <c r="H999" s="12">
        <v>0</v>
      </c>
      <c r="I999" s="12">
        <v>0</v>
      </c>
      <c r="J999" s="12">
        <v>0</v>
      </c>
      <c r="K999" s="12">
        <v>0</v>
      </c>
      <c r="L999" s="12">
        <v>0</v>
      </c>
      <c r="M999" s="12">
        <v>0</v>
      </c>
      <c r="N999" s="12">
        <v>0</v>
      </c>
      <c r="O999" s="12">
        <v>0</v>
      </c>
      <c r="P999" s="12">
        <v>0</v>
      </c>
      <c r="Q999" s="12">
        <v>0</v>
      </c>
      <c r="R999" s="12">
        <v>1</v>
      </c>
      <c r="S999" t="s">
        <v>258</v>
      </c>
    </row>
    <row r="1000" spans="1:19" x14ac:dyDescent="0.25">
      <c r="A1000" s="13">
        <v>45971.655266203707</v>
      </c>
      <c r="B1000" t="s">
        <v>349</v>
      </c>
      <c r="C1000" t="s">
        <v>363</v>
      </c>
      <c r="D1000" t="s">
        <v>10</v>
      </c>
      <c r="E1000" t="s">
        <v>11</v>
      </c>
      <c r="F1000" t="s">
        <v>15</v>
      </c>
      <c r="G1000">
        <v>3</v>
      </c>
      <c r="H1000" s="12">
        <v>0</v>
      </c>
      <c r="I1000" s="12">
        <v>0</v>
      </c>
      <c r="J1000" s="12">
        <v>0</v>
      </c>
      <c r="K1000" s="12">
        <v>0</v>
      </c>
      <c r="L1000" s="12">
        <v>0</v>
      </c>
      <c r="M1000" s="12">
        <v>0</v>
      </c>
      <c r="N1000" s="12">
        <v>0</v>
      </c>
      <c r="O1000" s="12">
        <v>0</v>
      </c>
      <c r="P1000" s="12">
        <v>0</v>
      </c>
      <c r="Q1000" s="12">
        <v>0</v>
      </c>
      <c r="R1000" s="12">
        <v>1</v>
      </c>
      <c r="S1000" t="s">
        <v>259</v>
      </c>
    </row>
    <row r="1001" spans="1:19" x14ac:dyDescent="0.25">
      <c r="A1001" s="13">
        <v>45972.448229166665</v>
      </c>
      <c r="B1001" t="s">
        <v>347</v>
      </c>
      <c r="C1001" t="s">
        <v>358</v>
      </c>
      <c r="D1001" t="s">
        <v>10</v>
      </c>
      <c r="E1001" t="s">
        <v>11</v>
      </c>
      <c r="F1001" t="s">
        <v>14</v>
      </c>
      <c r="G1001">
        <v>0.5</v>
      </c>
      <c r="H1001" s="12">
        <v>0</v>
      </c>
      <c r="I1001" s="12">
        <v>0</v>
      </c>
      <c r="J1001" s="12">
        <v>0</v>
      </c>
      <c r="K1001" s="12">
        <v>0</v>
      </c>
      <c r="L1001" s="12">
        <v>0</v>
      </c>
      <c r="M1001" s="12">
        <v>0</v>
      </c>
      <c r="N1001" s="12">
        <v>0</v>
      </c>
      <c r="O1001" s="12">
        <v>0</v>
      </c>
      <c r="P1001" s="12">
        <v>1</v>
      </c>
      <c r="Q1001" s="12">
        <v>0</v>
      </c>
      <c r="R1001" s="12">
        <v>0</v>
      </c>
    </row>
    <row r="1002" spans="1:19" x14ac:dyDescent="0.25">
      <c r="A1002" s="13">
        <v>45972.458078703705</v>
      </c>
      <c r="B1002" t="s">
        <v>347</v>
      </c>
      <c r="C1002" t="s">
        <v>358</v>
      </c>
      <c r="D1002" t="s">
        <v>20</v>
      </c>
      <c r="E1002" t="s">
        <v>11</v>
      </c>
      <c r="F1002" t="s">
        <v>12</v>
      </c>
      <c r="G1002">
        <v>10.5</v>
      </c>
      <c r="H1002" s="12">
        <v>0</v>
      </c>
      <c r="I1002" s="12">
        <v>0</v>
      </c>
      <c r="J1002" s="12">
        <v>0</v>
      </c>
      <c r="K1002" s="12">
        <v>0</v>
      </c>
      <c r="L1002" s="12">
        <v>0</v>
      </c>
      <c r="M1002" s="12">
        <v>0</v>
      </c>
      <c r="N1002" s="12">
        <v>0</v>
      </c>
      <c r="O1002" s="12">
        <v>0</v>
      </c>
      <c r="P1002" s="12">
        <v>0</v>
      </c>
      <c r="Q1002" s="12">
        <v>0</v>
      </c>
      <c r="R1002" s="12">
        <v>1</v>
      </c>
      <c r="S1002" t="s">
        <v>260</v>
      </c>
    </row>
    <row r="1003" spans="1:19" x14ac:dyDescent="0.25">
      <c r="A1003" s="13">
        <v>45972.512662037036</v>
      </c>
      <c r="B1003" t="s">
        <v>350</v>
      </c>
      <c r="C1003" t="s">
        <v>358</v>
      </c>
      <c r="D1003" t="s">
        <v>10</v>
      </c>
      <c r="E1003" t="s">
        <v>11</v>
      </c>
      <c r="F1003" t="s">
        <v>15</v>
      </c>
      <c r="G1003">
        <v>3</v>
      </c>
      <c r="H1003" s="12">
        <v>1</v>
      </c>
      <c r="I1003" s="12">
        <v>0</v>
      </c>
      <c r="J1003" s="12">
        <v>1</v>
      </c>
      <c r="K1003" s="12">
        <v>0</v>
      </c>
      <c r="L1003" s="12">
        <v>0</v>
      </c>
      <c r="M1003" s="12">
        <v>0</v>
      </c>
      <c r="N1003" s="12">
        <v>0</v>
      </c>
      <c r="O1003" s="12">
        <v>0</v>
      </c>
      <c r="P1003" s="12">
        <v>0</v>
      </c>
      <c r="Q1003" s="12">
        <v>0</v>
      </c>
      <c r="R1003" s="12">
        <v>0</v>
      </c>
    </row>
    <row r="1004" spans="1:19" x14ac:dyDescent="0.25">
      <c r="A1004" s="13">
        <v>45972.512766203705</v>
      </c>
      <c r="B1004" t="s">
        <v>350</v>
      </c>
      <c r="C1004" t="s">
        <v>358</v>
      </c>
      <c r="D1004" t="s">
        <v>10</v>
      </c>
      <c r="E1004" t="s">
        <v>11</v>
      </c>
      <c r="F1004" t="s">
        <v>14</v>
      </c>
      <c r="G1004">
        <v>0.5</v>
      </c>
      <c r="H1004" s="12">
        <v>0</v>
      </c>
      <c r="I1004" s="12">
        <v>0</v>
      </c>
      <c r="J1004" s="12">
        <v>0</v>
      </c>
      <c r="K1004" s="12">
        <v>0</v>
      </c>
      <c r="L1004" s="12">
        <v>0</v>
      </c>
      <c r="M1004" s="12">
        <v>0</v>
      </c>
      <c r="N1004" s="12">
        <v>0</v>
      </c>
      <c r="O1004" s="12">
        <v>0</v>
      </c>
      <c r="P1004" s="12">
        <v>0</v>
      </c>
      <c r="Q1004" s="12">
        <v>1</v>
      </c>
      <c r="R1004" s="12">
        <v>0</v>
      </c>
    </row>
    <row r="1005" spans="1:19" x14ac:dyDescent="0.25">
      <c r="A1005" s="13">
        <v>45972.536585648151</v>
      </c>
      <c r="B1005" t="s">
        <v>350</v>
      </c>
      <c r="C1005" t="s">
        <v>358</v>
      </c>
      <c r="D1005" t="s">
        <v>10</v>
      </c>
      <c r="E1005" t="s">
        <v>11</v>
      </c>
      <c r="F1005" t="s">
        <v>12</v>
      </c>
      <c r="G1005">
        <v>10.5</v>
      </c>
      <c r="H1005" s="12">
        <v>1</v>
      </c>
      <c r="I1005" s="12">
        <v>0</v>
      </c>
      <c r="J1005" s="12">
        <v>1</v>
      </c>
      <c r="K1005" s="12">
        <v>1</v>
      </c>
      <c r="L1005" s="12">
        <v>0</v>
      </c>
      <c r="M1005" s="12">
        <v>0</v>
      </c>
      <c r="N1005" s="12">
        <v>0</v>
      </c>
      <c r="O1005" s="12">
        <v>0</v>
      </c>
      <c r="P1005" s="12">
        <v>0</v>
      </c>
      <c r="Q1005" s="12">
        <v>0</v>
      </c>
      <c r="R1005" s="12">
        <v>1</v>
      </c>
      <c r="S1005" t="s">
        <v>261</v>
      </c>
    </row>
    <row r="1006" spans="1:19" x14ac:dyDescent="0.25">
      <c r="A1006" s="13">
        <v>45972.698692129627</v>
      </c>
      <c r="B1006" t="s">
        <v>353</v>
      </c>
      <c r="C1006" t="s">
        <v>358</v>
      </c>
      <c r="D1006" t="s">
        <v>10</v>
      </c>
      <c r="E1006" t="s">
        <v>11</v>
      </c>
      <c r="F1006" t="s">
        <v>12</v>
      </c>
      <c r="G1006">
        <v>10.5</v>
      </c>
      <c r="H1006" s="12">
        <v>0</v>
      </c>
      <c r="I1006" s="12">
        <v>0</v>
      </c>
      <c r="J1006" s="12">
        <v>0</v>
      </c>
      <c r="K1006" s="12">
        <v>0</v>
      </c>
      <c r="L1006" s="12">
        <v>1</v>
      </c>
      <c r="M1006" s="12">
        <v>1</v>
      </c>
      <c r="N1006" s="12">
        <v>0</v>
      </c>
      <c r="O1006" s="12">
        <v>0</v>
      </c>
      <c r="P1006" s="12">
        <v>0</v>
      </c>
      <c r="Q1006" s="12">
        <v>0</v>
      </c>
      <c r="R1006" s="12">
        <v>0</v>
      </c>
    </row>
    <row r="1007" spans="1:19" x14ac:dyDescent="0.25">
      <c r="A1007" s="13">
        <v>45972.698842592596</v>
      </c>
      <c r="B1007" t="s">
        <v>353</v>
      </c>
      <c r="C1007" t="s">
        <v>358</v>
      </c>
      <c r="D1007" t="s">
        <v>20</v>
      </c>
      <c r="E1007" t="s">
        <v>11</v>
      </c>
      <c r="F1007" t="s">
        <v>15</v>
      </c>
      <c r="G1007">
        <v>3</v>
      </c>
      <c r="H1007" s="12">
        <v>1</v>
      </c>
      <c r="I1007" s="12">
        <v>0</v>
      </c>
      <c r="J1007" s="12">
        <v>1</v>
      </c>
      <c r="K1007" s="12">
        <v>0</v>
      </c>
      <c r="L1007" s="12">
        <v>0</v>
      </c>
      <c r="M1007" s="12">
        <v>0</v>
      </c>
      <c r="N1007" s="12">
        <v>0</v>
      </c>
      <c r="O1007" s="12">
        <v>0</v>
      </c>
      <c r="P1007" s="12">
        <v>0</v>
      </c>
      <c r="Q1007" s="12">
        <v>0</v>
      </c>
      <c r="R1007" s="12">
        <v>0</v>
      </c>
    </row>
    <row r="1008" spans="1:19" x14ac:dyDescent="0.25">
      <c r="A1008" s="13">
        <v>45972.698935185188</v>
      </c>
      <c r="B1008" t="s">
        <v>353</v>
      </c>
      <c r="C1008" t="s">
        <v>358</v>
      </c>
      <c r="D1008" t="s">
        <v>10</v>
      </c>
      <c r="E1008" t="s">
        <v>11</v>
      </c>
      <c r="F1008" t="s">
        <v>14</v>
      </c>
      <c r="G1008">
        <v>0.5</v>
      </c>
      <c r="H1008" s="12">
        <v>0</v>
      </c>
      <c r="I1008" s="12">
        <v>0</v>
      </c>
      <c r="J1008" s="12">
        <v>0</v>
      </c>
      <c r="K1008" s="12">
        <v>0</v>
      </c>
      <c r="L1008" s="12">
        <v>0</v>
      </c>
      <c r="M1008" s="12">
        <v>0</v>
      </c>
      <c r="N1008" s="12">
        <v>0</v>
      </c>
      <c r="O1008" s="12">
        <v>0</v>
      </c>
      <c r="P1008" s="12">
        <v>0</v>
      </c>
      <c r="Q1008" s="12">
        <v>1</v>
      </c>
      <c r="R1008" s="12">
        <v>0</v>
      </c>
    </row>
    <row r="1009" spans="1:19" x14ac:dyDescent="0.25">
      <c r="A1009" s="13">
        <v>45972.699016203704</v>
      </c>
      <c r="B1009" t="s">
        <v>353</v>
      </c>
      <c r="C1009" t="s">
        <v>358</v>
      </c>
      <c r="D1009" t="s">
        <v>10</v>
      </c>
      <c r="E1009" t="s">
        <v>11</v>
      </c>
      <c r="F1009" t="s">
        <v>14</v>
      </c>
      <c r="G1009">
        <v>0.5</v>
      </c>
      <c r="H1009" s="12">
        <v>0</v>
      </c>
      <c r="I1009" s="12">
        <v>0</v>
      </c>
      <c r="J1009" s="12">
        <v>0</v>
      </c>
      <c r="K1009" s="12">
        <v>0</v>
      </c>
      <c r="L1009" s="12">
        <v>0</v>
      </c>
      <c r="M1009" s="12">
        <v>0</v>
      </c>
      <c r="N1009" s="12">
        <v>0</v>
      </c>
      <c r="O1009" s="12">
        <v>0</v>
      </c>
      <c r="P1009" s="12">
        <v>0</v>
      </c>
      <c r="Q1009" s="12">
        <v>1</v>
      </c>
      <c r="R1009" s="12">
        <v>0</v>
      </c>
    </row>
    <row r="1010" spans="1:19" x14ac:dyDescent="0.25">
      <c r="A1010" s="13">
        <v>45973.536423611113</v>
      </c>
      <c r="B1010" t="s">
        <v>350</v>
      </c>
      <c r="C1010" t="s">
        <v>359</v>
      </c>
      <c r="D1010" t="s">
        <v>10</v>
      </c>
      <c r="E1010" t="s">
        <v>11</v>
      </c>
      <c r="F1010" t="s">
        <v>18</v>
      </c>
      <c r="G1010">
        <v>20</v>
      </c>
      <c r="H1010" s="12">
        <v>1</v>
      </c>
      <c r="I1010" s="12">
        <v>0</v>
      </c>
      <c r="J1010" s="12">
        <v>1</v>
      </c>
      <c r="K1010" s="12">
        <v>0</v>
      </c>
      <c r="L1010" s="12">
        <v>1</v>
      </c>
      <c r="M1010" s="12">
        <v>1</v>
      </c>
      <c r="N1010" s="12">
        <v>0</v>
      </c>
      <c r="O1010" s="12">
        <v>0</v>
      </c>
      <c r="P1010" s="12">
        <v>0</v>
      </c>
      <c r="Q1010" s="12">
        <v>0</v>
      </c>
      <c r="R1010" s="12">
        <v>0</v>
      </c>
    </row>
    <row r="1011" spans="1:19" x14ac:dyDescent="0.25">
      <c r="A1011" s="13">
        <v>45973.585196759261</v>
      </c>
      <c r="B1011" t="s">
        <v>348</v>
      </c>
      <c r="C1011" t="s">
        <v>359</v>
      </c>
      <c r="D1011" t="s">
        <v>10</v>
      </c>
      <c r="E1011" t="s">
        <v>11</v>
      </c>
      <c r="F1011" t="s">
        <v>12</v>
      </c>
      <c r="G1011">
        <v>10.5</v>
      </c>
      <c r="H1011" s="12">
        <v>1</v>
      </c>
      <c r="I1011" s="12">
        <v>0</v>
      </c>
      <c r="J1011" s="12">
        <v>1</v>
      </c>
      <c r="K1011" s="12">
        <v>0</v>
      </c>
      <c r="L1011" s="12">
        <v>0</v>
      </c>
      <c r="M1011" s="12">
        <v>0</v>
      </c>
      <c r="N1011" s="12">
        <v>0</v>
      </c>
      <c r="O1011" s="12">
        <v>0</v>
      </c>
      <c r="P1011" s="12">
        <v>0</v>
      </c>
      <c r="Q1011" s="12">
        <v>0</v>
      </c>
      <c r="R1011" s="12">
        <v>0</v>
      </c>
    </row>
    <row r="1012" spans="1:19" x14ac:dyDescent="0.25">
      <c r="A1012" s="13">
        <v>45973.625856481478</v>
      </c>
      <c r="B1012" t="s">
        <v>349</v>
      </c>
      <c r="C1012" t="s">
        <v>359</v>
      </c>
      <c r="D1012" t="s">
        <v>10</v>
      </c>
      <c r="E1012" t="s">
        <v>11</v>
      </c>
      <c r="F1012" t="s">
        <v>14</v>
      </c>
      <c r="G1012">
        <v>0.5</v>
      </c>
      <c r="H1012" s="12">
        <v>0</v>
      </c>
      <c r="I1012" s="12">
        <v>0</v>
      </c>
      <c r="J1012" s="12">
        <v>0</v>
      </c>
      <c r="K1012" s="12">
        <v>0</v>
      </c>
      <c r="L1012" s="12">
        <v>0</v>
      </c>
      <c r="M1012" s="12">
        <v>0</v>
      </c>
      <c r="N1012" s="12">
        <v>0</v>
      </c>
      <c r="O1012" s="12">
        <v>1</v>
      </c>
      <c r="P1012" s="12">
        <v>0</v>
      </c>
      <c r="Q1012" s="12">
        <v>0</v>
      </c>
      <c r="R1012" s="12">
        <v>0</v>
      </c>
    </row>
    <row r="1013" spans="1:19" x14ac:dyDescent="0.25">
      <c r="A1013" s="13">
        <v>45973.755729166667</v>
      </c>
      <c r="B1013" t="s">
        <v>355</v>
      </c>
      <c r="C1013" t="s">
        <v>359</v>
      </c>
      <c r="D1013" t="s">
        <v>10</v>
      </c>
      <c r="E1013" t="s">
        <v>11</v>
      </c>
      <c r="F1013" t="s">
        <v>14</v>
      </c>
      <c r="G1013">
        <v>0.5</v>
      </c>
      <c r="H1013" s="12">
        <v>0</v>
      </c>
      <c r="I1013" s="12">
        <v>0</v>
      </c>
      <c r="J1013" s="12">
        <v>0</v>
      </c>
      <c r="K1013" s="12">
        <v>0</v>
      </c>
      <c r="L1013" s="12">
        <v>0</v>
      </c>
      <c r="M1013" s="12">
        <v>0</v>
      </c>
      <c r="N1013" s="12">
        <v>0</v>
      </c>
      <c r="O1013" s="12">
        <v>0</v>
      </c>
      <c r="P1013" s="12">
        <v>0</v>
      </c>
      <c r="Q1013" s="12">
        <v>0</v>
      </c>
      <c r="R1013" s="12">
        <v>1</v>
      </c>
    </row>
    <row r="1014" spans="1:19" x14ac:dyDescent="0.25">
      <c r="A1014" s="13">
        <v>45973.755844907406</v>
      </c>
      <c r="B1014" t="s">
        <v>355</v>
      </c>
      <c r="C1014" t="s">
        <v>359</v>
      </c>
      <c r="D1014" t="s">
        <v>10</v>
      </c>
      <c r="E1014" t="s">
        <v>11</v>
      </c>
      <c r="F1014" t="s">
        <v>14</v>
      </c>
      <c r="G1014">
        <v>0.5</v>
      </c>
      <c r="H1014" s="12">
        <v>0</v>
      </c>
      <c r="I1014" s="12">
        <v>0</v>
      </c>
      <c r="J1014" s="12">
        <v>0</v>
      </c>
      <c r="K1014" s="12">
        <v>0</v>
      </c>
      <c r="L1014" s="12">
        <v>0</v>
      </c>
      <c r="M1014" s="12">
        <v>0</v>
      </c>
      <c r="N1014" s="12">
        <v>0</v>
      </c>
      <c r="O1014" s="12">
        <v>0</v>
      </c>
      <c r="P1014" s="12">
        <v>0</v>
      </c>
      <c r="Q1014" s="12">
        <v>0</v>
      </c>
      <c r="R1014" s="12">
        <v>1</v>
      </c>
    </row>
    <row r="1015" spans="1:19" x14ac:dyDescent="0.25">
      <c r="A1015" s="13">
        <v>45973.755960648145</v>
      </c>
      <c r="B1015" t="s">
        <v>355</v>
      </c>
      <c r="C1015" t="s">
        <v>359</v>
      </c>
      <c r="D1015" t="s">
        <v>10</v>
      </c>
      <c r="E1015" t="s">
        <v>11</v>
      </c>
      <c r="F1015" t="s">
        <v>15</v>
      </c>
      <c r="G1015">
        <v>3</v>
      </c>
      <c r="H1015" s="12">
        <v>0</v>
      </c>
      <c r="I1015" s="12">
        <v>0</v>
      </c>
      <c r="J1015" s="12">
        <v>0</v>
      </c>
      <c r="K1015" s="12">
        <v>0</v>
      </c>
      <c r="L1015" s="12">
        <v>0</v>
      </c>
      <c r="M1015" s="12">
        <v>0</v>
      </c>
      <c r="N1015" s="12">
        <v>1</v>
      </c>
      <c r="O1015" s="12">
        <v>0</v>
      </c>
      <c r="P1015" s="12">
        <v>0</v>
      </c>
      <c r="Q1015" s="12">
        <v>0</v>
      </c>
      <c r="R1015" s="12">
        <v>0</v>
      </c>
    </row>
    <row r="1016" spans="1:19" x14ac:dyDescent="0.25">
      <c r="A1016" s="13">
        <v>45973.756018518521</v>
      </c>
      <c r="B1016" t="s">
        <v>355</v>
      </c>
      <c r="C1016" t="s">
        <v>359</v>
      </c>
      <c r="D1016" t="s">
        <v>10</v>
      </c>
      <c r="E1016" t="s">
        <v>11</v>
      </c>
      <c r="F1016" t="s">
        <v>15</v>
      </c>
      <c r="G1016">
        <v>3</v>
      </c>
      <c r="H1016" s="12">
        <v>0</v>
      </c>
      <c r="I1016" s="12">
        <v>0</v>
      </c>
      <c r="J1016" s="12">
        <v>0</v>
      </c>
      <c r="K1016" s="12">
        <v>0</v>
      </c>
      <c r="L1016" s="12">
        <v>0</v>
      </c>
      <c r="M1016" s="12">
        <v>0</v>
      </c>
      <c r="N1016" s="12">
        <v>0</v>
      </c>
      <c r="O1016" s="12">
        <v>1</v>
      </c>
      <c r="P1016" s="12">
        <v>0</v>
      </c>
      <c r="Q1016" s="12">
        <v>0</v>
      </c>
      <c r="R1016" s="12">
        <v>0</v>
      </c>
    </row>
    <row r="1017" spans="1:19" x14ac:dyDescent="0.25">
      <c r="A1017" s="13">
        <v>45973.75608796296</v>
      </c>
      <c r="B1017" t="s">
        <v>355</v>
      </c>
      <c r="C1017" t="s">
        <v>359</v>
      </c>
      <c r="D1017" t="s">
        <v>10</v>
      </c>
      <c r="E1017" t="s">
        <v>11</v>
      </c>
      <c r="F1017" t="s">
        <v>14</v>
      </c>
      <c r="G1017">
        <v>0.5</v>
      </c>
      <c r="H1017" s="12">
        <v>0</v>
      </c>
      <c r="I1017" s="12">
        <v>0</v>
      </c>
      <c r="J1017" s="12">
        <v>0</v>
      </c>
      <c r="K1017" s="12">
        <v>0</v>
      </c>
      <c r="L1017" s="12">
        <v>0</v>
      </c>
      <c r="M1017" s="12">
        <v>0</v>
      </c>
      <c r="N1017" s="12">
        <v>0</v>
      </c>
      <c r="O1017" s="12">
        <v>0</v>
      </c>
      <c r="P1017" s="12">
        <v>1</v>
      </c>
      <c r="Q1017" s="12">
        <v>0</v>
      </c>
      <c r="R1017" s="12">
        <v>0</v>
      </c>
    </row>
    <row r="1018" spans="1:19" x14ac:dyDescent="0.25">
      <c r="A1018" s="13">
        <v>45974.39502314815</v>
      </c>
      <c r="B1018" t="s">
        <v>352</v>
      </c>
      <c r="C1018" t="s">
        <v>360</v>
      </c>
      <c r="D1018" t="s">
        <v>10</v>
      </c>
      <c r="E1018" t="s">
        <v>11</v>
      </c>
      <c r="F1018" t="s">
        <v>15</v>
      </c>
      <c r="G1018">
        <v>3</v>
      </c>
      <c r="H1018" s="12">
        <v>0</v>
      </c>
      <c r="I1018" s="12">
        <v>0</v>
      </c>
      <c r="J1018" s="12">
        <v>0</v>
      </c>
      <c r="K1018" s="12">
        <v>0</v>
      </c>
      <c r="L1018" s="12">
        <v>0</v>
      </c>
      <c r="M1018" s="12">
        <v>0</v>
      </c>
      <c r="N1018" s="12">
        <v>0</v>
      </c>
      <c r="O1018" s="12">
        <v>0</v>
      </c>
      <c r="P1018" s="12">
        <v>1</v>
      </c>
      <c r="Q1018" s="12">
        <v>0</v>
      </c>
      <c r="R1018" s="12">
        <v>0</v>
      </c>
      <c r="S1018" t="s">
        <v>262</v>
      </c>
    </row>
    <row r="1019" spans="1:19" x14ac:dyDescent="0.25">
      <c r="A1019" s="13">
        <v>45974.396909722222</v>
      </c>
      <c r="B1019" t="s">
        <v>352</v>
      </c>
      <c r="C1019" t="s">
        <v>360</v>
      </c>
      <c r="D1019" t="s">
        <v>10</v>
      </c>
      <c r="E1019" t="s">
        <v>11</v>
      </c>
      <c r="F1019" t="s">
        <v>15</v>
      </c>
      <c r="G1019">
        <v>3</v>
      </c>
      <c r="H1019" s="12">
        <v>0</v>
      </c>
      <c r="I1019" s="12">
        <v>0</v>
      </c>
      <c r="J1019" s="12">
        <v>0</v>
      </c>
      <c r="K1019" s="12">
        <v>0</v>
      </c>
      <c r="L1019" s="12">
        <v>0</v>
      </c>
      <c r="M1019" s="12">
        <v>0</v>
      </c>
      <c r="N1019" s="12">
        <v>0</v>
      </c>
      <c r="O1019" s="12">
        <v>1</v>
      </c>
      <c r="P1019" s="12">
        <v>0</v>
      </c>
      <c r="Q1019" s="12">
        <v>0</v>
      </c>
      <c r="R1019" s="12">
        <v>0</v>
      </c>
    </row>
    <row r="1020" spans="1:19" x14ac:dyDescent="0.25">
      <c r="A1020" s="13">
        <v>45974.40824074074</v>
      </c>
      <c r="B1020" t="s">
        <v>352</v>
      </c>
      <c r="C1020" t="s">
        <v>360</v>
      </c>
      <c r="D1020" t="s">
        <v>10</v>
      </c>
      <c r="E1020" t="s">
        <v>11</v>
      </c>
      <c r="F1020" t="s">
        <v>14</v>
      </c>
      <c r="G1020">
        <v>0.5</v>
      </c>
      <c r="H1020" s="12">
        <v>0</v>
      </c>
      <c r="I1020" s="12">
        <v>0</v>
      </c>
      <c r="J1020" s="12">
        <v>0</v>
      </c>
      <c r="K1020" s="12">
        <v>0</v>
      </c>
      <c r="L1020" s="12">
        <v>0</v>
      </c>
      <c r="M1020" s="12">
        <v>0</v>
      </c>
      <c r="N1020" s="12">
        <v>0</v>
      </c>
      <c r="O1020" s="12">
        <v>0</v>
      </c>
      <c r="P1020" s="12">
        <v>0</v>
      </c>
      <c r="Q1020" s="12">
        <v>1</v>
      </c>
      <c r="R1020" s="12">
        <v>0</v>
      </c>
    </row>
    <row r="1021" spans="1:19" x14ac:dyDescent="0.25">
      <c r="A1021" s="13">
        <v>45974.408333333333</v>
      </c>
      <c r="B1021" t="s">
        <v>352</v>
      </c>
      <c r="C1021" t="s">
        <v>360</v>
      </c>
      <c r="D1021" t="s">
        <v>10</v>
      </c>
      <c r="E1021" t="s">
        <v>11</v>
      </c>
      <c r="F1021" t="s">
        <v>15</v>
      </c>
      <c r="G1021">
        <v>3</v>
      </c>
      <c r="H1021" s="12">
        <v>0</v>
      </c>
      <c r="I1021" s="12">
        <v>0</v>
      </c>
      <c r="J1021" s="12">
        <v>1</v>
      </c>
      <c r="K1021" s="12">
        <v>0</v>
      </c>
      <c r="L1021" s="12">
        <v>0</v>
      </c>
      <c r="M1021" s="12">
        <v>1</v>
      </c>
      <c r="N1021" s="12">
        <v>0</v>
      </c>
      <c r="O1021" s="12">
        <v>0</v>
      </c>
      <c r="P1021" s="12">
        <v>0</v>
      </c>
      <c r="Q1021" s="12">
        <v>0</v>
      </c>
      <c r="R1021" s="12">
        <v>0</v>
      </c>
    </row>
    <row r="1022" spans="1:19" x14ac:dyDescent="0.25">
      <c r="A1022" s="13">
        <v>45974.40861111111</v>
      </c>
      <c r="B1022" t="s">
        <v>352</v>
      </c>
      <c r="C1022" t="s">
        <v>360</v>
      </c>
      <c r="D1022" t="s">
        <v>10</v>
      </c>
      <c r="E1022" t="s">
        <v>11</v>
      </c>
      <c r="F1022" t="s">
        <v>12</v>
      </c>
      <c r="G1022">
        <v>10.5</v>
      </c>
      <c r="H1022" s="12">
        <v>0</v>
      </c>
      <c r="I1022" s="12">
        <v>0</v>
      </c>
      <c r="J1022" s="12">
        <v>0</v>
      </c>
      <c r="K1022" s="12">
        <v>0</v>
      </c>
      <c r="L1022" s="12">
        <v>0</v>
      </c>
      <c r="M1022" s="12">
        <v>0</v>
      </c>
      <c r="N1022" s="12">
        <v>0</v>
      </c>
      <c r="O1022" s="12">
        <v>0</v>
      </c>
      <c r="P1022" s="12">
        <v>1</v>
      </c>
      <c r="Q1022" s="12">
        <v>0</v>
      </c>
      <c r="R1022" s="12">
        <v>0</v>
      </c>
    </row>
    <row r="1023" spans="1:19" x14ac:dyDescent="0.25">
      <c r="A1023" s="13">
        <v>45974.453043981484</v>
      </c>
      <c r="B1023" t="s">
        <v>347</v>
      </c>
      <c r="C1023" t="s">
        <v>360</v>
      </c>
      <c r="D1023" t="s">
        <v>10</v>
      </c>
      <c r="E1023" t="s">
        <v>11</v>
      </c>
      <c r="F1023" t="s">
        <v>15</v>
      </c>
      <c r="G1023">
        <v>3</v>
      </c>
      <c r="H1023" s="12">
        <v>0</v>
      </c>
      <c r="I1023" s="12">
        <v>0</v>
      </c>
      <c r="J1023" s="12">
        <v>0</v>
      </c>
      <c r="K1023" s="12">
        <v>0</v>
      </c>
      <c r="L1023" s="12">
        <v>0</v>
      </c>
      <c r="M1023" s="12">
        <v>0</v>
      </c>
      <c r="N1023" s="12">
        <v>0</v>
      </c>
      <c r="O1023" s="12">
        <v>0</v>
      </c>
      <c r="P1023" s="12">
        <v>0</v>
      </c>
      <c r="Q1023" s="12">
        <v>0</v>
      </c>
      <c r="R1023" s="12">
        <v>1</v>
      </c>
      <c r="S1023" t="s">
        <v>263</v>
      </c>
    </row>
    <row r="1024" spans="1:19" x14ac:dyDescent="0.25">
      <c r="A1024" s="13">
        <v>45974.453182870369</v>
      </c>
      <c r="B1024" t="s">
        <v>347</v>
      </c>
      <c r="C1024" t="s">
        <v>360</v>
      </c>
      <c r="D1024" t="s">
        <v>10</v>
      </c>
      <c r="E1024" t="s">
        <v>11</v>
      </c>
      <c r="F1024" t="s">
        <v>12</v>
      </c>
      <c r="G1024">
        <v>10.5</v>
      </c>
      <c r="H1024" s="12">
        <v>0</v>
      </c>
      <c r="I1024" s="12">
        <v>0</v>
      </c>
      <c r="J1024" s="12">
        <v>0</v>
      </c>
      <c r="K1024" s="12">
        <v>0</v>
      </c>
      <c r="L1024" s="12">
        <v>0</v>
      </c>
      <c r="M1024" s="12">
        <v>1</v>
      </c>
      <c r="N1024" s="12">
        <v>0</v>
      </c>
      <c r="O1024" s="12">
        <v>0</v>
      </c>
      <c r="P1024" s="12">
        <v>0</v>
      </c>
      <c r="Q1024" s="12">
        <v>0</v>
      </c>
      <c r="R1024" s="12">
        <v>0</v>
      </c>
    </row>
    <row r="1025" spans="1:19" x14ac:dyDescent="0.25">
      <c r="A1025" s="13">
        <v>45974.453333333331</v>
      </c>
      <c r="B1025" t="s">
        <v>347</v>
      </c>
      <c r="C1025" t="s">
        <v>360</v>
      </c>
      <c r="D1025" t="s">
        <v>10</v>
      </c>
      <c r="E1025" t="s">
        <v>11</v>
      </c>
      <c r="F1025" t="s">
        <v>12</v>
      </c>
      <c r="G1025">
        <v>10.5</v>
      </c>
      <c r="H1025" s="12">
        <v>0</v>
      </c>
      <c r="I1025" s="12">
        <v>0</v>
      </c>
      <c r="J1025" s="12">
        <v>0</v>
      </c>
      <c r="K1025" s="12">
        <v>0</v>
      </c>
      <c r="L1025" s="12">
        <v>0</v>
      </c>
      <c r="M1025" s="12">
        <v>1</v>
      </c>
      <c r="N1025" s="12">
        <v>0</v>
      </c>
      <c r="O1025" s="12">
        <v>0</v>
      </c>
      <c r="P1025" s="12">
        <v>0</v>
      </c>
      <c r="Q1025" s="12">
        <v>0</v>
      </c>
      <c r="R1025" s="12">
        <v>0</v>
      </c>
    </row>
    <row r="1026" spans="1:19" x14ac:dyDescent="0.25">
      <c r="A1026" s="13">
        <v>45974.590081018519</v>
      </c>
      <c r="B1026" t="s">
        <v>348</v>
      </c>
      <c r="C1026" t="s">
        <v>360</v>
      </c>
      <c r="D1026" t="s">
        <v>10</v>
      </c>
      <c r="E1026" t="s">
        <v>11</v>
      </c>
      <c r="F1026" t="s">
        <v>14</v>
      </c>
      <c r="G1026">
        <v>0.5</v>
      </c>
      <c r="H1026" s="12">
        <v>0</v>
      </c>
      <c r="I1026" s="12">
        <v>0</v>
      </c>
      <c r="J1026" s="12">
        <v>0</v>
      </c>
      <c r="K1026" s="12">
        <v>0</v>
      </c>
      <c r="L1026" s="12">
        <v>0</v>
      </c>
      <c r="M1026" s="12">
        <v>0</v>
      </c>
      <c r="N1026" s="12">
        <v>0</v>
      </c>
      <c r="O1026" s="12">
        <v>0</v>
      </c>
      <c r="P1026" s="12">
        <v>0</v>
      </c>
      <c r="Q1026" s="12">
        <v>1</v>
      </c>
      <c r="R1026" s="12">
        <v>0</v>
      </c>
    </row>
    <row r="1027" spans="1:19" x14ac:dyDescent="0.25">
      <c r="A1027" s="13">
        <v>45974.592199074075</v>
      </c>
      <c r="B1027" t="s">
        <v>348</v>
      </c>
      <c r="C1027" t="s">
        <v>360</v>
      </c>
      <c r="D1027" t="s">
        <v>10</v>
      </c>
      <c r="E1027" t="s">
        <v>11</v>
      </c>
      <c r="F1027" t="s">
        <v>15</v>
      </c>
      <c r="G1027">
        <v>3</v>
      </c>
      <c r="H1027" s="12">
        <v>1</v>
      </c>
      <c r="I1027" s="12">
        <v>0</v>
      </c>
      <c r="J1027" s="12">
        <v>1</v>
      </c>
      <c r="K1027" s="12">
        <v>0</v>
      </c>
      <c r="L1027" s="12">
        <v>0</v>
      </c>
      <c r="M1027" s="12">
        <v>0</v>
      </c>
      <c r="N1027" s="12">
        <v>0</v>
      </c>
      <c r="O1027" s="12">
        <v>0</v>
      </c>
      <c r="P1027" s="12">
        <v>0</v>
      </c>
      <c r="Q1027" s="12">
        <v>0</v>
      </c>
      <c r="R1027" s="12">
        <v>0</v>
      </c>
    </row>
    <row r="1028" spans="1:19" x14ac:dyDescent="0.25">
      <c r="A1028" s="13">
        <v>45974.604861111111</v>
      </c>
      <c r="B1028" t="s">
        <v>348</v>
      </c>
      <c r="C1028" t="s">
        <v>360</v>
      </c>
      <c r="D1028" t="s">
        <v>10</v>
      </c>
      <c r="E1028" t="s">
        <v>11</v>
      </c>
      <c r="F1028" t="s">
        <v>15</v>
      </c>
      <c r="G1028">
        <v>3</v>
      </c>
      <c r="H1028" s="12">
        <v>1</v>
      </c>
      <c r="I1028" s="12">
        <v>0</v>
      </c>
      <c r="J1028" s="12">
        <v>0</v>
      </c>
      <c r="K1028" s="12">
        <v>0</v>
      </c>
      <c r="L1028" s="12">
        <v>0</v>
      </c>
      <c r="M1028" s="12">
        <v>1</v>
      </c>
      <c r="N1028" s="12">
        <v>0</v>
      </c>
      <c r="O1028" s="12">
        <v>0</v>
      </c>
      <c r="P1028" s="12">
        <v>0</v>
      </c>
      <c r="Q1028" s="12">
        <v>0</v>
      </c>
      <c r="R1028" s="12">
        <v>0</v>
      </c>
    </row>
    <row r="1029" spans="1:19" x14ac:dyDescent="0.25">
      <c r="A1029" s="13">
        <v>45974.613020833334</v>
      </c>
      <c r="B1029" t="s">
        <v>348</v>
      </c>
      <c r="C1029" t="s">
        <v>360</v>
      </c>
      <c r="D1029" t="s">
        <v>10</v>
      </c>
      <c r="E1029" t="s">
        <v>11</v>
      </c>
      <c r="F1029" t="s">
        <v>15</v>
      </c>
      <c r="G1029">
        <v>3</v>
      </c>
      <c r="H1029" s="12">
        <v>1</v>
      </c>
      <c r="I1029" s="12">
        <v>0</v>
      </c>
      <c r="J1029" s="12">
        <v>1</v>
      </c>
      <c r="K1029" s="12">
        <v>0</v>
      </c>
      <c r="L1029" s="12">
        <v>0</v>
      </c>
      <c r="M1029" s="12">
        <v>1</v>
      </c>
      <c r="N1029" s="12">
        <v>0</v>
      </c>
      <c r="O1029" s="12">
        <v>0</v>
      </c>
      <c r="P1029" s="12">
        <v>0</v>
      </c>
      <c r="Q1029" s="12">
        <v>0</v>
      </c>
      <c r="R1029" s="12">
        <v>0</v>
      </c>
    </row>
    <row r="1030" spans="1:19" x14ac:dyDescent="0.25">
      <c r="A1030" s="13">
        <v>45974.619884259257</v>
      </c>
      <c r="B1030" t="s">
        <v>348</v>
      </c>
      <c r="C1030" t="s">
        <v>360</v>
      </c>
      <c r="D1030" t="s">
        <v>10</v>
      </c>
      <c r="E1030" t="s">
        <v>11</v>
      </c>
      <c r="F1030" t="s">
        <v>14</v>
      </c>
      <c r="G1030">
        <v>0.5</v>
      </c>
      <c r="H1030" s="12">
        <v>0</v>
      </c>
      <c r="I1030" s="12">
        <v>0</v>
      </c>
      <c r="J1030" s="12">
        <v>0</v>
      </c>
      <c r="K1030" s="12">
        <v>0</v>
      </c>
      <c r="L1030" s="12">
        <v>0</v>
      </c>
      <c r="M1030" s="12">
        <v>0</v>
      </c>
      <c r="N1030" s="12">
        <v>0</v>
      </c>
      <c r="O1030" s="12">
        <v>0</v>
      </c>
      <c r="P1030" s="12">
        <v>0</v>
      </c>
      <c r="Q1030" s="12">
        <v>0</v>
      </c>
      <c r="R1030" s="12">
        <v>1</v>
      </c>
      <c r="S1030" t="s">
        <v>264</v>
      </c>
    </row>
    <row r="1031" spans="1:19" x14ac:dyDescent="0.25">
      <c r="A1031" s="13">
        <v>45974.746759259258</v>
      </c>
      <c r="B1031" t="s">
        <v>355</v>
      </c>
      <c r="C1031" t="s">
        <v>360</v>
      </c>
      <c r="D1031" t="s">
        <v>20</v>
      </c>
      <c r="E1031" t="s">
        <v>11</v>
      </c>
      <c r="F1031" t="s">
        <v>12</v>
      </c>
      <c r="G1031">
        <v>10.5</v>
      </c>
      <c r="H1031" s="12">
        <v>1</v>
      </c>
      <c r="I1031" s="12">
        <v>0</v>
      </c>
      <c r="J1031" s="12">
        <v>1</v>
      </c>
      <c r="K1031" s="12">
        <v>0</v>
      </c>
      <c r="L1031" s="12">
        <v>0</v>
      </c>
      <c r="M1031" s="12">
        <v>0</v>
      </c>
      <c r="N1031" s="12">
        <v>0</v>
      </c>
      <c r="O1031" s="12">
        <v>0</v>
      </c>
      <c r="P1031" s="12">
        <v>0</v>
      </c>
      <c r="Q1031" s="12">
        <v>1</v>
      </c>
      <c r="R1031" s="12">
        <v>0</v>
      </c>
    </row>
    <row r="1032" spans="1:19" x14ac:dyDescent="0.25">
      <c r="A1032" s="13">
        <v>45974.746874999997</v>
      </c>
      <c r="B1032" t="s">
        <v>355</v>
      </c>
      <c r="C1032" t="s">
        <v>360</v>
      </c>
      <c r="D1032" t="s">
        <v>10</v>
      </c>
      <c r="E1032" t="s">
        <v>11</v>
      </c>
      <c r="F1032" t="s">
        <v>15</v>
      </c>
      <c r="G1032">
        <v>3</v>
      </c>
      <c r="H1032" s="12">
        <v>1</v>
      </c>
      <c r="I1032" s="12">
        <v>0</v>
      </c>
      <c r="J1032" s="12">
        <v>1</v>
      </c>
      <c r="K1032" s="12">
        <v>0</v>
      </c>
      <c r="L1032" s="12">
        <v>0</v>
      </c>
      <c r="M1032" s="12">
        <v>0</v>
      </c>
      <c r="N1032" s="12">
        <v>0</v>
      </c>
      <c r="O1032" s="12">
        <v>0</v>
      </c>
      <c r="P1032" s="12">
        <v>0</v>
      </c>
      <c r="Q1032" s="12">
        <v>0</v>
      </c>
      <c r="R1032" s="12">
        <v>0</v>
      </c>
    </row>
    <row r="1033" spans="1:19" x14ac:dyDescent="0.25">
      <c r="A1033" s="13">
        <v>45974.746944444443</v>
      </c>
      <c r="B1033" t="s">
        <v>355</v>
      </c>
      <c r="C1033" t="s">
        <v>360</v>
      </c>
      <c r="D1033" t="s">
        <v>10</v>
      </c>
      <c r="E1033" t="s">
        <v>11</v>
      </c>
      <c r="F1033" t="s">
        <v>14</v>
      </c>
      <c r="G1033">
        <v>0.5</v>
      </c>
      <c r="H1033" s="12">
        <v>0</v>
      </c>
      <c r="I1033" s="12">
        <v>0</v>
      </c>
      <c r="J1033" s="12">
        <v>0</v>
      </c>
      <c r="K1033" s="12">
        <v>0</v>
      </c>
      <c r="L1033" s="12">
        <v>0</v>
      </c>
      <c r="M1033" s="12">
        <v>0</v>
      </c>
      <c r="N1033" s="12">
        <v>0</v>
      </c>
      <c r="O1033" s="12">
        <v>0</v>
      </c>
      <c r="P1033" s="12">
        <v>0</v>
      </c>
      <c r="Q1033" s="12">
        <v>1</v>
      </c>
      <c r="R1033" s="12">
        <v>0</v>
      </c>
    </row>
    <row r="1034" spans="1:19" x14ac:dyDescent="0.25">
      <c r="A1034" s="13">
        <v>45974.747013888889</v>
      </c>
      <c r="B1034" t="s">
        <v>355</v>
      </c>
      <c r="C1034" t="s">
        <v>360</v>
      </c>
      <c r="D1034" t="s">
        <v>10</v>
      </c>
      <c r="E1034" t="s">
        <v>11</v>
      </c>
      <c r="F1034" t="s">
        <v>14</v>
      </c>
      <c r="G1034">
        <v>0.5</v>
      </c>
      <c r="H1034" s="12">
        <v>0</v>
      </c>
      <c r="I1034" s="12">
        <v>0</v>
      </c>
      <c r="J1034" s="12">
        <v>0</v>
      </c>
      <c r="K1034" s="12">
        <v>0</v>
      </c>
      <c r="L1034" s="12">
        <v>0</v>
      </c>
      <c r="M1034" s="12">
        <v>0</v>
      </c>
      <c r="N1034" s="12">
        <v>0</v>
      </c>
      <c r="O1034" s="12">
        <v>0</v>
      </c>
      <c r="P1034" s="12">
        <v>0</v>
      </c>
      <c r="Q1034" s="12">
        <v>0</v>
      </c>
      <c r="R1034" s="12">
        <v>1</v>
      </c>
    </row>
    <row r="1035" spans="1:19" x14ac:dyDescent="0.25">
      <c r="A1035" s="13">
        <v>45974.747129629628</v>
      </c>
      <c r="B1035" t="s">
        <v>355</v>
      </c>
      <c r="C1035" t="s">
        <v>360</v>
      </c>
      <c r="D1035" t="s">
        <v>10</v>
      </c>
      <c r="E1035" t="s">
        <v>11</v>
      </c>
      <c r="F1035" t="s">
        <v>14</v>
      </c>
      <c r="G1035">
        <v>0.5</v>
      </c>
      <c r="H1035" s="12">
        <v>0</v>
      </c>
      <c r="I1035" s="12">
        <v>0</v>
      </c>
      <c r="J1035" s="12">
        <v>0</v>
      </c>
      <c r="K1035" s="12">
        <v>0</v>
      </c>
      <c r="L1035" s="12">
        <v>0</v>
      </c>
      <c r="M1035" s="12">
        <v>0</v>
      </c>
      <c r="N1035" s="12">
        <v>0</v>
      </c>
      <c r="O1035" s="12">
        <v>1</v>
      </c>
      <c r="P1035" s="12">
        <v>0</v>
      </c>
      <c r="Q1035" s="12">
        <v>0</v>
      </c>
      <c r="R1035" s="12">
        <v>0</v>
      </c>
    </row>
    <row r="1036" spans="1:19" x14ac:dyDescent="0.25">
      <c r="A1036" s="13">
        <v>45975.405532407407</v>
      </c>
      <c r="B1036" t="s">
        <v>352</v>
      </c>
      <c r="C1036" t="s">
        <v>361</v>
      </c>
      <c r="D1036" t="s">
        <v>10</v>
      </c>
      <c r="E1036" t="s">
        <v>11</v>
      </c>
      <c r="F1036" t="s">
        <v>14</v>
      </c>
      <c r="G1036">
        <v>0.5</v>
      </c>
      <c r="H1036" s="12">
        <v>0</v>
      </c>
      <c r="I1036" s="12">
        <v>0</v>
      </c>
      <c r="J1036" s="12">
        <v>0</v>
      </c>
      <c r="K1036" s="12">
        <v>0</v>
      </c>
      <c r="L1036" s="12">
        <v>0</v>
      </c>
      <c r="M1036" s="12">
        <v>0</v>
      </c>
      <c r="N1036" s="12">
        <v>0</v>
      </c>
      <c r="O1036" s="12">
        <v>0</v>
      </c>
      <c r="P1036" s="12">
        <v>0</v>
      </c>
      <c r="Q1036" s="12">
        <v>1</v>
      </c>
      <c r="R1036" s="12">
        <v>0</v>
      </c>
    </row>
    <row r="1037" spans="1:19" x14ac:dyDescent="0.25">
      <c r="A1037" s="13">
        <v>45975.509375000001</v>
      </c>
      <c r="B1037" t="s">
        <v>350</v>
      </c>
      <c r="C1037" t="s">
        <v>361</v>
      </c>
      <c r="D1037" t="s">
        <v>10</v>
      </c>
      <c r="E1037" t="s">
        <v>11</v>
      </c>
      <c r="F1037" t="s">
        <v>15</v>
      </c>
      <c r="G1037">
        <v>3</v>
      </c>
      <c r="H1037" s="12">
        <v>0</v>
      </c>
      <c r="I1037" s="12">
        <v>0</v>
      </c>
      <c r="J1037" s="12">
        <v>0</v>
      </c>
      <c r="K1037" s="12">
        <v>0</v>
      </c>
      <c r="L1037" s="12">
        <v>0</v>
      </c>
      <c r="M1037" s="12">
        <v>0</v>
      </c>
      <c r="N1037" s="12">
        <v>0</v>
      </c>
      <c r="O1037" s="12">
        <v>0</v>
      </c>
      <c r="P1037" s="12">
        <v>1</v>
      </c>
      <c r="Q1037" s="12">
        <v>0</v>
      </c>
      <c r="R1037" s="12">
        <v>0</v>
      </c>
    </row>
    <row r="1038" spans="1:19" x14ac:dyDescent="0.25">
      <c r="A1038" s="13">
        <v>45975.50949074074</v>
      </c>
      <c r="B1038" t="s">
        <v>350</v>
      </c>
      <c r="C1038" t="s">
        <v>361</v>
      </c>
      <c r="D1038" t="s">
        <v>10</v>
      </c>
      <c r="E1038" t="s">
        <v>11</v>
      </c>
      <c r="F1038" t="s">
        <v>14</v>
      </c>
      <c r="G1038">
        <v>0.5</v>
      </c>
      <c r="H1038" s="12">
        <v>0</v>
      </c>
      <c r="I1038" s="12">
        <v>0</v>
      </c>
      <c r="J1038" s="12">
        <v>0</v>
      </c>
      <c r="K1038" s="12">
        <v>0</v>
      </c>
      <c r="L1038" s="12">
        <v>0</v>
      </c>
      <c r="M1038" s="12">
        <v>0</v>
      </c>
      <c r="N1038" s="12">
        <v>0</v>
      </c>
      <c r="O1038" s="12">
        <v>0</v>
      </c>
      <c r="P1038" s="12">
        <v>1</v>
      </c>
      <c r="Q1038" s="12">
        <v>0</v>
      </c>
      <c r="R1038" s="12">
        <v>0</v>
      </c>
    </row>
    <row r="1039" spans="1:19" x14ac:dyDescent="0.25">
      <c r="A1039" s="13">
        <v>45975.578136574077</v>
      </c>
      <c r="B1039" t="s">
        <v>351</v>
      </c>
      <c r="C1039" t="s">
        <v>361</v>
      </c>
      <c r="D1039" t="s">
        <v>10</v>
      </c>
      <c r="E1039" t="s">
        <v>11</v>
      </c>
      <c r="F1039" t="s">
        <v>12</v>
      </c>
      <c r="G1039">
        <v>10.5</v>
      </c>
      <c r="H1039" s="12">
        <v>0</v>
      </c>
      <c r="I1039" s="12">
        <v>0</v>
      </c>
      <c r="J1039" s="12">
        <v>0</v>
      </c>
      <c r="K1039" s="12">
        <v>0</v>
      </c>
      <c r="L1039" s="12">
        <v>1</v>
      </c>
      <c r="M1039" s="12">
        <v>0</v>
      </c>
      <c r="N1039" s="12">
        <v>0</v>
      </c>
      <c r="O1039" s="12">
        <v>0</v>
      </c>
      <c r="P1039" s="12">
        <v>0</v>
      </c>
      <c r="Q1039" s="12">
        <v>0</v>
      </c>
      <c r="R1039" s="12">
        <v>0</v>
      </c>
    </row>
    <row r="1040" spans="1:19" x14ac:dyDescent="0.25">
      <c r="A1040" s="13">
        <v>45975.593564814815</v>
      </c>
      <c r="B1040" t="s">
        <v>348</v>
      </c>
      <c r="C1040" t="s">
        <v>361</v>
      </c>
      <c r="D1040" t="s">
        <v>10</v>
      </c>
      <c r="E1040" t="s">
        <v>11</v>
      </c>
      <c r="F1040" t="s">
        <v>12</v>
      </c>
      <c r="G1040">
        <v>10.5</v>
      </c>
      <c r="H1040" s="12">
        <v>1</v>
      </c>
      <c r="I1040" s="12">
        <v>0</v>
      </c>
      <c r="J1040" s="12">
        <v>1</v>
      </c>
      <c r="K1040" s="12">
        <v>0</v>
      </c>
      <c r="L1040" s="12">
        <v>0</v>
      </c>
      <c r="M1040" s="12">
        <v>0</v>
      </c>
      <c r="N1040" s="12">
        <v>0</v>
      </c>
      <c r="O1040" s="12">
        <v>0</v>
      </c>
      <c r="P1040" s="12">
        <v>0</v>
      </c>
      <c r="Q1040" s="12">
        <v>0</v>
      </c>
      <c r="R1040" s="12">
        <v>0</v>
      </c>
    </row>
    <row r="1041" spans="1:19" x14ac:dyDescent="0.25">
      <c r="A1041" s="13">
        <v>45975.595405092594</v>
      </c>
      <c r="B1041" t="s">
        <v>348</v>
      </c>
      <c r="C1041" t="s">
        <v>361</v>
      </c>
      <c r="D1041" t="s">
        <v>10</v>
      </c>
      <c r="E1041" t="s">
        <v>11</v>
      </c>
      <c r="F1041" t="s">
        <v>14</v>
      </c>
      <c r="G1041">
        <v>0.5</v>
      </c>
      <c r="H1041" s="12">
        <v>0</v>
      </c>
      <c r="I1041" s="12">
        <v>0</v>
      </c>
      <c r="J1041" s="12">
        <v>0</v>
      </c>
      <c r="K1041" s="12">
        <v>0</v>
      </c>
      <c r="L1041" s="12">
        <v>0</v>
      </c>
      <c r="M1041" s="12">
        <v>0</v>
      </c>
      <c r="N1041" s="12">
        <v>0</v>
      </c>
      <c r="O1041" s="12">
        <v>0</v>
      </c>
      <c r="P1041" s="12">
        <v>0</v>
      </c>
      <c r="Q1041" s="12">
        <v>1</v>
      </c>
      <c r="R1041" s="12">
        <v>0</v>
      </c>
      <c r="S1041" t="s">
        <v>265</v>
      </c>
    </row>
    <row r="1042" spans="1:19" x14ac:dyDescent="0.25">
      <c r="A1042" s="13">
        <v>45975.642511574071</v>
      </c>
      <c r="B1042" t="s">
        <v>349</v>
      </c>
      <c r="C1042" t="s">
        <v>361</v>
      </c>
      <c r="D1042" t="s">
        <v>10</v>
      </c>
      <c r="E1042" t="s">
        <v>11</v>
      </c>
      <c r="F1042" t="s">
        <v>12</v>
      </c>
      <c r="G1042">
        <v>10.5</v>
      </c>
      <c r="H1042" s="12">
        <v>0</v>
      </c>
      <c r="I1042" s="12">
        <v>0</v>
      </c>
      <c r="J1042" s="12">
        <v>0</v>
      </c>
      <c r="K1042" s="12">
        <v>0</v>
      </c>
      <c r="L1042" s="12">
        <v>1</v>
      </c>
      <c r="M1042" s="12">
        <v>0</v>
      </c>
      <c r="N1042" s="12">
        <v>0</v>
      </c>
      <c r="O1042" s="12">
        <v>0</v>
      </c>
      <c r="P1042" s="12">
        <v>0</v>
      </c>
      <c r="Q1042" s="12">
        <v>0</v>
      </c>
      <c r="R1042" s="12">
        <v>0</v>
      </c>
    </row>
    <row r="1043" spans="1:19" x14ac:dyDescent="0.25">
      <c r="A1043" s="13">
        <v>45975.642604166664</v>
      </c>
      <c r="B1043" t="s">
        <v>349</v>
      </c>
      <c r="C1043" t="s">
        <v>361</v>
      </c>
      <c r="D1043" t="s">
        <v>10</v>
      </c>
      <c r="E1043" t="s">
        <v>11</v>
      </c>
      <c r="F1043" t="s">
        <v>15</v>
      </c>
      <c r="G1043">
        <v>3</v>
      </c>
      <c r="H1043" s="12">
        <v>0</v>
      </c>
      <c r="I1043" s="12">
        <v>0</v>
      </c>
      <c r="J1043" s="12">
        <v>0</v>
      </c>
      <c r="K1043" s="12">
        <v>0</v>
      </c>
      <c r="L1043" s="12">
        <v>0</v>
      </c>
      <c r="M1043" s="12">
        <v>0</v>
      </c>
      <c r="N1043" s="12">
        <v>1</v>
      </c>
      <c r="O1043" s="12">
        <v>0</v>
      </c>
      <c r="P1043" s="12">
        <v>0</v>
      </c>
      <c r="Q1043" s="12">
        <v>0</v>
      </c>
      <c r="R1043" s="12">
        <v>0</v>
      </c>
    </row>
    <row r="1044" spans="1:19" x14ac:dyDescent="0.25">
      <c r="A1044" s="13">
        <v>45975.642708333333</v>
      </c>
      <c r="B1044" t="s">
        <v>349</v>
      </c>
      <c r="C1044" t="s">
        <v>361</v>
      </c>
      <c r="D1044" t="s">
        <v>10</v>
      </c>
      <c r="E1044" t="s">
        <v>11</v>
      </c>
      <c r="F1044" t="s">
        <v>15</v>
      </c>
      <c r="G1044">
        <v>3</v>
      </c>
      <c r="H1044" s="12">
        <v>1</v>
      </c>
      <c r="I1044" s="12">
        <v>0</v>
      </c>
      <c r="J1044" s="12">
        <v>1</v>
      </c>
      <c r="K1044" s="12">
        <v>0</v>
      </c>
      <c r="L1044" s="12">
        <v>0</v>
      </c>
      <c r="M1044" s="12">
        <v>0</v>
      </c>
      <c r="N1044" s="12">
        <v>0</v>
      </c>
      <c r="O1044" s="12">
        <v>0</v>
      </c>
      <c r="P1044" s="12">
        <v>0</v>
      </c>
      <c r="Q1044" s="12">
        <v>0</v>
      </c>
      <c r="R1044" s="12">
        <v>0</v>
      </c>
    </row>
    <row r="1045" spans="1:19" x14ac:dyDescent="0.25">
      <c r="A1045" s="13">
        <v>45978.40730324074</v>
      </c>
      <c r="B1045" t="s">
        <v>352</v>
      </c>
      <c r="C1045" t="s">
        <v>363</v>
      </c>
      <c r="D1045" t="s">
        <v>10</v>
      </c>
      <c r="E1045" t="s">
        <v>11</v>
      </c>
      <c r="F1045" t="s">
        <v>15</v>
      </c>
      <c r="G1045">
        <v>3</v>
      </c>
      <c r="H1045" s="12">
        <v>0</v>
      </c>
      <c r="I1045" s="12">
        <v>0</v>
      </c>
      <c r="J1045" s="12">
        <v>0</v>
      </c>
      <c r="K1045" s="12">
        <v>0</v>
      </c>
      <c r="L1045" s="12">
        <v>0</v>
      </c>
      <c r="M1045" s="12">
        <v>0</v>
      </c>
      <c r="N1045" s="12">
        <v>1</v>
      </c>
      <c r="O1045" s="12">
        <v>0</v>
      </c>
      <c r="P1045" s="12">
        <v>0</v>
      </c>
      <c r="Q1045" s="12">
        <v>0</v>
      </c>
      <c r="R1045" s="12">
        <v>0</v>
      </c>
    </row>
    <row r="1046" spans="1:19" x14ac:dyDescent="0.25">
      <c r="A1046" s="13">
        <v>45978.407372685186</v>
      </c>
      <c r="B1046" t="s">
        <v>352</v>
      </c>
      <c r="C1046" t="s">
        <v>363</v>
      </c>
      <c r="D1046" t="s">
        <v>10</v>
      </c>
      <c r="E1046" t="s">
        <v>11</v>
      </c>
      <c r="F1046" t="s">
        <v>15</v>
      </c>
      <c r="G1046">
        <v>3</v>
      </c>
      <c r="H1046" s="12">
        <v>0</v>
      </c>
      <c r="I1046" s="12">
        <v>0</v>
      </c>
      <c r="J1046" s="12">
        <v>0</v>
      </c>
      <c r="K1046" s="12">
        <v>0</v>
      </c>
      <c r="L1046" s="12">
        <v>0</v>
      </c>
      <c r="M1046" s="12">
        <v>0</v>
      </c>
      <c r="N1046" s="12">
        <v>1</v>
      </c>
      <c r="O1046" s="12">
        <v>0</v>
      </c>
      <c r="P1046" s="12">
        <v>0</v>
      </c>
      <c r="Q1046" s="12">
        <v>0</v>
      </c>
      <c r="R1046" s="12">
        <v>0</v>
      </c>
    </row>
    <row r="1047" spans="1:19" x14ac:dyDescent="0.25">
      <c r="A1047" s="13">
        <v>45978.407604166663</v>
      </c>
      <c r="B1047" t="s">
        <v>352</v>
      </c>
      <c r="C1047" t="s">
        <v>363</v>
      </c>
      <c r="D1047" t="s">
        <v>10</v>
      </c>
      <c r="E1047" t="s">
        <v>11</v>
      </c>
      <c r="F1047" t="s">
        <v>15</v>
      </c>
      <c r="G1047">
        <v>3</v>
      </c>
      <c r="H1047" s="12">
        <v>0</v>
      </c>
      <c r="I1047" s="12">
        <v>0</v>
      </c>
      <c r="J1047" s="12">
        <v>0</v>
      </c>
      <c r="K1047" s="12">
        <v>0</v>
      </c>
      <c r="L1047" s="12">
        <v>0</v>
      </c>
      <c r="M1047" s="12">
        <v>0</v>
      </c>
      <c r="N1047" s="12">
        <v>0</v>
      </c>
      <c r="O1047" s="12">
        <v>0</v>
      </c>
      <c r="P1047" s="12">
        <v>1</v>
      </c>
      <c r="Q1047" s="12">
        <v>0</v>
      </c>
      <c r="R1047" s="12">
        <v>0</v>
      </c>
    </row>
    <row r="1048" spans="1:19" x14ac:dyDescent="0.25">
      <c r="A1048" s="13">
        <v>45978.417743055557</v>
      </c>
      <c r="B1048" t="s">
        <v>347</v>
      </c>
      <c r="C1048" t="s">
        <v>363</v>
      </c>
      <c r="D1048" t="s">
        <v>10</v>
      </c>
      <c r="E1048" t="s">
        <v>11</v>
      </c>
      <c r="F1048" t="s">
        <v>15</v>
      </c>
      <c r="G1048">
        <v>3</v>
      </c>
      <c r="H1048" s="12">
        <v>1</v>
      </c>
      <c r="I1048" s="12">
        <v>0</v>
      </c>
      <c r="J1048" s="12">
        <v>1</v>
      </c>
      <c r="K1048" s="12">
        <v>0</v>
      </c>
      <c r="L1048" s="12">
        <v>0</v>
      </c>
      <c r="M1048" s="12">
        <v>0</v>
      </c>
      <c r="N1048" s="12">
        <v>0</v>
      </c>
      <c r="O1048" s="12">
        <v>0</v>
      </c>
      <c r="P1048" s="12">
        <v>0</v>
      </c>
      <c r="Q1048" s="12">
        <v>0</v>
      </c>
      <c r="R1048" s="12">
        <v>0</v>
      </c>
      <c r="S1048" t="s">
        <v>266</v>
      </c>
    </row>
    <row r="1049" spans="1:19" x14ac:dyDescent="0.25">
      <c r="A1049" s="13">
        <v>45978.440949074073</v>
      </c>
      <c r="B1049" t="s">
        <v>347</v>
      </c>
      <c r="C1049" t="s">
        <v>363</v>
      </c>
      <c r="D1049" t="s">
        <v>10</v>
      </c>
      <c r="E1049" t="s">
        <v>11</v>
      </c>
      <c r="F1049" t="s">
        <v>15</v>
      </c>
      <c r="G1049">
        <v>3</v>
      </c>
      <c r="H1049" s="12">
        <v>0</v>
      </c>
      <c r="I1049" s="12">
        <v>0</v>
      </c>
      <c r="J1049" s="12">
        <v>0</v>
      </c>
      <c r="K1049" s="12">
        <v>0</v>
      </c>
      <c r="L1049" s="12">
        <v>0</v>
      </c>
      <c r="M1049" s="12">
        <v>0</v>
      </c>
      <c r="N1049" s="12">
        <v>0</v>
      </c>
      <c r="O1049" s="12">
        <v>0</v>
      </c>
      <c r="P1049" s="12">
        <v>0</v>
      </c>
      <c r="Q1049" s="12">
        <v>0</v>
      </c>
      <c r="R1049" s="12">
        <v>1</v>
      </c>
      <c r="S1049" t="s">
        <v>267</v>
      </c>
    </row>
    <row r="1050" spans="1:19" x14ac:dyDescent="0.25">
      <c r="A1050" s="13">
        <v>45978.542893518519</v>
      </c>
      <c r="B1050" t="s">
        <v>351</v>
      </c>
      <c r="C1050" t="s">
        <v>363</v>
      </c>
      <c r="D1050" t="s">
        <v>10</v>
      </c>
      <c r="E1050" t="s">
        <v>11</v>
      </c>
      <c r="F1050" t="s">
        <v>12</v>
      </c>
      <c r="G1050">
        <v>10.5</v>
      </c>
      <c r="H1050" s="12">
        <v>1</v>
      </c>
      <c r="I1050" s="12">
        <v>0</v>
      </c>
      <c r="J1050" s="12">
        <v>0</v>
      </c>
      <c r="K1050" s="12">
        <v>0</v>
      </c>
      <c r="L1050" s="12">
        <v>0</v>
      </c>
      <c r="M1050" s="12">
        <v>0</v>
      </c>
      <c r="N1050" s="12">
        <v>0</v>
      </c>
      <c r="O1050" s="12">
        <v>0</v>
      </c>
      <c r="P1050" s="12">
        <v>0</v>
      </c>
      <c r="Q1050" s="12">
        <v>0</v>
      </c>
      <c r="R1050" s="12">
        <v>0</v>
      </c>
    </row>
    <row r="1051" spans="1:19" x14ac:dyDescent="0.25">
      <c r="A1051" s="13">
        <v>45978.543067129627</v>
      </c>
      <c r="B1051" t="s">
        <v>351</v>
      </c>
      <c r="C1051" t="s">
        <v>363</v>
      </c>
      <c r="D1051" t="s">
        <v>10</v>
      </c>
      <c r="E1051" t="s">
        <v>11</v>
      </c>
      <c r="F1051" t="s">
        <v>12</v>
      </c>
      <c r="G1051">
        <v>10.5</v>
      </c>
      <c r="H1051" s="12">
        <v>0</v>
      </c>
      <c r="I1051" s="12">
        <v>0</v>
      </c>
      <c r="J1051" s="12">
        <v>0</v>
      </c>
      <c r="K1051" s="12">
        <v>0</v>
      </c>
      <c r="L1051" s="12">
        <v>1</v>
      </c>
      <c r="M1051" s="12">
        <v>0</v>
      </c>
      <c r="N1051" s="12">
        <v>0</v>
      </c>
      <c r="O1051" s="12">
        <v>0</v>
      </c>
      <c r="P1051" s="12">
        <v>0</v>
      </c>
      <c r="Q1051" s="12">
        <v>0</v>
      </c>
      <c r="R1051" s="12">
        <v>0</v>
      </c>
    </row>
    <row r="1052" spans="1:19" x14ac:dyDescent="0.25">
      <c r="A1052" s="13">
        <v>45978.561006944445</v>
      </c>
      <c r="B1052" t="s">
        <v>351</v>
      </c>
      <c r="C1052" t="s">
        <v>363</v>
      </c>
      <c r="D1052" t="s">
        <v>10</v>
      </c>
      <c r="E1052" t="s">
        <v>11</v>
      </c>
      <c r="F1052" t="s">
        <v>12</v>
      </c>
      <c r="G1052">
        <v>10.5</v>
      </c>
      <c r="H1052" s="12">
        <v>0</v>
      </c>
      <c r="I1052" s="12">
        <v>0</v>
      </c>
      <c r="J1052" s="12">
        <v>0</v>
      </c>
      <c r="K1052" s="12">
        <v>0</v>
      </c>
      <c r="L1052" s="12">
        <v>1</v>
      </c>
      <c r="M1052" s="12">
        <v>0</v>
      </c>
      <c r="N1052" s="12">
        <v>0</v>
      </c>
      <c r="O1052" s="12">
        <v>0</v>
      </c>
      <c r="P1052" s="12">
        <v>0</v>
      </c>
      <c r="Q1052" s="12">
        <v>0</v>
      </c>
      <c r="R1052" s="12">
        <v>0</v>
      </c>
    </row>
    <row r="1053" spans="1:19" x14ac:dyDescent="0.25">
      <c r="A1053" s="13">
        <v>45978.583865740744</v>
      </c>
      <c r="B1053" t="s">
        <v>348</v>
      </c>
      <c r="C1053" t="s">
        <v>363</v>
      </c>
      <c r="D1053" t="s">
        <v>20</v>
      </c>
      <c r="E1053" t="s">
        <v>11</v>
      </c>
      <c r="F1053" t="s">
        <v>18</v>
      </c>
      <c r="G1053">
        <v>20</v>
      </c>
      <c r="H1053" s="12">
        <v>0</v>
      </c>
      <c r="I1053" s="12">
        <v>0</v>
      </c>
      <c r="J1053" s="12">
        <v>0</v>
      </c>
      <c r="K1053" s="12">
        <v>0</v>
      </c>
      <c r="L1053" s="12">
        <v>0</v>
      </c>
      <c r="M1053" s="12">
        <v>0</v>
      </c>
      <c r="N1053" s="12">
        <v>0</v>
      </c>
      <c r="O1053" s="12">
        <v>0</v>
      </c>
      <c r="P1053" s="12">
        <v>0</v>
      </c>
      <c r="Q1053" s="12">
        <v>0</v>
      </c>
      <c r="R1053" s="12">
        <v>1</v>
      </c>
      <c r="S1053" t="s">
        <v>268</v>
      </c>
    </row>
    <row r="1054" spans="1:19" x14ac:dyDescent="0.25">
      <c r="A1054" s="13">
        <v>45978.588171296295</v>
      </c>
      <c r="B1054" t="s">
        <v>348</v>
      </c>
      <c r="C1054" t="s">
        <v>363</v>
      </c>
      <c r="D1054" t="s">
        <v>10</v>
      </c>
      <c r="E1054" t="s">
        <v>11</v>
      </c>
      <c r="F1054" t="s">
        <v>15</v>
      </c>
      <c r="G1054">
        <v>3</v>
      </c>
      <c r="H1054" s="12">
        <v>0</v>
      </c>
      <c r="I1054" s="12">
        <v>0</v>
      </c>
      <c r="J1054" s="12">
        <v>0</v>
      </c>
      <c r="K1054" s="12">
        <v>0</v>
      </c>
      <c r="L1054" s="12">
        <v>0</v>
      </c>
      <c r="M1054" s="12">
        <v>0</v>
      </c>
      <c r="N1054" s="12">
        <v>0</v>
      </c>
      <c r="O1054" s="12">
        <v>0</v>
      </c>
      <c r="P1054" s="12">
        <v>0</v>
      </c>
      <c r="Q1054" s="12">
        <v>0</v>
      </c>
      <c r="R1054" s="12">
        <v>1</v>
      </c>
      <c r="S1054" t="s">
        <v>269</v>
      </c>
    </row>
    <row r="1055" spans="1:19" x14ac:dyDescent="0.25">
      <c r="A1055" s="13">
        <v>45978.602638888886</v>
      </c>
      <c r="B1055" t="s">
        <v>348</v>
      </c>
      <c r="C1055" t="s">
        <v>363</v>
      </c>
      <c r="D1055" t="s">
        <v>10</v>
      </c>
      <c r="E1055" t="s">
        <v>11</v>
      </c>
      <c r="F1055" t="s">
        <v>15</v>
      </c>
      <c r="G1055">
        <v>3</v>
      </c>
      <c r="H1055" s="12">
        <v>1</v>
      </c>
      <c r="I1055" s="12">
        <v>0</v>
      </c>
      <c r="J1055" s="12">
        <v>0</v>
      </c>
      <c r="K1055" s="12">
        <v>0</v>
      </c>
      <c r="L1055" s="12">
        <v>0</v>
      </c>
      <c r="M1055" s="12">
        <v>0</v>
      </c>
      <c r="N1055" s="12">
        <v>0</v>
      </c>
      <c r="O1055" s="12">
        <v>0</v>
      </c>
      <c r="P1055" s="12">
        <v>0</v>
      </c>
      <c r="Q1055" s="12">
        <v>0</v>
      </c>
      <c r="R1055" s="12">
        <v>0</v>
      </c>
    </row>
    <row r="1056" spans="1:19" x14ac:dyDescent="0.25">
      <c r="A1056" s="13">
        <v>45978.623055555552</v>
      </c>
      <c r="B1056" t="s">
        <v>348</v>
      </c>
      <c r="C1056" t="s">
        <v>363</v>
      </c>
      <c r="D1056" t="s">
        <v>10</v>
      </c>
      <c r="E1056" t="s">
        <v>11</v>
      </c>
      <c r="F1056" t="s">
        <v>12</v>
      </c>
      <c r="G1056">
        <v>10.5</v>
      </c>
      <c r="H1056" s="12">
        <v>0</v>
      </c>
      <c r="I1056" s="12">
        <v>1</v>
      </c>
      <c r="J1056" s="12">
        <v>1</v>
      </c>
      <c r="K1056" s="12">
        <v>1</v>
      </c>
      <c r="L1056" s="12">
        <v>0</v>
      </c>
      <c r="M1056" s="12">
        <v>0</v>
      </c>
      <c r="N1056" s="12">
        <v>0</v>
      </c>
      <c r="O1056" s="12">
        <v>0</v>
      </c>
      <c r="P1056" s="12">
        <v>0</v>
      </c>
      <c r="Q1056" s="12">
        <v>0</v>
      </c>
      <c r="R1056" s="12">
        <v>0</v>
      </c>
    </row>
    <row r="1057" spans="1:19" x14ac:dyDescent="0.25">
      <c r="A1057" s="13">
        <v>45978.64565972222</v>
      </c>
      <c r="B1057" t="s">
        <v>349</v>
      </c>
      <c r="C1057" t="s">
        <v>363</v>
      </c>
      <c r="D1057" t="s">
        <v>10</v>
      </c>
      <c r="E1057" t="s">
        <v>11</v>
      </c>
      <c r="F1057" t="s">
        <v>14</v>
      </c>
      <c r="G1057">
        <v>0.5</v>
      </c>
      <c r="H1057" s="12">
        <v>0</v>
      </c>
      <c r="I1057" s="12">
        <v>0</v>
      </c>
      <c r="J1057" s="12">
        <v>0</v>
      </c>
      <c r="K1057" s="12">
        <v>0</v>
      </c>
      <c r="L1057" s="12">
        <v>0</v>
      </c>
      <c r="M1057" s="12">
        <v>0</v>
      </c>
      <c r="N1057" s="12">
        <v>0</v>
      </c>
      <c r="O1057" s="12">
        <v>0</v>
      </c>
      <c r="P1057" s="12">
        <v>0</v>
      </c>
      <c r="Q1057" s="12">
        <v>0</v>
      </c>
      <c r="R1057" s="12">
        <v>1</v>
      </c>
      <c r="S1057" t="s">
        <v>214</v>
      </c>
    </row>
    <row r="1058" spans="1:19" x14ac:dyDescent="0.25">
      <c r="A1058" s="13">
        <v>45980.462777777779</v>
      </c>
      <c r="B1058" t="s">
        <v>354</v>
      </c>
      <c r="C1058" t="s">
        <v>359</v>
      </c>
      <c r="D1058" t="s">
        <v>10</v>
      </c>
      <c r="E1058" t="s">
        <v>11</v>
      </c>
      <c r="F1058" t="s">
        <v>15</v>
      </c>
      <c r="G1058">
        <v>3</v>
      </c>
      <c r="H1058" s="12">
        <v>0</v>
      </c>
      <c r="I1058" s="12">
        <v>0</v>
      </c>
      <c r="J1058" s="12">
        <v>1</v>
      </c>
      <c r="K1058" s="12">
        <v>0</v>
      </c>
      <c r="L1058" s="12">
        <v>0</v>
      </c>
      <c r="M1058" s="12">
        <v>0</v>
      </c>
      <c r="N1058" s="12">
        <v>0</v>
      </c>
      <c r="O1058" s="12">
        <v>0</v>
      </c>
      <c r="P1058" s="12">
        <v>1</v>
      </c>
      <c r="Q1058" s="12">
        <v>0</v>
      </c>
      <c r="R1058" s="12">
        <v>0</v>
      </c>
    </row>
    <row r="1059" spans="1:19" x14ac:dyDescent="0.25">
      <c r="A1059" s="13">
        <v>45980.620243055557</v>
      </c>
      <c r="B1059" t="s">
        <v>348</v>
      </c>
      <c r="C1059" t="s">
        <v>359</v>
      </c>
      <c r="D1059" t="s">
        <v>10</v>
      </c>
      <c r="E1059" t="s">
        <v>11</v>
      </c>
      <c r="F1059" t="s">
        <v>18</v>
      </c>
      <c r="G1059">
        <v>20</v>
      </c>
      <c r="H1059" s="12">
        <v>1</v>
      </c>
      <c r="I1059" s="12">
        <v>0</v>
      </c>
      <c r="J1059" s="12">
        <v>1</v>
      </c>
      <c r="K1059" s="12">
        <v>0</v>
      </c>
      <c r="L1059" s="12">
        <v>1</v>
      </c>
      <c r="M1059" s="12">
        <v>1</v>
      </c>
      <c r="N1059" s="12">
        <v>0</v>
      </c>
      <c r="O1059" s="12">
        <v>0</v>
      </c>
      <c r="P1059" s="12">
        <v>0</v>
      </c>
      <c r="Q1059" s="12">
        <v>0</v>
      </c>
      <c r="R1059" s="12">
        <v>0</v>
      </c>
    </row>
    <row r="1060" spans="1:19" x14ac:dyDescent="0.25">
      <c r="A1060" s="13">
        <v>45980.620428240742</v>
      </c>
      <c r="B1060" t="s">
        <v>348</v>
      </c>
      <c r="C1060" t="s">
        <v>359</v>
      </c>
      <c r="D1060" t="s">
        <v>10</v>
      </c>
      <c r="E1060" t="s">
        <v>11</v>
      </c>
      <c r="F1060" t="s">
        <v>15</v>
      </c>
      <c r="G1060">
        <v>3</v>
      </c>
      <c r="H1060" s="12">
        <v>0</v>
      </c>
      <c r="I1060" s="12">
        <v>0</v>
      </c>
      <c r="J1060" s="12">
        <v>0</v>
      </c>
      <c r="K1060" s="12">
        <v>0</v>
      </c>
      <c r="L1060" s="12">
        <v>0</v>
      </c>
      <c r="M1060" s="12">
        <v>0</v>
      </c>
      <c r="N1060" s="12">
        <v>0</v>
      </c>
      <c r="O1060" s="12">
        <v>0</v>
      </c>
      <c r="P1060" s="12">
        <v>0</v>
      </c>
      <c r="Q1060" s="12">
        <v>0</v>
      </c>
      <c r="R1060" s="12">
        <v>1</v>
      </c>
      <c r="S1060" t="s">
        <v>270</v>
      </c>
    </row>
    <row r="1061" spans="1:19" x14ac:dyDescent="0.25">
      <c r="A1061" s="13">
        <v>45980.620532407411</v>
      </c>
      <c r="B1061" t="s">
        <v>348</v>
      </c>
      <c r="C1061" t="s">
        <v>359</v>
      </c>
      <c r="D1061" t="s">
        <v>10</v>
      </c>
      <c r="E1061" t="s">
        <v>11</v>
      </c>
      <c r="F1061" t="s">
        <v>15</v>
      </c>
      <c r="G1061">
        <v>3</v>
      </c>
      <c r="H1061" s="12">
        <v>1</v>
      </c>
      <c r="I1061" s="12">
        <v>0</v>
      </c>
      <c r="J1061" s="12">
        <v>1</v>
      </c>
      <c r="K1061" s="12">
        <v>0</v>
      </c>
      <c r="L1061" s="12">
        <v>0</v>
      </c>
      <c r="M1061" s="12">
        <v>1</v>
      </c>
      <c r="N1061" s="12">
        <v>0</v>
      </c>
      <c r="O1061" s="12">
        <v>0</v>
      </c>
      <c r="P1061" s="12">
        <v>0</v>
      </c>
      <c r="Q1061" s="12">
        <v>0</v>
      </c>
      <c r="R1061" s="12">
        <v>0</v>
      </c>
    </row>
    <row r="1062" spans="1:19" x14ac:dyDescent="0.25">
      <c r="A1062" s="13">
        <v>45980.620648148149</v>
      </c>
      <c r="B1062" t="s">
        <v>348</v>
      </c>
      <c r="C1062" t="s">
        <v>359</v>
      </c>
      <c r="D1062" t="s">
        <v>10</v>
      </c>
      <c r="E1062" t="s">
        <v>11</v>
      </c>
      <c r="F1062" t="s">
        <v>15</v>
      </c>
      <c r="G1062">
        <v>3</v>
      </c>
      <c r="H1062" s="12">
        <v>1</v>
      </c>
      <c r="I1062" s="12">
        <v>0</v>
      </c>
      <c r="J1062" s="12">
        <v>1</v>
      </c>
      <c r="K1062" s="12">
        <v>0</v>
      </c>
      <c r="L1062" s="12">
        <v>0</v>
      </c>
      <c r="M1062" s="12">
        <v>0</v>
      </c>
      <c r="N1062" s="12">
        <v>0</v>
      </c>
      <c r="O1062" s="12">
        <v>0</v>
      </c>
      <c r="P1062" s="12">
        <v>0</v>
      </c>
      <c r="Q1062" s="12">
        <v>0</v>
      </c>
      <c r="R1062" s="12">
        <v>0</v>
      </c>
    </row>
    <row r="1063" spans="1:19" x14ac:dyDescent="0.25">
      <c r="A1063" s="13">
        <v>45980.620833333334</v>
      </c>
      <c r="B1063" t="s">
        <v>348</v>
      </c>
      <c r="C1063" t="s">
        <v>359</v>
      </c>
      <c r="D1063" t="s">
        <v>10</v>
      </c>
      <c r="E1063" t="s">
        <v>11</v>
      </c>
      <c r="F1063" t="s">
        <v>15</v>
      </c>
      <c r="G1063">
        <v>3</v>
      </c>
      <c r="H1063" s="12">
        <v>0</v>
      </c>
      <c r="I1063" s="12">
        <v>1</v>
      </c>
      <c r="J1063" s="12">
        <v>0</v>
      </c>
      <c r="K1063" s="12">
        <v>1</v>
      </c>
      <c r="L1063" s="12">
        <v>0</v>
      </c>
      <c r="M1063" s="12">
        <v>0</v>
      </c>
      <c r="N1063" s="12">
        <v>0</v>
      </c>
      <c r="O1063" s="12">
        <v>0</v>
      </c>
      <c r="P1063" s="12">
        <v>0</v>
      </c>
      <c r="Q1063" s="12">
        <v>0</v>
      </c>
      <c r="R1063" s="12">
        <v>0</v>
      </c>
      <c r="S1063" t="s">
        <v>271</v>
      </c>
    </row>
    <row r="1064" spans="1:19" x14ac:dyDescent="0.25">
      <c r="A1064" s="13">
        <v>45981.455868055556</v>
      </c>
      <c r="B1064" t="s">
        <v>347</v>
      </c>
      <c r="C1064" t="s">
        <v>360</v>
      </c>
      <c r="D1064" t="s">
        <v>10</v>
      </c>
      <c r="E1064" t="s">
        <v>11</v>
      </c>
      <c r="F1064" t="s">
        <v>12</v>
      </c>
      <c r="G1064">
        <v>10.5</v>
      </c>
      <c r="H1064" s="12">
        <v>0</v>
      </c>
      <c r="I1064" s="12">
        <v>0</v>
      </c>
      <c r="J1064" s="12">
        <v>0</v>
      </c>
      <c r="K1064" s="12">
        <v>0</v>
      </c>
      <c r="L1064" s="12">
        <v>0</v>
      </c>
      <c r="M1064" s="12">
        <v>0</v>
      </c>
      <c r="N1064" s="12">
        <v>0</v>
      </c>
      <c r="O1064" s="12">
        <v>0</v>
      </c>
      <c r="P1064" s="12">
        <v>1</v>
      </c>
      <c r="Q1064" s="12">
        <v>0</v>
      </c>
      <c r="R1064" s="12">
        <v>0</v>
      </c>
    </row>
    <row r="1065" spans="1:19" x14ac:dyDescent="0.25">
      <c r="A1065" s="13">
        <v>45981.456041666665</v>
      </c>
      <c r="B1065" t="s">
        <v>347</v>
      </c>
      <c r="C1065" t="s">
        <v>360</v>
      </c>
      <c r="D1065" t="s">
        <v>10</v>
      </c>
      <c r="E1065" t="s">
        <v>11</v>
      </c>
      <c r="F1065" t="s">
        <v>15</v>
      </c>
      <c r="G1065">
        <v>3</v>
      </c>
      <c r="H1065" s="12">
        <v>0</v>
      </c>
      <c r="I1065" s="12">
        <v>0</v>
      </c>
      <c r="J1065" s="12">
        <v>0</v>
      </c>
      <c r="K1065" s="12">
        <v>0</v>
      </c>
      <c r="L1065" s="12">
        <v>0</v>
      </c>
      <c r="M1065" s="12">
        <v>0</v>
      </c>
      <c r="N1065" s="12">
        <v>0</v>
      </c>
      <c r="O1065" s="12">
        <v>0</v>
      </c>
      <c r="P1065" s="12">
        <v>1</v>
      </c>
      <c r="Q1065" s="12">
        <v>0</v>
      </c>
      <c r="R1065" s="12">
        <v>0</v>
      </c>
    </row>
    <row r="1066" spans="1:19" x14ac:dyDescent="0.25">
      <c r="A1066" s="13">
        <v>45981.506539351853</v>
      </c>
      <c r="B1066" t="s">
        <v>350</v>
      </c>
      <c r="C1066" t="s">
        <v>360</v>
      </c>
      <c r="D1066" t="s">
        <v>10</v>
      </c>
      <c r="E1066" t="s">
        <v>11</v>
      </c>
      <c r="F1066" t="s">
        <v>15</v>
      </c>
      <c r="G1066">
        <v>3</v>
      </c>
      <c r="H1066" s="12">
        <v>0</v>
      </c>
      <c r="I1066" s="12">
        <v>0</v>
      </c>
      <c r="J1066" s="12">
        <v>0</v>
      </c>
      <c r="K1066" s="12">
        <v>0</v>
      </c>
      <c r="L1066" s="12">
        <v>0</v>
      </c>
      <c r="M1066" s="12">
        <v>0</v>
      </c>
      <c r="N1066" s="12">
        <v>1</v>
      </c>
      <c r="O1066" s="12">
        <v>0</v>
      </c>
      <c r="P1066" s="12">
        <v>0</v>
      </c>
      <c r="Q1066" s="12">
        <v>0</v>
      </c>
      <c r="R1066" s="12">
        <v>0</v>
      </c>
    </row>
    <row r="1067" spans="1:19" x14ac:dyDescent="0.25">
      <c r="A1067" s="13">
        <v>45981.545104166667</v>
      </c>
      <c r="B1067" t="s">
        <v>351</v>
      </c>
      <c r="C1067" t="s">
        <v>360</v>
      </c>
      <c r="D1067" t="s">
        <v>10</v>
      </c>
      <c r="E1067" t="s">
        <v>11</v>
      </c>
      <c r="F1067" t="s">
        <v>18</v>
      </c>
      <c r="G1067">
        <v>20</v>
      </c>
      <c r="H1067" s="12">
        <v>1</v>
      </c>
      <c r="I1067" s="12">
        <v>0</v>
      </c>
      <c r="J1067" s="12">
        <v>0</v>
      </c>
      <c r="K1067" s="12">
        <v>0</v>
      </c>
      <c r="L1067" s="12">
        <v>0</v>
      </c>
      <c r="M1067" s="12">
        <v>0</v>
      </c>
      <c r="N1067" s="12">
        <v>0</v>
      </c>
      <c r="O1067" s="12">
        <v>0</v>
      </c>
      <c r="P1067" s="12">
        <v>0</v>
      </c>
      <c r="Q1067" s="12">
        <v>0</v>
      </c>
      <c r="R1067" s="12">
        <v>0</v>
      </c>
    </row>
    <row r="1068" spans="1:19" x14ac:dyDescent="0.25">
      <c r="A1068" s="13">
        <v>45981.58556712963</v>
      </c>
      <c r="B1068" t="s">
        <v>348</v>
      </c>
      <c r="C1068" t="s">
        <v>360</v>
      </c>
      <c r="D1068" t="s">
        <v>10</v>
      </c>
      <c r="E1068" t="s">
        <v>11</v>
      </c>
      <c r="F1068" t="s">
        <v>15</v>
      </c>
      <c r="G1068">
        <v>3</v>
      </c>
      <c r="H1068" s="12">
        <v>1</v>
      </c>
      <c r="I1068" s="12">
        <v>0</v>
      </c>
      <c r="J1068" s="12">
        <v>1</v>
      </c>
      <c r="K1068" s="12">
        <v>0</v>
      </c>
      <c r="L1068" s="12">
        <v>0</v>
      </c>
      <c r="M1068" s="12">
        <v>0</v>
      </c>
      <c r="N1068" s="12">
        <v>0</v>
      </c>
      <c r="O1068" s="12">
        <v>0</v>
      </c>
      <c r="P1068" s="12">
        <v>0</v>
      </c>
      <c r="Q1068" s="12">
        <v>0</v>
      </c>
      <c r="R1068" s="12">
        <v>0</v>
      </c>
    </row>
    <row r="1069" spans="1:19" x14ac:dyDescent="0.25">
      <c r="A1069" s="13">
        <v>45981.590150462966</v>
      </c>
      <c r="B1069" t="s">
        <v>348</v>
      </c>
      <c r="C1069" t="s">
        <v>360</v>
      </c>
      <c r="D1069" t="s">
        <v>10</v>
      </c>
      <c r="E1069" t="s">
        <v>11</v>
      </c>
      <c r="F1069" t="s">
        <v>14</v>
      </c>
      <c r="G1069">
        <v>0.5</v>
      </c>
      <c r="H1069" s="12">
        <v>0</v>
      </c>
      <c r="I1069" s="12">
        <v>0</v>
      </c>
      <c r="J1069" s="12">
        <v>0</v>
      </c>
      <c r="K1069" s="12">
        <v>0</v>
      </c>
      <c r="L1069" s="12">
        <v>0</v>
      </c>
      <c r="M1069" s="12">
        <v>0</v>
      </c>
      <c r="N1069" s="12">
        <v>0</v>
      </c>
      <c r="O1069" s="12">
        <v>0</v>
      </c>
      <c r="P1069" s="12">
        <v>0</v>
      </c>
      <c r="Q1069" s="12">
        <v>1</v>
      </c>
      <c r="R1069" s="12">
        <v>0</v>
      </c>
    </row>
    <row r="1070" spans="1:19" x14ac:dyDescent="0.25">
      <c r="A1070" s="13">
        <v>45981.612905092596</v>
      </c>
      <c r="B1070" t="s">
        <v>348</v>
      </c>
      <c r="C1070" t="s">
        <v>360</v>
      </c>
      <c r="D1070" t="s">
        <v>10</v>
      </c>
      <c r="E1070" t="s">
        <v>17</v>
      </c>
      <c r="F1070" t="s">
        <v>15</v>
      </c>
      <c r="G1070">
        <v>3</v>
      </c>
      <c r="H1070" s="12">
        <v>0</v>
      </c>
      <c r="I1070" s="12">
        <v>0</v>
      </c>
      <c r="J1070" s="12">
        <v>0</v>
      </c>
      <c r="K1070" s="12">
        <v>0</v>
      </c>
      <c r="L1070" s="12">
        <v>0</v>
      </c>
      <c r="M1070" s="12">
        <v>0</v>
      </c>
      <c r="N1070" s="12">
        <v>0</v>
      </c>
      <c r="O1070" s="12">
        <v>1</v>
      </c>
      <c r="P1070" s="12">
        <v>0</v>
      </c>
      <c r="Q1070" s="12">
        <v>0</v>
      </c>
      <c r="R1070" s="12">
        <v>0</v>
      </c>
    </row>
    <row r="1071" spans="1:19" x14ac:dyDescent="0.25">
      <c r="A1071" s="13">
        <v>45981.613136574073</v>
      </c>
      <c r="B1071" t="s">
        <v>348</v>
      </c>
      <c r="C1071" t="s">
        <v>360</v>
      </c>
      <c r="D1071" t="s">
        <v>10</v>
      </c>
      <c r="E1071" t="s">
        <v>11</v>
      </c>
      <c r="F1071" t="s">
        <v>12</v>
      </c>
      <c r="G1071">
        <v>10.5</v>
      </c>
      <c r="H1071" s="12">
        <v>0</v>
      </c>
      <c r="I1071" s="12">
        <v>0</v>
      </c>
      <c r="J1071" s="12">
        <v>1</v>
      </c>
      <c r="K1071" s="12">
        <v>0</v>
      </c>
      <c r="L1071" s="12">
        <v>1</v>
      </c>
      <c r="M1071" s="12">
        <v>0</v>
      </c>
      <c r="N1071" s="12">
        <v>0</v>
      </c>
      <c r="O1071" s="12">
        <v>0</v>
      </c>
      <c r="P1071" s="12">
        <v>1</v>
      </c>
      <c r="Q1071" s="12">
        <v>0</v>
      </c>
      <c r="R1071" s="12">
        <v>0</v>
      </c>
    </row>
    <row r="1072" spans="1:19" x14ac:dyDescent="0.25">
      <c r="A1072" s="13">
        <v>45981.613252314812</v>
      </c>
      <c r="B1072" t="s">
        <v>348</v>
      </c>
      <c r="C1072" t="s">
        <v>360</v>
      </c>
      <c r="D1072" t="s">
        <v>10</v>
      </c>
      <c r="E1072" t="s">
        <v>11</v>
      </c>
      <c r="F1072" t="s">
        <v>15</v>
      </c>
      <c r="G1072">
        <v>3</v>
      </c>
      <c r="H1072" s="12">
        <v>1</v>
      </c>
      <c r="I1072" s="12">
        <v>0</v>
      </c>
      <c r="J1072" s="12">
        <v>1</v>
      </c>
      <c r="K1072" s="12">
        <v>0</v>
      </c>
      <c r="L1072" s="12">
        <v>0</v>
      </c>
      <c r="M1072" s="12">
        <v>0</v>
      </c>
      <c r="N1072" s="12">
        <v>0</v>
      </c>
      <c r="O1072" s="12">
        <v>0</v>
      </c>
      <c r="P1072" s="12">
        <v>0</v>
      </c>
      <c r="Q1072" s="12">
        <v>0</v>
      </c>
      <c r="R1072" s="12">
        <v>0</v>
      </c>
    </row>
    <row r="1073" spans="1:19" x14ac:dyDescent="0.25">
      <c r="A1073" s="13">
        <v>45982.392800925925</v>
      </c>
      <c r="B1073" t="s">
        <v>352</v>
      </c>
      <c r="C1073" t="s">
        <v>361</v>
      </c>
      <c r="D1073" t="s">
        <v>10</v>
      </c>
      <c r="E1073" t="s">
        <v>11</v>
      </c>
      <c r="F1073" t="s">
        <v>15</v>
      </c>
      <c r="G1073">
        <v>3</v>
      </c>
      <c r="H1073" s="12">
        <v>0</v>
      </c>
      <c r="I1073" s="12">
        <v>0</v>
      </c>
      <c r="J1073" s="12">
        <v>0</v>
      </c>
      <c r="K1073" s="12">
        <v>0</v>
      </c>
      <c r="L1073" s="12">
        <v>0</v>
      </c>
      <c r="M1073" s="12">
        <v>0</v>
      </c>
      <c r="N1073" s="12">
        <v>0</v>
      </c>
      <c r="O1073" s="12">
        <v>1</v>
      </c>
      <c r="P1073" s="12">
        <v>0</v>
      </c>
      <c r="Q1073" s="12">
        <v>0</v>
      </c>
      <c r="R1073" s="12">
        <v>0</v>
      </c>
    </row>
    <row r="1074" spans="1:19" x14ac:dyDescent="0.25">
      <c r="A1074" s="13">
        <v>45982.392997685187</v>
      </c>
      <c r="B1074" t="s">
        <v>352</v>
      </c>
      <c r="C1074" t="s">
        <v>361</v>
      </c>
      <c r="D1074" t="s">
        <v>10</v>
      </c>
      <c r="E1074" t="s">
        <v>11</v>
      </c>
      <c r="F1074" t="s">
        <v>14</v>
      </c>
      <c r="G1074">
        <v>0.5</v>
      </c>
      <c r="H1074" s="12">
        <v>0</v>
      </c>
      <c r="I1074" s="12">
        <v>0</v>
      </c>
      <c r="J1074" s="12">
        <v>0</v>
      </c>
      <c r="K1074" s="12">
        <v>0</v>
      </c>
      <c r="L1074" s="12">
        <v>0</v>
      </c>
      <c r="M1074" s="12">
        <v>0</v>
      </c>
      <c r="N1074" s="12">
        <v>0</v>
      </c>
      <c r="O1074" s="12">
        <v>0</v>
      </c>
      <c r="P1074" s="12">
        <v>0</v>
      </c>
      <c r="Q1074" s="12">
        <v>0</v>
      </c>
      <c r="R1074" s="12">
        <v>1</v>
      </c>
    </row>
    <row r="1075" spans="1:19" x14ac:dyDescent="0.25">
      <c r="A1075" s="13">
        <v>45982.399976851855</v>
      </c>
      <c r="B1075" t="s">
        <v>352</v>
      </c>
      <c r="C1075" t="s">
        <v>361</v>
      </c>
      <c r="D1075" t="s">
        <v>10</v>
      </c>
      <c r="E1075" t="s">
        <v>11</v>
      </c>
      <c r="F1075" t="s">
        <v>15</v>
      </c>
      <c r="G1075">
        <v>3</v>
      </c>
      <c r="H1075" s="12">
        <v>0</v>
      </c>
      <c r="I1075" s="12">
        <v>0</v>
      </c>
      <c r="J1075" s="12">
        <v>0</v>
      </c>
      <c r="K1075" s="12">
        <v>0</v>
      </c>
      <c r="L1075" s="12">
        <v>1</v>
      </c>
      <c r="M1075" s="12">
        <v>1</v>
      </c>
      <c r="N1075" s="12">
        <v>0</v>
      </c>
      <c r="O1075" s="12">
        <v>0</v>
      </c>
      <c r="P1075" s="12">
        <v>0</v>
      </c>
      <c r="Q1075" s="12">
        <v>0</v>
      </c>
      <c r="R1075" s="12">
        <v>0</v>
      </c>
    </row>
    <row r="1076" spans="1:19" x14ac:dyDescent="0.25">
      <c r="A1076" s="13">
        <v>45982.484965277778</v>
      </c>
      <c r="B1076" t="s">
        <v>354</v>
      </c>
      <c r="C1076" t="s">
        <v>361</v>
      </c>
      <c r="D1076" t="s">
        <v>10</v>
      </c>
      <c r="E1076" t="s">
        <v>11</v>
      </c>
      <c r="F1076" t="s">
        <v>12</v>
      </c>
      <c r="G1076">
        <v>10.5</v>
      </c>
      <c r="H1076" s="12">
        <v>0</v>
      </c>
      <c r="I1076" s="12">
        <v>0</v>
      </c>
      <c r="J1076" s="12">
        <v>0</v>
      </c>
      <c r="K1076" s="12">
        <v>0</v>
      </c>
      <c r="L1076" s="12">
        <v>0</v>
      </c>
      <c r="M1076" s="12">
        <v>0</v>
      </c>
      <c r="N1076" s="12">
        <v>0</v>
      </c>
      <c r="O1076" s="12">
        <v>0</v>
      </c>
      <c r="P1076" s="12">
        <v>0</v>
      </c>
      <c r="Q1076" s="12">
        <v>0</v>
      </c>
      <c r="R1076" s="12">
        <v>1</v>
      </c>
      <c r="S1076" t="s">
        <v>272</v>
      </c>
    </row>
    <row r="1077" spans="1:19" x14ac:dyDescent="0.25">
      <c r="A1077" s="13">
        <v>45982.485208333332</v>
      </c>
      <c r="B1077" t="s">
        <v>354</v>
      </c>
      <c r="C1077" t="s">
        <v>361</v>
      </c>
      <c r="D1077" t="s">
        <v>10</v>
      </c>
      <c r="E1077" t="s">
        <v>11</v>
      </c>
      <c r="F1077" t="s">
        <v>15</v>
      </c>
      <c r="G1077">
        <v>3</v>
      </c>
      <c r="H1077" s="12">
        <v>1</v>
      </c>
      <c r="I1077" s="12">
        <v>0</v>
      </c>
      <c r="J1077" s="12">
        <v>1</v>
      </c>
      <c r="K1077" s="12">
        <v>0</v>
      </c>
      <c r="L1077" s="12">
        <v>0</v>
      </c>
      <c r="M1077" s="12">
        <v>0</v>
      </c>
      <c r="N1077" s="12">
        <v>0</v>
      </c>
      <c r="O1077" s="12">
        <v>0</v>
      </c>
      <c r="P1077" s="12">
        <v>0</v>
      </c>
      <c r="Q1077" s="12">
        <v>0</v>
      </c>
      <c r="R1077" s="12">
        <v>0</v>
      </c>
    </row>
    <row r="1078" spans="1:19" x14ac:dyDescent="0.25">
      <c r="A1078" s="13">
        <v>45982.485312500001</v>
      </c>
      <c r="B1078" t="s">
        <v>354</v>
      </c>
      <c r="C1078" t="s">
        <v>361</v>
      </c>
      <c r="D1078" t="s">
        <v>10</v>
      </c>
      <c r="E1078" t="s">
        <v>11</v>
      </c>
      <c r="F1078" t="s">
        <v>14</v>
      </c>
      <c r="G1078">
        <v>0.5</v>
      </c>
      <c r="H1078" s="12">
        <v>0</v>
      </c>
      <c r="I1078" s="12">
        <v>0</v>
      </c>
      <c r="J1078" s="12">
        <v>0</v>
      </c>
      <c r="K1078" s="12">
        <v>0</v>
      </c>
      <c r="L1078" s="12">
        <v>0</v>
      </c>
      <c r="M1078" s="12">
        <v>0</v>
      </c>
      <c r="N1078" s="12">
        <v>0</v>
      </c>
      <c r="O1078" s="12">
        <v>0</v>
      </c>
      <c r="P1078" s="12">
        <v>0</v>
      </c>
      <c r="Q1078" s="12">
        <v>1</v>
      </c>
      <c r="R1078" s="12">
        <v>0</v>
      </c>
    </row>
    <row r="1079" spans="1:19" x14ac:dyDescent="0.25">
      <c r="A1079" s="13">
        <v>45982.500474537039</v>
      </c>
      <c r="B1079" t="s">
        <v>350</v>
      </c>
      <c r="C1079" t="s">
        <v>361</v>
      </c>
      <c r="D1079" t="s">
        <v>10</v>
      </c>
      <c r="E1079" t="s">
        <v>11</v>
      </c>
      <c r="F1079" t="s">
        <v>15</v>
      </c>
      <c r="G1079">
        <v>3</v>
      </c>
      <c r="H1079" s="12">
        <v>1</v>
      </c>
      <c r="I1079" s="12">
        <v>0</v>
      </c>
      <c r="J1079" s="12">
        <v>0</v>
      </c>
      <c r="K1079" s="12">
        <v>0</v>
      </c>
      <c r="L1079" s="12">
        <v>0</v>
      </c>
      <c r="M1079" s="12">
        <v>0</v>
      </c>
      <c r="N1079" s="12">
        <v>0</v>
      </c>
      <c r="O1079" s="12">
        <v>0</v>
      </c>
      <c r="P1079" s="12">
        <v>0</v>
      </c>
      <c r="Q1079" s="12">
        <v>0</v>
      </c>
      <c r="R1079" s="12">
        <v>0</v>
      </c>
    </row>
    <row r="1080" spans="1:19" x14ac:dyDescent="0.25">
      <c r="A1080" s="13">
        <v>45982.665752314817</v>
      </c>
      <c r="B1080" t="s">
        <v>349</v>
      </c>
      <c r="C1080" t="s">
        <v>361</v>
      </c>
      <c r="D1080" t="s">
        <v>10</v>
      </c>
      <c r="E1080" t="s">
        <v>11</v>
      </c>
      <c r="F1080" t="s">
        <v>18</v>
      </c>
      <c r="G1080">
        <v>20</v>
      </c>
      <c r="H1080" s="12">
        <v>0</v>
      </c>
      <c r="I1080" s="12">
        <v>0</v>
      </c>
      <c r="J1080" s="12">
        <v>1</v>
      </c>
      <c r="K1080" s="12">
        <v>0</v>
      </c>
      <c r="L1080" s="12">
        <v>1</v>
      </c>
      <c r="M1080" s="12">
        <v>0</v>
      </c>
      <c r="N1080" s="12">
        <v>0</v>
      </c>
      <c r="O1080" s="12">
        <v>0</v>
      </c>
      <c r="P1080" s="12">
        <v>1</v>
      </c>
      <c r="Q1080" s="12">
        <v>0</v>
      </c>
      <c r="R1080" s="12">
        <v>0</v>
      </c>
    </row>
    <row r="1081" spans="1:19" x14ac:dyDescent="0.25">
      <c r="A1081" s="13">
        <v>45982.665868055556</v>
      </c>
      <c r="B1081" t="s">
        <v>349</v>
      </c>
      <c r="C1081" t="s">
        <v>361</v>
      </c>
      <c r="D1081" t="s">
        <v>10</v>
      </c>
      <c r="E1081" t="s">
        <v>11</v>
      </c>
      <c r="F1081" t="s">
        <v>12</v>
      </c>
      <c r="G1081">
        <v>10.5</v>
      </c>
      <c r="H1081" s="12">
        <v>0</v>
      </c>
      <c r="I1081" s="12">
        <v>0</v>
      </c>
      <c r="J1081" s="12">
        <v>0</v>
      </c>
      <c r="K1081" s="12">
        <v>0</v>
      </c>
      <c r="L1081" s="12">
        <v>0</v>
      </c>
      <c r="M1081" s="12">
        <v>1</v>
      </c>
      <c r="N1081" s="12">
        <v>0</v>
      </c>
      <c r="O1081" s="12">
        <v>0</v>
      </c>
      <c r="P1081" s="12">
        <v>0</v>
      </c>
      <c r="Q1081" s="12">
        <v>0</v>
      </c>
      <c r="R1081" s="12">
        <v>0</v>
      </c>
    </row>
    <row r="1082" spans="1:19" x14ac:dyDescent="0.25">
      <c r="A1082" s="13">
        <v>45982.666006944448</v>
      </c>
      <c r="B1082" t="s">
        <v>349</v>
      </c>
      <c r="C1082" t="s">
        <v>361</v>
      </c>
      <c r="D1082" t="s">
        <v>10</v>
      </c>
      <c r="E1082" t="s">
        <v>11</v>
      </c>
      <c r="F1082" t="s">
        <v>15</v>
      </c>
      <c r="G1082">
        <v>3</v>
      </c>
      <c r="H1082" s="12">
        <v>0</v>
      </c>
      <c r="I1082" s="12">
        <v>0</v>
      </c>
      <c r="J1082" s="12">
        <v>0</v>
      </c>
      <c r="K1082" s="12">
        <v>0</v>
      </c>
      <c r="L1082" s="12">
        <v>1</v>
      </c>
      <c r="M1082" s="12">
        <v>0</v>
      </c>
      <c r="N1082" s="12">
        <v>0</v>
      </c>
      <c r="O1082" s="12">
        <v>0</v>
      </c>
      <c r="P1082" s="12">
        <v>0</v>
      </c>
      <c r="Q1082" s="12">
        <v>0</v>
      </c>
      <c r="R1082" s="12">
        <v>0</v>
      </c>
    </row>
    <row r="1083" spans="1:19" x14ac:dyDescent="0.25">
      <c r="A1083" s="13">
        <v>45982.666087962964</v>
      </c>
      <c r="B1083" t="s">
        <v>349</v>
      </c>
      <c r="C1083" t="s">
        <v>361</v>
      </c>
      <c r="D1083" t="s">
        <v>10</v>
      </c>
      <c r="E1083" t="s">
        <v>11</v>
      </c>
      <c r="F1083" t="s">
        <v>15</v>
      </c>
      <c r="G1083">
        <v>3</v>
      </c>
      <c r="H1083" s="12">
        <v>0</v>
      </c>
      <c r="I1083" s="12">
        <v>0</v>
      </c>
      <c r="J1083" s="12">
        <v>0</v>
      </c>
      <c r="K1083" s="12">
        <v>0</v>
      </c>
      <c r="L1083" s="12">
        <v>0</v>
      </c>
      <c r="M1083" s="12">
        <v>0</v>
      </c>
      <c r="N1083" s="12">
        <v>0</v>
      </c>
      <c r="O1083" s="12">
        <v>1</v>
      </c>
      <c r="P1083" s="12">
        <v>0</v>
      </c>
      <c r="Q1083" s="12">
        <v>0</v>
      </c>
      <c r="R1083" s="12">
        <v>0</v>
      </c>
    </row>
    <row r="1084" spans="1:19" x14ac:dyDescent="0.25">
      <c r="A1084" s="13">
        <v>45985.445347222223</v>
      </c>
      <c r="B1084" t="s">
        <v>347</v>
      </c>
      <c r="C1084" t="s">
        <v>363</v>
      </c>
      <c r="D1084" t="s">
        <v>10</v>
      </c>
      <c r="E1084" t="s">
        <v>11</v>
      </c>
      <c r="F1084" t="s">
        <v>12</v>
      </c>
      <c r="G1084">
        <v>10.5</v>
      </c>
      <c r="H1084" s="12">
        <v>0</v>
      </c>
      <c r="I1084" s="12">
        <v>0</v>
      </c>
      <c r="J1084" s="12">
        <v>0</v>
      </c>
      <c r="K1084" s="12">
        <v>0</v>
      </c>
      <c r="L1084" s="12">
        <v>0</v>
      </c>
      <c r="M1084" s="12">
        <v>0</v>
      </c>
      <c r="N1084" s="12">
        <v>0</v>
      </c>
      <c r="O1084" s="12">
        <v>1</v>
      </c>
      <c r="P1084" s="12">
        <v>0</v>
      </c>
      <c r="Q1084" s="12">
        <v>0</v>
      </c>
      <c r="R1084" s="12">
        <v>0</v>
      </c>
      <c r="S1084" t="s">
        <v>273</v>
      </c>
    </row>
    <row r="1085" spans="1:19" x14ac:dyDescent="0.25">
      <c r="A1085" s="13">
        <v>45985.496689814812</v>
      </c>
      <c r="B1085" t="s">
        <v>354</v>
      </c>
      <c r="C1085" t="s">
        <v>363</v>
      </c>
      <c r="D1085" t="s">
        <v>10</v>
      </c>
      <c r="E1085" t="s">
        <v>11</v>
      </c>
      <c r="F1085" t="s">
        <v>14</v>
      </c>
      <c r="G1085">
        <v>0.5</v>
      </c>
      <c r="H1085" s="12">
        <v>0</v>
      </c>
      <c r="I1085" s="12">
        <v>0</v>
      </c>
      <c r="J1085" s="12">
        <v>0</v>
      </c>
      <c r="K1085" s="12">
        <v>0</v>
      </c>
      <c r="L1085" s="12">
        <v>0</v>
      </c>
      <c r="M1085" s="12">
        <v>0</v>
      </c>
      <c r="N1085" s="12">
        <v>0</v>
      </c>
      <c r="O1085" s="12">
        <v>0</v>
      </c>
      <c r="P1085" s="12">
        <v>1</v>
      </c>
      <c r="Q1085" s="12">
        <v>0</v>
      </c>
      <c r="R1085" s="12">
        <v>0</v>
      </c>
    </row>
    <row r="1086" spans="1:19" x14ac:dyDescent="0.25">
      <c r="A1086" s="13">
        <v>45985.496921296297</v>
      </c>
      <c r="B1086" t="s">
        <v>354</v>
      </c>
      <c r="C1086" t="s">
        <v>363</v>
      </c>
      <c r="D1086" t="s">
        <v>10</v>
      </c>
      <c r="E1086" t="s">
        <v>11</v>
      </c>
      <c r="F1086" t="s">
        <v>15</v>
      </c>
      <c r="G1086">
        <v>3</v>
      </c>
      <c r="H1086" s="12">
        <v>1</v>
      </c>
      <c r="I1086" s="12">
        <v>0</v>
      </c>
      <c r="J1086" s="12">
        <v>1</v>
      </c>
      <c r="K1086" s="12">
        <v>0</v>
      </c>
      <c r="L1086" s="12">
        <v>0</v>
      </c>
      <c r="M1086" s="12">
        <v>0</v>
      </c>
      <c r="N1086" s="12">
        <v>0</v>
      </c>
      <c r="O1086" s="12">
        <v>0</v>
      </c>
      <c r="P1086" s="12">
        <v>0</v>
      </c>
      <c r="Q1086" s="12">
        <v>0</v>
      </c>
      <c r="R1086" s="12">
        <v>0</v>
      </c>
    </row>
    <row r="1087" spans="1:19" x14ac:dyDescent="0.25">
      <c r="A1087" s="13">
        <v>45985.497083333335</v>
      </c>
      <c r="B1087" t="s">
        <v>354</v>
      </c>
      <c r="C1087" t="s">
        <v>363</v>
      </c>
      <c r="D1087" t="s">
        <v>10</v>
      </c>
      <c r="E1087" t="s">
        <v>11</v>
      </c>
      <c r="F1087" t="s">
        <v>14</v>
      </c>
      <c r="G1087">
        <v>0.5</v>
      </c>
      <c r="H1087" s="12">
        <v>0</v>
      </c>
      <c r="I1087" s="12">
        <v>0</v>
      </c>
      <c r="J1087" s="12">
        <v>0</v>
      </c>
      <c r="K1087" s="12">
        <v>0</v>
      </c>
      <c r="L1087" s="12">
        <v>0</v>
      </c>
      <c r="M1087" s="12">
        <v>0</v>
      </c>
      <c r="N1087" s="12">
        <v>0</v>
      </c>
      <c r="O1087" s="12">
        <v>1</v>
      </c>
      <c r="P1087" s="12">
        <v>0</v>
      </c>
      <c r="Q1087" s="12">
        <v>0</v>
      </c>
      <c r="R1087" s="12">
        <v>0</v>
      </c>
    </row>
    <row r="1088" spans="1:19" x14ac:dyDescent="0.25">
      <c r="A1088" s="13">
        <v>45985.554097222222</v>
      </c>
      <c r="B1088" t="s">
        <v>351</v>
      </c>
      <c r="C1088" t="s">
        <v>363</v>
      </c>
      <c r="D1088" t="s">
        <v>10</v>
      </c>
      <c r="E1088" t="s">
        <v>11</v>
      </c>
      <c r="F1088" t="s">
        <v>12</v>
      </c>
      <c r="G1088">
        <v>10.5</v>
      </c>
      <c r="H1088" s="12">
        <v>1</v>
      </c>
      <c r="I1088" s="12">
        <v>0</v>
      </c>
      <c r="J1088" s="12">
        <v>0</v>
      </c>
      <c r="K1088" s="12">
        <v>0</v>
      </c>
      <c r="L1088" s="12">
        <v>0</v>
      </c>
      <c r="M1088" s="12">
        <v>0</v>
      </c>
      <c r="N1088" s="12">
        <v>0</v>
      </c>
      <c r="O1088" s="12">
        <v>0</v>
      </c>
      <c r="P1088" s="12">
        <v>0</v>
      </c>
      <c r="Q1088" s="12">
        <v>0</v>
      </c>
      <c r="R1088" s="12">
        <v>0</v>
      </c>
      <c r="S1088" t="s">
        <v>274</v>
      </c>
    </row>
    <row r="1089" spans="1:19" x14ac:dyDescent="0.25">
      <c r="A1089" s="13">
        <v>45985.564884259256</v>
      </c>
      <c r="B1089" t="s">
        <v>351</v>
      </c>
      <c r="C1089" t="s">
        <v>363</v>
      </c>
      <c r="D1089" t="s">
        <v>10</v>
      </c>
      <c r="E1089" t="s">
        <v>11</v>
      </c>
      <c r="F1089" t="s">
        <v>12</v>
      </c>
      <c r="G1089">
        <v>10.5</v>
      </c>
      <c r="H1089" s="12">
        <v>1</v>
      </c>
      <c r="I1089" s="12">
        <v>0</v>
      </c>
      <c r="J1089" s="12">
        <v>1</v>
      </c>
      <c r="K1089" s="12">
        <v>0</v>
      </c>
      <c r="L1089" s="12">
        <v>0</v>
      </c>
      <c r="M1089" s="12">
        <v>0</v>
      </c>
      <c r="N1089" s="12">
        <v>0</v>
      </c>
      <c r="O1089" s="12">
        <v>0</v>
      </c>
      <c r="P1089" s="12">
        <v>0</v>
      </c>
      <c r="Q1089" s="12">
        <v>0</v>
      </c>
      <c r="R1089" s="12">
        <v>0</v>
      </c>
      <c r="S1089" t="s">
        <v>275</v>
      </c>
    </row>
    <row r="1090" spans="1:19" x14ac:dyDescent="0.25">
      <c r="A1090" s="13">
        <v>45985.597129629627</v>
      </c>
      <c r="B1090" t="s">
        <v>348</v>
      </c>
      <c r="C1090" t="s">
        <v>363</v>
      </c>
      <c r="D1090" t="s">
        <v>10</v>
      </c>
      <c r="E1090" t="s">
        <v>11</v>
      </c>
      <c r="F1090" t="s">
        <v>12</v>
      </c>
      <c r="G1090">
        <v>10.5</v>
      </c>
      <c r="H1090" s="12">
        <v>0</v>
      </c>
      <c r="I1090" s="12">
        <v>0</v>
      </c>
      <c r="J1090" s="12">
        <v>1</v>
      </c>
      <c r="K1090" s="12">
        <v>0</v>
      </c>
      <c r="L1090" s="12">
        <v>0</v>
      </c>
      <c r="M1090" s="12">
        <v>0</v>
      </c>
      <c r="N1090" s="12">
        <v>0</v>
      </c>
      <c r="O1090" s="12">
        <v>0</v>
      </c>
      <c r="P1090" s="12">
        <v>1</v>
      </c>
      <c r="Q1090" s="12">
        <v>0</v>
      </c>
      <c r="R1090" s="12">
        <v>0</v>
      </c>
    </row>
    <row r="1091" spans="1:19" x14ac:dyDescent="0.25">
      <c r="A1091" s="13">
        <v>45985.597430555557</v>
      </c>
      <c r="B1091" t="s">
        <v>348</v>
      </c>
      <c r="C1091" t="s">
        <v>363</v>
      </c>
      <c r="D1091" t="s">
        <v>10</v>
      </c>
      <c r="E1091" t="s">
        <v>11</v>
      </c>
      <c r="F1091" t="s">
        <v>18</v>
      </c>
      <c r="G1091">
        <v>20</v>
      </c>
      <c r="H1091" s="12">
        <v>0</v>
      </c>
      <c r="I1091" s="12">
        <v>0</v>
      </c>
      <c r="J1091" s="12">
        <v>0</v>
      </c>
      <c r="K1091" s="12">
        <v>0</v>
      </c>
      <c r="L1091" s="12">
        <v>1</v>
      </c>
      <c r="M1091" s="12">
        <v>0</v>
      </c>
      <c r="N1091" s="12">
        <v>0</v>
      </c>
      <c r="O1091" s="12">
        <v>0</v>
      </c>
      <c r="P1091" s="12">
        <v>0</v>
      </c>
      <c r="Q1091" s="12">
        <v>0</v>
      </c>
      <c r="R1091" s="12">
        <v>0</v>
      </c>
    </row>
    <row r="1092" spans="1:19" x14ac:dyDescent="0.25">
      <c r="A1092" s="13">
        <v>45985.633321759262</v>
      </c>
      <c r="B1092" t="s">
        <v>349</v>
      </c>
      <c r="C1092" t="s">
        <v>363</v>
      </c>
      <c r="D1092" t="s">
        <v>10</v>
      </c>
      <c r="E1092" t="s">
        <v>11</v>
      </c>
      <c r="F1092" t="s">
        <v>14</v>
      </c>
      <c r="G1092">
        <v>0.5</v>
      </c>
      <c r="H1092" s="12">
        <v>0</v>
      </c>
      <c r="I1092" s="12">
        <v>0</v>
      </c>
      <c r="J1092" s="12">
        <v>0</v>
      </c>
      <c r="K1092" s="12">
        <v>0</v>
      </c>
      <c r="L1092" s="12">
        <v>0</v>
      </c>
      <c r="M1092" s="12">
        <v>0</v>
      </c>
      <c r="N1092" s="12">
        <v>0</v>
      </c>
      <c r="O1092" s="12">
        <v>0</v>
      </c>
      <c r="P1092" s="12">
        <v>0</v>
      </c>
      <c r="Q1092" s="12">
        <v>1</v>
      </c>
      <c r="R1092" s="12">
        <v>0</v>
      </c>
    </row>
    <row r="1093" spans="1:19" x14ac:dyDescent="0.25">
      <c r="A1093" s="13">
        <v>45985.63349537037</v>
      </c>
      <c r="B1093" t="s">
        <v>349</v>
      </c>
      <c r="C1093" t="s">
        <v>363</v>
      </c>
      <c r="D1093" t="s">
        <v>10</v>
      </c>
      <c r="E1093" t="s">
        <v>11</v>
      </c>
      <c r="F1093" t="s">
        <v>12</v>
      </c>
      <c r="G1093">
        <v>10.5</v>
      </c>
      <c r="H1093" s="12">
        <v>1</v>
      </c>
      <c r="I1093" s="12">
        <v>0</v>
      </c>
      <c r="J1093" s="12">
        <v>1</v>
      </c>
      <c r="K1093" s="12">
        <v>0</v>
      </c>
      <c r="L1093" s="12">
        <v>0</v>
      </c>
      <c r="M1093" s="12">
        <v>0</v>
      </c>
      <c r="N1093" s="12">
        <v>0</v>
      </c>
      <c r="O1093" s="12">
        <v>0</v>
      </c>
      <c r="P1093" s="12">
        <v>0</v>
      </c>
      <c r="Q1093" s="12">
        <v>0</v>
      </c>
      <c r="R1093" s="12">
        <v>0</v>
      </c>
    </row>
    <row r="1094" spans="1:19" x14ac:dyDescent="0.25">
      <c r="A1094" s="13">
        <v>45985.640196759261</v>
      </c>
      <c r="B1094" t="s">
        <v>349</v>
      </c>
      <c r="C1094" t="s">
        <v>363</v>
      </c>
      <c r="D1094" t="s">
        <v>20</v>
      </c>
      <c r="E1094" t="s">
        <v>11</v>
      </c>
      <c r="F1094" t="s">
        <v>15</v>
      </c>
      <c r="G1094">
        <v>3</v>
      </c>
      <c r="H1094" s="12">
        <v>0</v>
      </c>
      <c r="I1094" s="12">
        <v>0</v>
      </c>
      <c r="J1094" s="12">
        <v>0</v>
      </c>
      <c r="K1094" s="12">
        <v>0</v>
      </c>
      <c r="L1094" s="12">
        <v>0</v>
      </c>
      <c r="M1094" s="12">
        <v>0</v>
      </c>
      <c r="N1094" s="12">
        <v>0</v>
      </c>
      <c r="O1094" s="12">
        <v>0</v>
      </c>
      <c r="P1094" s="12">
        <v>0</v>
      </c>
      <c r="Q1094" s="12">
        <v>0</v>
      </c>
      <c r="R1094" s="12">
        <v>1</v>
      </c>
      <c r="S1094" t="s">
        <v>276</v>
      </c>
    </row>
    <row r="1095" spans="1:19" x14ac:dyDescent="0.25">
      <c r="A1095" s="13">
        <v>45985.652199074073</v>
      </c>
      <c r="B1095" t="s">
        <v>349</v>
      </c>
      <c r="C1095" t="s">
        <v>363</v>
      </c>
      <c r="D1095" t="s">
        <v>10</v>
      </c>
      <c r="E1095" t="s">
        <v>11</v>
      </c>
      <c r="F1095" t="s">
        <v>14</v>
      </c>
      <c r="G1095">
        <v>0.5</v>
      </c>
      <c r="H1095" s="12">
        <v>0</v>
      </c>
      <c r="I1095" s="12">
        <v>0</v>
      </c>
      <c r="J1095" s="12">
        <v>0</v>
      </c>
      <c r="K1095" s="12">
        <v>0</v>
      </c>
      <c r="L1095" s="12">
        <v>0</v>
      </c>
      <c r="M1095" s="12">
        <v>0</v>
      </c>
      <c r="N1095" s="12">
        <v>0</v>
      </c>
      <c r="O1095" s="12">
        <v>0</v>
      </c>
      <c r="P1095" s="12">
        <v>0</v>
      </c>
      <c r="Q1095" s="12">
        <v>1</v>
      </c>
      <c r="R1095" s="12">
        <v>0</v>
      </c>
    </row>
    <row r="1096" spans="1:19" x14ac:dyDescent="0.25">
      <c r="A1096" s="13">
        <v>45985.662291666667</v>
      </c>
      <c r="B1096" t="s">
        <v>349</v>
      </c>
      <c r="C1096" t="s">
        <v>363</v>
      </c>
      <c r="D1096" t="s">
        <v>10</v>
      </c>
      <c r="E1096" t="s">
        <v>11</v>
      </c>
      <c r="F1096" t="s">
        <v>14</v>
      </c>
      <c r="G1096">
        <v>0.5</v>
      </c>
      <c r="H1096" s="12">
        <v>0</v>
      </c>
      <c r="I1096" s="12">
        <v>0</v>
      </c>
      <c r="J1096" s="12">
        <v>0</v>
      </c>
      <c r="K1096" s="12">
        <v>0</v>
      </c>
      <c r="L1096" s="12">
        <v>0</v>
      </c>
      <c r="M1096" s="12">
        <v>0</v>
      </c>
      <c r="N1096" s="12">
        <v>0</v>
      </c>
      <c r="O1096" s="12">
        <v>0</v>
      </c>
      <c r="P1096" s="12">
        <v>0</v>
      </c>
      <c r="Q1096" s="12">
        <v>0</v>
      </c>
      <c r="R1096" s="12">
        <v>1</v>
      </c>
      <c r="S1096" t="s">
        <v>277</v>
      </c>
    </row>
    <row r="1097" spans="1:19" x14ac:dyDescent="0.25">
      <c r="A1097" s="13">
        <v>45986.511307870373</v>
      </c>
      <c r="B1097" t="s">
        <v>350</v>
      </c>
      <c r="C1097" t="s">
        <v>358</v>
      </c>
      <c r="D1097" t="s">
        <v>10</v>
      </c>
      <c r="E1097" t="s">
        <v>11</v>
      </c>
      <c r="F1097" t="s">
        <v>12</v>
      </c>
      <c r="G1097">
        <v>10.5</v>
      </c>
      <c r="H1097" s="12">
        <v>0</v>
      </c>
      <c r="I1097" s="12">
        <v>0</v>
      </c>
      <c r="J1097" s="12">
        <v>0</v>
      </c>
      <c r="K1097" s="12">
        <v>0</v>
      </c>
      <c r="L1097" s="12">
        <v>1</v>
      </c>
      <c r="M1097" s="12">
        <v>0</v>
      </c>
      <c r="N1097" s="12">
        <v>0</v>
      </c>
      <c r="O1097" s="12">
        <v>0</v>
      </c>
      <c r="P1097" s="12">
        <v>0</v>
      </c>
      <c r="Q1097" s="12">
        <v>0</v>
      </c>
      <c r="R1097" s="12">
        <v>0</v>
      </c>
    </row>
    <row r="1098" spans="1:19" x14ac:dyDescent="0.25">
      <c r="A1098" s="13">
        <v>45986.542349537034</v>
      </c>
      <c r="B1098" t="s">
        <v>351</v>
      </c>
      <c r="C1098" t="s">
        <v>358</v>
      </c>
      <c r="D1098" t="s">
        <v>10</v>
      </c>
      <c r="E1098" t="s">
        <v>11</v>
      </c>
      <c r="F1098" t="s">
        <v>18</v>
      </c>
      <c r="G1098">
        <v>20</v>
      </c>
      <c r="H1098" s="12">
        <v>0</v>
      </c>
      <c r="I1098" s="12">
        <v>0</v>
      </c>
      <c r="J1098" s="12">
        <v>0</v>
      </c>
      <c r="K1098" s="12">
        <v>0</v>
      </c>
      <c r="L1098" s="12">
        <v>1</v>
      </c>
      <c r="M1098" s="12">
        <v>0</v>
      </c>
      <c r="N1098" s="12">
        <v>0</v>
      </c>
      <c r="O1098" s="12">
        <v>0</v>
      </c>
      <c r="P1098" s="12">
        <v>0</v>
      </c>
      <c r="Q1098" s="12">
        <v>0</v>
      </c>
      <c r="R1098" s="12">
        <v>0</v>
      </c>
      <c r="S1098" t="s">
        <v>278</v>
      </c>
    </row>
    <row r="1099" spans="1:19" x14ac:dyDescent="0.25">
      <c r="A1099" s="13">
        <v>45986.586076388892</v>
      </c>
      <c r="B1099" t="s">
        <v>348</v>
      </c>
      <c r="C1099" t="s">
        <v>358</v>
      </c>
      <c r="D1099" t="s">
        <v>10</v>
      </c>
      <c r="E1099" t="s">
        <v>11</v>
      </c>
      <c r="F1099" t="s">
        <v>15</v>
      </c>
      <c r="G1099">
        <v>3</v>
      </c>
      <c r="H1099" s="12">
        <v>0</v>
      </c>
      <c r="I1099" s="12">
        <v>0</v>
      </c>
      <c r="J1099" s="12">
        <v>0</v>
      </c>
      <c r="K1099" s="12">
        <v>0</v>
      </c>
      <c r="L1099" s="12">
        <v>0</v>
      </c>
      <c r="M1099" s="12">
        <v>0</v>
      </c>
      <c r="N1099" s="12">
        <v>0</v>
      </c>
      <c r="O1099" s="12">
        <v>0</v>
      </c>
      <c r="P1099" s="12">
        <v>1</v>
      </c>
      <c r="Q1099" s="12">
        <v>0</v>
      </c>
      <c r="R1099" s="12">
        <v>0</v>
      </c>
    </row>
    <row r="1100" spans="1:19" x14ac:dyDescent="0.25">
      <c r="A1100" s="13">
        <v>45986.605486111112</v>
      </c>
      <c r="B1100" t="s">
        <v>348</v>
      </c>
      <c r="C1100" t="s">
        <v>358</v>
      </c>
      <c r="D1100" t="s">
        <v>10</v>
      </c>
      <c r="E1100" t="s">
        <v>11</v>
      </c>
      <c r="F1100" t="s">
        <v>15</v>
      </c>
      <c r="G1100">
        <v>3</v>
      </c>
      <c r="H1100" s="12">
        <v>0</v>
      </c>
      <c r="I1100" s="12">
        <v>0</v>
      </c>
      <c r="J1100" s="12">
        <v>0</v>
      </c>
      <c r="K1100" s="12">
        <v>0</v>
      </c>
      <c r="L1100" s="12">
        <v>0</v>
      </c>
      <c r="M1100" s="12">
        <v>0</v>
      </c>
      <c r="N1100" s="12">
        <v>0</v>
      </c>
      <c r="O1100" s="12">
        <v>0</v>
      </c>
      <c r="P1100" s="12">
        <v>0</v>
      </c>
      <c r="Q1100" s="12">
        <v>0</v>
      </c>
      <c r="R1100" s="12">
        <v>1</v>
      </c>
      <c r="S1100" t="s">
        <v>279</v>
      </c>
    </row>
    <row r="1101" spans="1:19" x14ac:dyDescent="0.25">
      <c r="A1101" s="13">
        <v>45986.610995370371</v>
      </c>
      <c r="B1101" t="s">
        <v>348</v>
      </c>
      <c r="C1101" t="s">
        <v>358</v>
      </c>
      <c r="D1101" t="s">
        <v>10</v>
      </c>
      <c r="E1101" t="s">
        <v>11</v>
      </c>
      <c r="F1101" t="s">
        <v>15</v>
      </c>
      <c r="G1101">
        <v>3</v>
      </c>
      <c r="H1101" s="12">
        <v>1</v>
      </c>
      <c r="I1101" s="12">
        <v>0</v>
      </c>
      <c r="J1101" s="12">
        <v>1</v>
      </c>
      <c r="K1101" s="12">
        <v>0</v>
      </c>
      <c r="L1101" s="12">
        <v>0</v>
      </c>
      <c r="M1101" s="12">
        <v>0</v>
      </c>
      <c r="N1101" s="12">
        <v>0</v>
      </c>
      <c r="O1101" s="12">
        <v>0</v>
      </c>
      <c r="P1101" s="12">
        <v>0</v>
      </c>
      <c r="Q1101" s="12">
        <v>0</v>
      </c>
      <c r="R1101" s="12">
        <v>0</v>
      </c>
      <c r="S1101" t="s">
        <v>280</v>
      </c>
    </row>
    <row r="1102" spans="1:19" x14ac:dyDescent="0.25">
      <c r="A1102" s="13">
        <v>45986.616018518522</v>
      </c>
      <c r="B1102" t="s">
        <v>348</v>
      </c>
      <c r="C1102" t="s">
        <v>358</v>
      </c>
      <c r="D1102" t="s">
        <v>10</v>
      </c>
      <c r="E1102" t="s">
        <v>11</v>
      </c>
      <c r="F1102" t="s">
        <v>15</v>
      </c>
      <c r="G1102">
        <v>3</v>
      </c>
      <c r="H1102" s="12">
        <v>1</v>
      </c>
      <c r="I1102" s="12">
        <v>0</v>
      </c>
      <c r="J1102" s="12">
        <v>0</v>
      </c>
      <c r="K1102" s="12">
        <v>0</v>
      </c>
      <c r="L1102" s="12">
        <v>0</v>
      </c>
      <c r="M1102" s="12">
        <v>0</v>
      </c>
      <c r="N1102" s="12">
        <v>0</v>
      </c>
      <c r="O1102" s="12">
        <v>0</v>
      </c>
      <c r="P1102" s="12">
        <v>0</v>
      </c>
      <c r="Q1102" s="12">
        <v>0</v>
      </c>
      <c r="R1102" s="12">
        <v>0</v>
      </c>
      <c r="S1102" t="s">
        <v>281</v>
      </c>
    </row>
    <row r="1103" spans="1:19" x14ac:dyDescent="0.25">
      <c r="A1103" s="13">
        <v>45986.624456018515</v>
      </c>
      <c r="B1103" t="s">
        <v>348</v>
      </c>
      <c r="C1103" t="s">
        <v>358</v>
      </c>
      <c r="D1103" t="s">
        <v>10</v>
      </c>
      <c r="E1103" t="s">
        <v>11</v>
      </c>
      <c r="F1103" t="s">
        <v>14</v>
      </c>
      <c r="G1103">
        <v>0.5</v>
      </c>
      <c r="H1103" s="12">
        <v>1</v>
      </c>
      <c r="I1103" s="12">
        <v>0</v>
      </c>
      <c r="J1103" s="12">
        <v>0</v>
      </c>
      <c r="K1103" s="12">
        <v>0</v>
      </c>
      <c r="L1103" s="12">
        <v>0</v>
      </c>
      <c r="M1103" s="12">
        <v>0</v>
      </c>
      <c r="N1103" s="12">
        <v>0</v>
      </c>
      <c r="O1103" s="12">
        <v>0</v>
      </c>
      <c r="P1103" s="12">
        <v>0</v>
      </c>
      <c r="Q1103" s="12">
        <v>0</v>
      </c>
      <c r="R1103" s="12">
        <v>0</v>
      </c>
      <c r="S1103" t="s">
        <v>282</v>
      </c>
    </row>
    <row r="1104" spans="1:19" x14ac:dyDescent="0.25">
      <c r="A1104" s="13">
        <v>45986.624571759261</v>
      </c>
      <c r="B1104" t="s">
        <v>348</v>
      </c>
      <c r="C1104" t="s">
        <v>358</v>
      </c>
      <c r="D1104" t="s">
        <v>10</v>
      </c>
      <c r="E1104" t="s">
        <v>11</v>
      </c>
      <c r="F1104" t="s">
        <v>12</v>
      </c>
      <c r="G1104">
        <v>10.5</v>
      </c>
      <c r="H1104" s="12">
        <v>1</v>
      </c>
      <c r="I1104" s="12">
        <v>0</v>
      </c>
      <c r="J1104" s="12">
        <v>0</v>
      </c>
      <c r="K1104" s="12">
        <v>0</v>
      </c>
      <c r="L1104" s="12">
        <v>0</v>
      </c>
      <c r="M1104" s="12">
        <v>0</v>
      </c>
      <c r="N1104" s="12">
        <v>0</v>
      </c>
      <c r="O1104" s="12">
        <v>0</v>
      </c>
      <c r="P1104" s="12">
        <v>0</v>
      </c>
      <c r="Q1104" s="12">
        <v>0</v>
      </c>
      <c r="R1104" s="12">
        <v>0</v>
      </c>
    </row>
    <row r="1105" spans="1:19" x14ac:dyDescent="0.25">
      <c r="A1105" s="13">
        <v>45986.75503472222</v>
      </c>
      <c r="B1105" t="s">
        <v>355</v>
      </c>
      <c r="C1105" t="s">
        <v>358</v>
      </c>
      <c r="D1105" t="s">
        <v>10</v>
      </c>
      <c r="E1105" t="s">
        <v>11</v>
      </c>
      <c r="F1105" t="s">
        <v>15</v>
      </c>
      <c r="G1105">
        <v>3</v>
      </c>
      <c r="H1105" s="12">
        <v>0</v>
      </c>
      <c r="I1105" s="12">
        <v>0</v>
      </c>
      <c r="J1105" s="12">
        <v>0</v>
      </c>
      <c r="K1105" s="12">
        <v>0</v>
      </c>
      <c r="L1105" s="12">
        <v>1</v>
      </c>
      <c r="M1105" s="12">
        <v>0</v>
      </c>
      <c r="N1105" s="12">
        <v>0</v>
      </c>
      <c r="O1105" s="12">
        <v>0</v>
      </c>
      <c r="P1105" s="12">
        <v>0</v>
      </c>
      <c r="Q1105" s="12">
        <v>0</v>
      </c>
      <c r="R1105" s="12">
        <v>0</v>
      </c>
    </row>
    <row r="1106" spans="1:19" x14ac:dyDescent="0.25">
      <c r="A1106" s="13">
        <v>45986.755115740743</v>
      </c>
      <c r="B1106" t="s">
        <v>355</v>
      </c>
      <c r="C1106" t="s">
        <v>358</v>
      </c>
      <c r="D1106" t="s">
        <v>10</v>
      </c>
      <c r="E1106" t="s">
        <v>11</v>
      </c>
      <c r="F1106" t="s">
        <v>14</v>
      </c>
      <c r="G1106">
        <v>0.5</v>
      </c>
      <c r="H1106" s="12">
        <v>0</v>
      </c>
      <c r="I1106" s="12">
        <v>0</v>
      </c>
      <c r="J1106" s="12">
        <v>0</v>
      </c>
      <c r="K1106" s="12">
        <v>0</v>
      </c>
      <c r="L1106" s="12">
        <v>0</v>
      </c>
      <c r="M1106" s="12">
        <v>0</v>
      </c>
      <c r="N1106" s="12">
        <v>0</v>
      </c>
      <c r="O1106" s="12">
        <v>0</v>
      </c>
      <c r="P1106" s="12">
        <v>0</v>
      </c>
      <c r="Q1106" s="12">
        <v>1</v>
      </c>
      <c r="R1106" s="12">
        <v>0</v>
      </c>
    </row>
    <row r="1107" spans="1:19" x14ac:dyDescent="0.25">
      <c r="A1107" s="13">
        <v>45986.755231481482</v>
      </c>
      <c r="B1107" t="s">
        <v>355</v>
      </c>
      <c r="C1107" t="s">
        <v>358</v>
      </c>
      <c r="D1107" t="s">
        <v>10</v>
      </c>
      <c r="E1107" t="s">
        <v>11</v>
      </c>
      <c r="F1107" t="s">
        <v>12</v>
      </c>
      <c r="G1107">
        <v>10.5</v>
      </c>
      <c r="H1107" s="12">
        <v>1</v>
      </c>
      <c r="I1107" s="12">
        <v>0</v>
      </c>
      <c r="J1107" s="12">
        <v>1</v>
      </c>
      <c r="K1107" s="12">
        <v>0</v>
      </c>
      <c r="L1107" s="12">
        <v>0</v>
      </c>
      <c r="M1107" s="12">
        <v>0</v>
      </c>
      <c r="N1107" s="12">
        <v>0</v>
      </c>
      <c r="O1107" s="12">
        <v>0</v>
      </c>
      <c r="P1107" s="12">
        <v>0</v>
      </c>
      <c r="Q1107" s="12">
        <v>0</v>
      </c>
      <c r="R1107" s="12">
        <v>0</v>
      </c>
    </row>
    <row r="1108" spans="1:19" x14ac:dyDescent="0.25">
      <c r="A1108" s="13">
        <v>45986.755370370367</v>
      </c>
      <c r="B1108" t="s">
        <v>355</v>
      </c>
      <c r="C1108" t="s">
        <v>358</v>
      </c>
      <c r="D1108" t="s">
        <v>10</v>
      </c>
      <c r="E1108" t="s">
        <v>11</v>
      </c>
      <c r="F1108" t="s">
        <v>15</v>
      </c>
      <c r="G1108">
        <v>3</v>
      </c>
      <c r="H1108" s="12">
        <v>0</v>
      </c>
      <c r="I1108" s="12">
        <v>0</v>
      </c>
      <c r="J1108" s="12">
        <v>0</v>
      </c>
      <c r="K1108" s="12">
        <v>0</v>
      </c>
      <c r="L1108" s="12">
        <v>0</v>
      </c>
      <c r="M1108" s="12">
        <v>0</v>
      </c>
      <c r="N1108" s="12">
        <v>0</v>
      </c>
      <c r="O1108" s="12">
        <v>1</v>
      </c>
      <c r="P1108" s="12">
        <v>0</v>
      </c>
      <c r="Q1108" s="12">
        <v>0</v>
      </c>
      <c r="R1108" s="12">
        <v>0</v>
      </c>
    </row>
    <row r="1109" spans="1:19" x14ac:dyDescent="0.25">
      <c r="A1109" s="13">
        <v>45987.484189814815</v>
      </c>
      <c r="B1109" t="s">
        <v>354</v>
      </c>
      <c r="C1109" t="s">
        <v>359</v>
      </c>
      <c r="D1109" t="s">
        <v>10</v>
      </c>
      <c r="E1109" t="s">
        <v>11</v>
      </c>
      <c r="F1109" t="s">
        <v>12</v>
      </c>
      <c r="G1109">
        <v>10.5</v>
      </c>
      <c r="H1109" s="12">
        <v>0</v>
      </c>
      <c r="I1109" s="12">
        <v>0</v>
      </c>
      <c r="J1109" s="12">
        <v>0</v>
      </c>
      <c r="K1109" s="12">
        <v>0</v>
      </c>
      <c r="L1109" s="12">
        <v>1</v>
      </c>
      <c r="M1109" s="12">
        <v>0</v>
      </c>
      <c r="N1109" s="12">
        <v>0</v>
      </c>
      <c r="O1109" s="12">
        <v>0</v>
      </c>
      <c r="P1109" s="12">
        <v>0</v>
      </c>
      <c r="Q1109" s="12">
        <v>0</v>
      </c>
      <c r="R1109" s="12">
        <v>0</v>
      </c>
    </row>
    <row r="1110" spans="1:19" x14ac:dyDescent="0.25">
      <c r="A1110" s="13">
        <v>45987.51122685185</v>
      </c>
      <c r="B1110" t="s">
        <v>350</v>
      </c>
      <c r="C1110" t="s">
        <v>359</v>
      </c>
      <c r="D1110" t="s">
        <v>10</v>
      </c>
      <c r="E1110" t="s">
        <v>11</v>
      </c>
      <c r="F1110" t="s">
        <v>15</v>
      </c>
      <c r="G1110">
        <v>3</v>
      </c>
      <c r="H1110" s="12">
        <v>0</v>
      </c>
      <c r="I1110" s="12">
        <v>0</v>
      </c>
      <c r="J1110" s="12">
        <v>0</v>
      </c>
      <c r="K1110" s="12">
        <v>0</v>
      </c>
      <c r="L1110" s="12">
        <v>0</v>
      </c>
      <c r="M1110" s="12">
        <v>0</v>
      </c>
      <c r="N1110" s="12">
        <v>0</v>
      </c>
      <c r="O1110" s="12">
        <v>0</v>
      </c>
      <c r="P1110" s="12">
        <v>1</v>
      </c>
      <c r="Q1110" s="12">
        <v>0</v>
      </c>
      <c r="R1110" s="12">
        <v>0</v>
      </c>
    </row>
    <row r="1111" spans="1:19" x14ac:dyDescent="0.25">
      <c r="A1111" s="13">
        <v>45987.530555555553</v>
      </c>
      <c r="B1111" t="s">
        <v>350</v>
      </c>
      <c r="C1111" t="s">
        <v>359</v>
      </c>
      <c r="D1111" t="s">
        <v>10</v>
      </c>
      <c r="E1111" t="s">
        <v>11</v>
      </c>
      <c r="F1111" t="s">
        <v>15</v>
      </c>
      <c r="G1111">
        <v>3</v>
      </c>
      <c r="H1111" s="12">
        <v>0</v>
      </c>
      <c r="I1111" s="12">
        <v>0</v>
      </c>
      <c r="J1111" s="12">
        <v>0</v>
      </c>
      <c r="K1111" s="12">
        <v>0</v>
      </c>
      <c r="L1111" s="12">
        <v>0</v>
      </c>
      <c r="M1111" s="12">
        <v>0</v>
      </c>
      <c r="N1111" s="12">
        <v>0</v>
      </c>
      <c r="O1111" s="12">
        <v>0</v>
      </c>
      <c r="P1111" s="12">
        <v>1</v>
      </c>
      <c r="Q1111" s="12">
        <v>0</v>
      </c>
      <c r="R1111" s="12">
        <v>0</v>
      </c>
    </row>
    <row r="1112" spans="1:19" x14ac:dyDescent="0.25">
      <c r="A1112" s="13">
        <v>45987.539212962962</v>
      </c>
      <c r="B1112" t="s">
        <v>350</v>
      </c>
      <c r="C1112" t="s">
        <v>359</v>
      </c>
      <c r="D1112" t="s">
        <v>10</v>
      </c>
      <c r="E1112" t="s">
        <v>11</v>
      </c>
      <c r="F1112" t="s">
        <v>15</v>
      </c>
      <c r="G1112">
        <v>3</v>
      </c>
      <c r="H1112" s="12">
        <v>0</v>
      </c>
      <c r="I1112" s="12">
        <v>0</v>
      </c>
      <c r="J1112" s="12">
        <v>0</v>
      </c>
      <c r="K1112" s="12">
        <v>0</v>
      </c>
      <c r="L1112" s="12">
        <v>0</v>
      </c>
      <c r="M1112" s="12">
        <v>0</v>
      </c>
      <c r="N1112" s="12">
        <v>0</v>
      </c>
      <c r="O1112" s="12">
        <v>0</v>
      </c>
      <c r="P1112" s="12">
        <v>1</v>
      </c>
      <c r="Q1112" s="12">
        <v>0</v>
      </c>
      <c r="R1112" s="12">
        <v>0</v>
      </c>
    </row>
    <row r="1113" spans="1:19" x14ac:dyDescent="0.25">
      <c r="A1113" s="13">
        <v>45987.60597222222</v>
      </c>
      <c r="B1113" t="s">
        <v>348</v>
      </c>
      <c r="C1113" t="s">
        <v>359</v>
      </c>
      <c r="D1113" t="s">
        <v>10</v>
      </c>
      <c r="E1113" t="s">
        <v>11</v>
      </c>
      <c r="F1113" t="s">
        <v>18</v>
      </c>
      <c r="G1113">
        <v>20</v>
      </c>
      <c r="H1113" s="12">
        <v>0</v>
      </c>
      <c r="I1113" s="12">
        <v>0</v>
      </c>
      <c r="J1113" s="12">
        <v>0</v>
      </c>
      <c r="K1113" s="12">
        <v>0</v>
      </c>
      <c r="L1113" s="12">
        <v>1</v>
      </c>
      <c r="M1113" s="12">
        <v>0</v>
      </c>
      <c r="N1113" s="12">
        <v>0</v>
      </c>
      <c r="O1113" s="12">
        <v>0</v>
      </c>
      <c r="P1113" s="12">
        <v>0</v>
      </c>
      <c r="Q1113" s="12">
        <v>0</v>
      </c>
      <c r="R1113" s="12">
        <v>0</v>
      </c>
      <c r="S1113" t="s">
        <v>283</v>
      </c>
    </row>
    <row r="1114" spans="1:19" x14ac:dyDescent="0.25">
      <c r="A1114" s="13">
        <v>45987.751539351855</v>
      </c>
      <c r="B1114" t="s">
        <v>355</v>
      </c>
      <c r="C1114" t="s">
        <v>359</v>
      </c>
      <c r="D1114" t="s">
        <v>10</v>
      </c>
      <c r="E1114" t="s">
        <v>11</v>
      </c>
      <c r="F1114" t="s">
        <v>15</v>
      </c>
      <c r="G1114">
        <v>3</v>
      </c>
      <c r="H1114" s="12">
        <v>0</v>
      </c>
      <c r="I1114" s="12">
        <v>0</v>
      </c>
      <c r="J1114" s="12">
        <v>0</v>
      </c>
      <c r="K1114" s="12">
        <v>0</v>
      </c>
      <c r="L1114" s="12">
        <v>1</v>
      </c>
      <c r="M1114" s="12">
        <v>0</v>
      </c>
      <c r="N1114" s="12">
        <v>0</v>
      </c>
      <c r="O1114" s="12">
        <v>0</v>
      </c>
      <c r="P1114" s="12">
        <v>0</v>
      </c>
      <c r="Q1114" s="12">
        <v>0</v>
      </c>
      <c r="R1114" s="12">
        <v>0</v>
      </c>
    </row>
    <row r="1115" spans="1:19" x14ac:dyDescent="0.25">
      <c r="A1115" s="13">
        <v>45987.751597222225</v>
      </c>
      <c r="B1115" t="s">
        <v>355</v>
      </c>
      <c r="C1115" t="s">
        <v>359</v>
      </c>
      <c r="D1115" t="s">
        <v>10</v>
      </c>
      <c r="E1115" t="s">
        <v>11</v>
      </c>
      <c r="F1115" t="s">
        <v>14</v>
      </c>
      <c r="G1115">
        <v>0.5</v>
      </c>
      <c r="H1115" s="12">
        <v>0</v>
      </c>
      <c r="I1115" s="12">
        <v>0</v>
      </c>
      <c r="J1115" s="12">
        <v>0</v>
      </c>
      <c r="K1115" s="12">
        <v>0</v>
      </c>
      <c r="L1115" s="12">
        <v>0</v>
      </c>
      <c r="M1115" s="12">
        <v>0</v>
      </c>
      <c r="N1115" s="12">
        <v>0</v>
      </c>
      <c r="O1115" s="12">
        <v>0</v>
      </c>
      <c r="P1115" s="12">
        <v>1</v>
      </c>
      <c r="Q1115" s="12">
        <v>0</v>
      </c>
      <c r="R1115" s="12">
        <v>0</v>
      </c>
    </row>
    <row r="1116" spans="1:19" x14ac:dyDescent="0.25">
      <c r="A1116" s="13">
        <v>45987.751666666663</v>
      </c>
      <c r="B1116" t="s">
        <v>355</v>
      </c>
      <c r="C1116" t="s">
        <v>359</v>
      </c>
      <c r="D1116" t="s">
        <v>10</v>
      </c>
      <c r="E1116" t="s">
        <v>11</v>
      </c>
      <c r="F1116" t="s">
        <v>15</v>
      </c>
      <c r="G1116">
        <v>3</v>
      </c>
      <c r="H1116" s="12">
        <v>0</v>
      </c>
      <c r="I1116" s="12">
        <v>0</v>
      </c>
      <c r="J1116" s="12">
        <v>0</v>
      </c>
      <c r="K1116" s="12">
        <v>0</v>
      </c>
      <c r="L1116" s="12">
        <v>0</v>
      </c>
      <c r="M1116" s="12">
        <v>0</v>
      </c>
      <c r="N1116" s="12">
        <v>0</v>
      </c>
      <c r="O1116" s="12">
        <v>0</v>
      </c>
      <c r="P1116" s="12">
        <v>1</v>
      </c>
      <c r="Q1116" s="12">
        <v>0</v>
      </c>
      <c r="R1116" s="12">
        <v>0</v>
      </c>
    </row>
    <row r="1117" spans="1:19" x14ac:dyDescent="0.25">
      <c r="A1117" s="13">
        <v>45987.751736111109</v>
      </c>
      <c r="B1117" t="s">
        <v>355</v>
      </c>
      <c r="C1117" t="s">
        <v>359</v>
      </c>
      <c r="D1117" t="s">
        <v>10</v>
      </c>
      <c r="E1117" t="s">
        <v>11</v>
      </c>
      <c r="F1117" t="s">
        <v>14</v>
      </c>
      <c r="G1117">
        <v>0.5</v>
      </c>
      <c r="H1117" s="12">
        <v>0</v>
      </c>
      <c r="I1117" s="12">
        <v>0</v>
      </c>
      <c r="J1117" s="12">
        <v>0</v>
      </c>
      <c r="K1117" s="12">
        <v>0</v>
      </c>
      <c r="L1117" s="12">
        <v>0</v>
      </c>
      <c r="M1117" s="12">
        <v>0</v>
      </c>
      <c r="N1117" s="12">
        <v>0</v>
      </c>
      <c r="O1117" s="12">
        <v>0</v>
      </c>
      <c r="P1117" s="12">
        <v>0</v>
      </c>
      <c r="Q1117" s="12">
        <v>1</v>
      </c>
      <c r="R1117" s="12">
        <v>0</v>
      </c>
    </row>
    <row r="1118" spans="1:19" x14ac:dyDescent="0.25">
      <c r="A1118" s="13">
        <v>45988.379988425928</v>
      </c>
      <c r="B1118" t="s">
        <v>352</v>
      </c>
      <c r="C1118" t="s">
        <v>360</v>
      </c>
      <c r="D1118" t="s">
        <v>20</v>
      </c>
      <c r="E1118" t="s">
        <v>11</v>
      </c>
      <c r="F1118" t="s">
        <v>15</v>
      </c>
      <c r="G1118">
        <v>3</v>
      </c>
      <c r="H1118" s="12">
        <v>0</v>
      </c>
      <c r="I1118" s="12">
        <v>0</v>
      </c>
      <c r="J1118" s="12">
        <v>0</v>
      </c>
      <c r="K1118" s="12">
        <v>0</v>
      </c>
      <c r="L1118" s="12">
        <v>0</v>
      </c>
      <c r="M1118" s="12">
        <v>0</v>
      </c>
      <c r="N1118" s="12">
        <v>0</v>
      </c>
      <c r="O1118" s="12">
        <v>0</v>
      </c>
      <c r="P1118" s="12">
        <v>1</v>
      </c>
      <c r="Q1118" s="12">
        <v>0</v>
      </c>
      <c r="R1118" s="12">
        <v>0</v>
      </c>
    </row>
    <row r="1119" spans="1:19" x14ac:dyDescent="0.25">
      <c r="A1119" s="13">
        <v>45988.457986111112</v>
      </c>
      <c r="B1119" t="s">
        <v>347</v>
      </c>
      <c r="C1119" t="s">
        <v>360</v>
      </c>
      <c r="D1119" t="s">
        <v>10</v>
      </c>
      <c r="E1119" t="s">
        <v>11</v>
      </c>
      <c r="F1119" t="s">
        <v>15</v>
      </c>
      <c r="G1119">
        <v>3</v>
      </c>
      <c r="H1119" s="12">
        <v>0</v>
      </c>
      <c r="I1119" s="12">
        <v>0</v>
      </c>
      <c r="J1119" s="12">
        <v>0</v>
      </c>
      <c r="K1119" s="12">
        <v>0</v>
      </c>
      <c r="L1119" s="12">
        <v>0</v>
      </c>
      <c r="M1119" s="12">
        <v>0</v>
      </c>
      <c r="N1119" s="12">
        <v>0</v>
      </c>
      <c r="O1119" s="12">
        <v>0</v>
      </c>
      <c r="P1119" s="12">
        <v>1</v>
      </c>
      <c r="Q1119" s="12">
        <v>0</v>
      </c>
      <c r="R1119" s="12">
        <v>0</v>
      </c>
    </row>
    <row r="1120" spans="1:19" x14ac:dyDescent="0.25">
      <c r="A1120" s="13">
        <v>45988.593726851854</v>
      </c>
      <c r="B1120" t="s">
        <v>348</v>
      </c>
      <c r="C1120" t="s">
        <v>360</v>
      </c>
      <c r="D1120" t="s">
        <v>10</v>
      </c>
      <c r="E1120" t="s">
        <v>11</v>
      </c>
      <c r="F1120" t="s">
        <v>14</v>
      </c>
      <c r="G1120">
        <v>0.5</v>
      </c>
      <c r="H1120" s="12">
        <v>0</v>
      </c>
      <c r="I1120" s="12">
        <v>0</v>
      </c>
      <c r="J1120" s="12">
        <v>0</v>
      </c>
      <c r="K1120" s="12">
        <v>0</v>
      </c>
      <c r="L1120" s="12">
        <v>0</v>
      </c>
      <c r="M1120" s="12">
        <v>0</v>
      </c>
      <c r="N1120" s="12">
        <v>0</v>
      </c>
      <c r="O1120" s="12">
        <v>0</v>
      </c>
      <c r="P1120" s="12">
        <v>0</v>
      </c>
      <c r="Q1120" s="12">
        <v>0</v>
      </c>
      <c r="R1120" s="12">
        <v>1</v>
      </c>
      <c r="S1120" t="s">
        <v>105</v>
      </c>
    </row>
    <row r="1121" spans="1:19" x14ac:dyDescent="0.25">
      <c r="A1121" s="13">
        <v>45989.462037037039</v>
      </c>
      <c r="B1121" t="s">
        <v>354</v>
      </c>
      <c r="C1121" t="s">
        <v>361</v>
      </c>
      <c r="D1121" t="s">
        <v>10</v>
      </c>
      <c r="E1121" t="s">
        <v>11</v>
      </c>
      <c r="F1121" t="s">
        <v>14</v>
      </c>
      <c r="G1121">
        <v>0.5</v>
      </c>
      <c r="H1121" s="12">
        <v>0</v>
      </c>
      <c r="I1121" s="12">
        <v>0</v>
      </c>
      <c r="J1121" s="12">
        <v>0</v>
      </c>
      <c r="K1121" s="12">
        <v>0</v>
      </c>
      <c r="L1121" s="12">
        <v>0</v>
      </c>
      <c r="M1121" s="12">
        <v>0</v>
      </c>
      <c r="N1121" s="12">
        <v>0</v>
      </c>
      <c r="O1121" s="12">
        <v>0</v>
      </c>
      <c r="P1121" s="12">
        <v>1</v>
      </c>
      <c r="Q1121" s="12">
        <v>0</v>
      </c>
      <c r="R1121" s="12">
        <v>0</v>
      </c>
    </row>
    <row r="1122" spans="1:19" x14ac:dyDescent="0.25">
      <c r="A1122" s="13">
        <v>45989.464641203704</v>
      </c>
      <c r="B1122" t="s">
        <v>354</v>
      </c>
      <c r="C1122" t="s">
        <v>361</v>
      </c>
      <c r="D1122" t="s">
        <v>10</v>
      </c>
      <c r="E1122" t="s">
        <v>11</v>
      </c>
      <c r="F1122" t="s">
        <v>14</v>
      </c>
      <c r="G1122">
        <v>0.5</v>
      </c>
      <c r="H1122" s="12">
        <v>0</v>
      </c>
      <c r="I1122" s="12">
        <v>0</v>
      </c>
      <c r="J1122" s="12">
        <v>0</v>
      </c>
      <c r="K1122" s="12">
        <v>0</v>
      </c>
      <c r="L1122" s="12">
        <v>0</v>
      </c>
      <c r="M1122" s="12">
        <v>0</v>
      </c>
      <c r="N1122" s="12">
        <v>0</v>
      </c>
      <c r="O1122" s="12">
        <v>0</v>
      </c>
      <c r="P1122" s="12">
        <v>1</v>
      </c>
      <c r="Q1122" s="12">
        <v>0</v>
      </c>
      <c r="R1122" s="12">
        <v>0</v>
      </c>
    </row>
    <row r="1123" spans="1:19" x14ac:dyDescent="0.25">
      <c r="A1123" s="13">
        <v>45989.467013888891</v>
      </c>
      <c r="B1123" t="s">
        <v>354</v>
      </c>
      <c r="C1123" t="s">
        <v>361</v>
      </c>
      <c r="D1123" t="s">
        <v>10</v>
      </c>
      <c r="E1123" t="s">
        <v>11</v>
      </c>
      <c r="F1123" t="s">
        <v>15</v>
      </c>
      <c r="G1123">
        <v>3</v>
      </c>
      <c r="H1123" s="12">
        <v>0</v>
      </c>
      <c r="I1123" s="12">
        <v>0</v>
      </c>
      <c r="J1123" s="12">
        <v>0</v>
      </c>
      <c r="K1123" s="12">
        <v>0</v>
      </c>
      <c r="L1123" s="12">
        <v>0</v>
      </c>
      <c r="M1123" s="12">
        <v>0</v>
      </c>
      <c r="N1123" s="12">
        <v>1</v>
      </c>
      <c r="O1123" s="12">
        <v>0</v>
      </c>
      <c r="P1123" s="12">
        <v>0</v>
      </c>
      <c r="Q1123" s="12">
        <v>0</v>
      </c>
      <c r="R1123" s="12">
        <v>0</v>
      </c>
    </row>
    <row r="1124" spans="1:19" x14ac:dyDescent="0.25">
      <c r="A1124" s="13">
        <v>45989.492604166669</v>
      </c>
      <c r="B1124" t="s">
        <v>354</v>
      </c>
      <c r="C1124" t="s">
        <v>361</v>
      </c>
      <c r="D1124" t="s">
        <v>10</v>
      </c>
      <c r="E1124" t="s">
        <v>11</v>
      </c>
      <c r="F1124" t="s">
        <v>14</v>
      </c>
      <c r="G1124">
        <v>0.5</v>
      </c>
      <c r="H1124" s="12">
        <v>0</v>
      </c>
      <c r="I1124" s="12">
        <v>0</v>
      </c>
      <c r="J1124" s="12">
        <v>0</v>
      </c>
      <c r="K1124" s="12">
        <v>0</v>
      </c>
      <c r="L1124" s="12">
        <v>0</v>
      </c>
      <c r="M1124" s="12">
        <v>0</v>
      </c>
      <c r="N1124" s="12">
        <v>0</v>
      </c>
      <c r="O1124" s="12">
        <v>0</v>
      </c>
      <c r="P1124" s="12">
        <v>1</v>
      </c>
      <c r="Q1124" s="12">
        <v>0</v>
      </c>
      <c r="R1124" s="12">
        <v>0</v>
      </c>
    </row>
    <row r="1125" spans="1:19" x14ac:dyDescent="0.25">
      <c r="A1125" s="13">
        <v>45989.509340277778</v>
      </c>
      <c r="B1125" t="s">
        <v>350</v>
      </c>
      <c r="C1125" t="s">
        <v>361</v>
      </c>
      <c r="D1125" t="s">
        <v>10</v>
      </c>
      <c r="E1125" t="s">
        <v>11</v>
      </c>
      <c r="F1125" t="s">
        <v>14</v>
      </c>
      <c r="G1125">
        <v>0.5</v>
      </c>
      <c r="H1125" s="12">
        <v>0</v>
      </c>
      <c r="I1125" s="12">
        <v>0</v>
      </c>
      <c r="J1125" s="12">
        <v>0</v>
      </c>
      <c r="K1125" s="12">
        <v>0</v>
      </c>
      <c r="L1125" s="12">
        <v>0</v>
      </c>
      <c r="M1125" s="12">
        <v>0</v>
      </c>
      <c r="N1125" s="12">
        <v>0</v>
      </c>
      <c r="O1125" s="12">
        <v>0</v>
      </c>
      <c r="P1125" s="12">
        <v>1</v>
      </c>
      <c r="Q1125" s="12">
        <v>0</v>
      </c>
      <c r="R1125" s="12">
        <v>0</v>
      </c>
    </row>
    <row r="1126" spans="1:19" x14ac:dyDescent="0.25">
      <c r="A1126" s="13">
        <v>45989.515393518515</v>
      </c>
      <c r="B1126" t="s">
        <v>350</v>
      </c>
      <c r="C1126" t="s">
        <v>361</v>
      </c>
      <c r="D1126" t="s">
        <v>10</v>
      </c>
      <c r="E1126" t="s">
        <v>11</v>
      </c>
      <c r="F1126" t="s">
        <v>14</v>
      </c>
      <c r="G1126">
        <v>0.5</v>
      </c>
      <c r="H1126" s="12">
        <v>0</v>
      </c>
      <c r="I1126" s="12">
        <v>0</v>
      </c>
      <c r="J1126" s="12">
        <v>0</v>
      </c>
      <c r="K1126" s="12">
        <v>0</v>
      </c>
      <c r="L1126" s="12">
        <v>0</v>
      </c>
      <c r="M1126" s="12">
        <v>0</v>
      </c>
      <c r="N1126" s="12">
        <v>0</v>
      </c>
      <c r="O1126" s="12">
        <v>0</v>
      </c>
      <c r="P1126" s="12">
        <v>0</v>
      </c>
      <c r="Q1126" s="12">
        <v>0</v>
      </c>
      <c r="R1126" s="12">
        <v>1</v>
      </c>
      <c r="S1126" t="s">
        <v>284</v>
      </c>
    </row>
    <row r="1127" spans="1:19" x14ac:dyDescent="0.25">
      <c r="A1127" s="13">
        <v>45989.519386574073</v>
      </c>
      <c r="B1127" t="s">
        <v>350</v>
      </c>
      <c r="C1127" t="s">
        <v>361</v>
      </c>
      <c r="D1127" t="s">
        <v>10</v>
      </c>
      <c r="E1127" t="s">
        <v>11</v>
      </c>
      <c r="F1127" t="s">
        <v>14</v>
      </c>
      <c r="G1127">
        <v>0.5</v>
      </c>
      <c r="H1127" s="12">
        <v>0</v>
      </c>
      <c r="I1127" s="12">
        <v>0</v>
      </c>
      <c r="J1127" s="12">
        <v>0</v>
      </c>
      <c r="K1127" s="12">
        <v>0</v>
      </c>
      <c r="L1127" s="12">
        <v>0</v>
      </c>
      <c r="M1127" s="12">
        <v>0</v>
      </c>
      <c r="N1127" s="12">
        <v>0</v>
      </c>
      <c r="O1127" s="12">
        <v>0</v>
      </c>
      <c r="P1127" s="12">
        <v>1</v>
      </c>
      <c r="Q1127" s="12">
        <v>0</v>
      </c>
      <c r="R1127" s="12">
        <v>0</v>
      </c>
    </row>
    <row r="1128" spans="1:19" x14ac:dyDescent="0.25">
      <c r="A1128" s="13">
        <v>45989.579895833333</v>
      </c>
      <c r="B1128" t="s">
        <v>351</v>
      </c>
      <c r="C1128" t="s">
        <v>361</v>
      </c>
      <c r="D1128" t="s">
        <v>10</v>
      </c>
      <c r="E1128" t="s">
        <v>11</v>
      </c>
      <c r="F1128" t="s">
        <v>14</v>
      </c>
      <c r="G1128">
        <v>0.5</v>
      </c>
      <c r="H1128" s="12">
        <v>0</v>
      </c>
      <c r="I1128" s="12">
        <v>0</v>
      </c>
      <c r="J1128" s="12">
        <v>0</v>
      </c>
      <c r="K1128" s="12">
        <v>0</v>
      </c>
      <c r="L1128" s="12">
        <v>0</v>
      </c>
      <c r="M1128" s="12">
        <v>0</v>
      </c>
      <c r="N1128" s="12">
        <v>0</v>
      </c>
      <c r="O1128" s="12">
        <v>0</v>
      </c>
      <c r="P1128" s="12">
        <v>0</v>
      </c>
      <c r="Q1128" s="12">
        <v>1</v>
      </c>
      <c r="R1128" s="12">
        <v>0</v>
      </c>
    </row>
    <row r="1129" spans="1:19" x14ac:dyDescent="0.25">
      <c r="A1129" s="13">
        <v>45989.665393518517</v>
      </c>
      <c r="B1129" t="s">
        <v>349</v>
      </c>
      <c r="C1129" t="s">
        <v>361</v>
      </c>
      <c r="D1129" t="s">
        <v>10</v>
      </c>
      <c r="E1129" t="s">
        <v>11</v>
      </c>
      <c r="F1129" t="s">
        <v>15</v>
      </c>
      <c r="G1129">
        <v>3</v>
      </c>
      <c r="H1129" s="12">
        <v>0</v>
      </c>
      <c r="I1129" s="12">
        <v>0</v>
      </c>
      <c r="J1129" s="12">
        <v>0</v>
      </c>
      <c r="K1129" s="12">
        <v>0</v>
      </c>
      <c r="L1129" s="12">
        <v>0</v>
      </c>
      <c r="M1129" s="12">
        <v>0</v>
      </c>
      <c r="N1129" s="12">
        <v>1</v>
      </c>
      <c r="O1129" s="12">
        <v>0</v>
      </c>
      <c r="P1129" s="12">
        <v>0</v>
      </c>
      <c r="Q1129" s="12">
        <v>0</v>
      </c>
      <c r="R1129" s="12">
        <v>0</v>
      </c>
    </row>
    <row r="1130" spans="1:19" x14ac:dyDescent="0.25">
      <c r="A1130" s="13">
        <v>45989.665729166663</v>
      </c>
      <c r="B1130" t="s">
        <v>349</v>
      </c>
      <c r="C1130" t="s">
        <v>361</v>
      </c>
      <c r="D1130" t="s">
        <v>10</v>
      </c>
      <c r="E1130" t="s">
        <v>11</v>
      </c>
      <c r="F1130" t="s">
        <v>15</v>
      </c>
      <c r="G1130">
        <v>3</v>
      </c>
      <c r="H1130" s="12">
        <v>0</v>
      </c>
      <c r="I1130" s="12">
        <v>0</v>
      </c>
      <c r="J1130" s="12">
        <v>0</v>
      </c>
      <c r="K1130" s="12">
        <v>0</v>
      </c>
      <c r="L1130" s="12">
        <v>0</v>
      </c>
      <c r="M1130" s="12">
        <v>0</v>
      </c>
      <c r="N1130" s="12">
        <v>0</v>
      </c>
      <c r="O1130" s="12">
        <v>0</v>
      </c>
      <c r="P1130" s="12">
        <v>0</v>
      </c>
      <c r="Q1130" s="12">
        <v>0</v>
      </c>
      <c r="R1130" s="12">
        <v>1</v>
      </c>
      <c r="S1130" t="s">
        <v>285</v>
      </c>
    </row>
    <row r="1131" spans="1:19" x14ac:dyDescent="0.25">
      <c r="A1131" s="13">
        <v>45989.665925925925</v>
      </c>
      <c r="B1131" t="s">
        <v>349</v>
      </c>
      <c r="C1131" t="s">
        <v>361</v>
      </c>
      <c r="D1131" t="s">
        <v>10</v>
      </c>
      <c r="E1131" t="s">
        <v>11</v>
      </c>
      <c r="F1131" t="s">
        <v>14</v>
      </c>
      <c r="G1131">
        <v>0.5</v>
      </c>
      <c r="H1131" s="12">
        <v>0</v>
      </c>
      <c r="I1131" s="12">
        <v>0</v>
      </c>
      <c r="J1131" s="12">
        <v>0</v>
      </c>
      <c r="K1131" s="12">
        <v>0</v>
      </c>
      <c r="L1131" s="12">
        <v>0</v>
      </c>
      <c r="M1131" s="12">
        <v>0</v>
      </c>
      <c r="N1131" s="12">
        <v>0</v>
      </c>
      <c r="O1131" s="12">
        <v>0</v>
      </c>
      <c r="P1131" s="12">
        <v>0</v>
      </c>
      <c r="Q1131" s="12">
        <v>0</v>
      </c>
      <c r="R1131" s="12">
        <v>0</v>
      </c>
      <c r="S1131" t="s">
        <v>105</v>
      </c>
    </row>
    <row r="1132" spans="1:19" x14ac:dyDescent="0.25">
      <c r="A1132" s="13">
        <v>45990.47797453704</v>
      </c>
      <c r="B1132" t="s">
        <v>354</v>
      </c>
      <c r="C1132" t="s">
        <v>362</v>
      </c>
      <c r="D1132" t="s">
        <v>10</v>
      </c>
      <c r="E1132" t="s">
        <v>11</v>
      </c>
      <c r="F1132" t="s">
        <v>18</v>
      </c>
      <c r="G1132">
        <v>20</v>
      </c>
      <c r="H1132" s="12">
        <v>0</v>
      </c>
      <c r="I1132" s="12">
        <v>0</v>
      </c>
      <c r="J1132" s="12">
        <v>0</v>
      </c>
      <c r="K1132" s="12">
        <v>0</v>
      </c>
      <c r="L1132" s="12">
        <v>0</v>
      </c>
      <c r="M1132" s="12">
        <v>0</v>
      </c>
      <c r="N1132" s="12">
        <v>0</v>
      </c>
      <c r="O1132" s="12">
        <v>1</v>
      </c>
      <c r="P1132" s="12">
        <v>0</v>
      </c>
      <c r="Q1132" s="12">
        <v>0</v>
      </c>
      <c r="R1132" s="12">
        <v>0</v>
      </c>
      <c r="S1132" t="s">
        <v>286</v>
      </c>
    </row>
    <row r="1133" spans="1:19" x14ac:dyDescent="0.25">
      <c r="A1133" s="13">
        <v>45990.478113425925</v>
      </c>
      <c r="B1133" t="s">
        <v>354</v>
      </c>
      <c r="C1133" t="s">
        <v>362</v>
      </c>
      <c r="D1133" t="s">
        <v>10</v>
      </c>
      <c r="E1133" t="s">
        <v>11</v>
      </c>
      <c r="F1133" t="s">
        <v>15</v>
      </c>
      <c r="G1133">
        <v>3</v>
      </c>
      <c r="H1133" s="12">
        <v>0</v>
      </c>
      <c r="I1133" s="12">
        <v>0</v>
      </c>
      <c r="J1133" s="12">
        <v>0</v>
      </c>
      <c r="K1133" s="12">
        <v>0</v>
      </c>
      <c r="L1133" s="12">
        <v>0</v>
      </c>
      <c r="M1133" s="12">
        <v>0</v>
      </c>
      <c r="N1133" s="12">
        <v>1</v>
      </c>
      <c r="O1133" s="12">
        <v>0</v>
      </c>
      <c r="P1133" s="12">
        <v>0</v>
      </c>
      <c r="Q1133" s="12">
        <v>0</v>
      </c>
      <c r="R1133" s="12">
        <v>0</v>
      </c>
    </row>
    <row r="1134" spans="1:19" x14ac:dyDescent="0.25">
      <c r="A1134" s="13">
        <v>45992.381643518522</v>
      </c>
      <c r="B1134" t="s">
        <v>352</v>
      </c>
      <c r="C1134" t="s">
        <v>363</v>
      </c>
      <c r="D1134" t="s">
        <v>20</v>
      </c>
      <c r="E1134" t="s">
        <v>11</v>
      </c>
      <c r="F1134" t="s">
        <v>15</v>
      </c>
      <c r="G1134">
        <v>3</v>
      </c>
      <c r="H1134" s="12">
        <v>1</v>
      </c>
      <c r="I1134" s="12">
        <v>0</v>
      </c>
      <c r="J1134" s="12">
        <v>1</v>
      </c>
      <c r="K1134" s="12">
        <v>1</v>
      </c>
      <c r="L1134" s="12">
        <v>0</v>
      </c>
      <c r="M1134" s="12">
        <v>0</v>
      </c>
      <c r="N1134" s="12">
        <v>0</v>
      </c>
      <c r="O1134" s="12">
        <v>0</v>
      </c>
      <c r="P1134" s="12">
        <v>0</v>
      </c>
      <c r="Q1134" s="12">
        <v>0</v>
      </c>
      <c r="R1134" s="12">
        <v>0</v>
      </c>
      <c r="S1134" t="s">
        <v>287</v>
      </c>
    </row>
    <row r="1135" spans="1:19" x14ac:dyDescent="0.25">
      <c r="A1135" s="13">
        <v>45992.392118055555</v>
      </c>
      <c r="B1135" t="s">
        <v>352</v>
      </c>
      <c r="C1135" t="s">
        <v>363</v>
      </c>
      <c r="D1135" t="s">
        <v>20</v>
      </c>
      <c r="E1135" t="s">
        <v>11</v>
      </c>
      <c r="F1135" t="s">
        <v>15</v>
      </c>
      <c r="G1135">
        <v>3</v>
      </c>
      <c r="H1135" s="12">
        <v>0</v>
      </c>
      <c r="I1135" s="12">
        <v>0</v>
      </c>
      <c r="J1135" s="12">
        <v>0</v>
      </c>
      <c r="K1135" s="12">
        <v>0</v>
      </c>
      <c r="L1135" s="12">
        <v>0</v>
      </c>
      <c r="M1135" s="12">
        <v>0</v>
      </c>
      <c r="N1135" s="12">
        <v>0</v>
      </c>
      <c r="O1135" s="12">
        <v>0</v>
      </c>
      <c r="P1135" s="12">
        <v>0</v>
      </c>
      <c r="Q1135" s="12">
        <v>0</v>
      </c>
      <c r="R1135" s="12">
        <v>1</v>
      </c>
      <c r="S1135" t="s">
        <v>288</v>
      </c>
    </row>
    <row r="1136" spans="1:19" x14ac:dyDescent="0.25">
      <c r="A1136" s="13">
        <v>45992.425381944442</v>
      </c>
      <c r="B1136" t="s">
        <v>347</v>
      </c>
      <c r="C1136" t="s">
        <v>363</v>
      </c>
      <c r="D1136" t="s">
        <v>20</v>
      </c>
      <c r="E1136" t="s">
        <v>11</v>
      </c>
      <c r="F1136" t="s">
        <v>15</v>
      </c>
      <c r="G1136">
        <v>3</v>
      </c>
      <c r="H1136" s="12">
        <v>0</v>
      </c>
      <c r="I1136" s="12">
        <v>0</v>
      </c>
      <c r="J1136" s="12">
        <v>0</v>
      </c>
      <c r="K1136" s="12">
        <v>0</v>
      </c>
      <c r="L1136" s="12">
        <v>0</v>
      </c>
      <c r="M1136" s="12">
        <v>0</v>
      </c>
      <c r="N1136" s="12">
        <v>0</v>
      </c>
      <c r="O1136" s="12">
        <v>0</v>
      </c>
      <c r="P1136" s="12">
        <v>0</v>
      </c>
      <c r="Q1136" s="12">
        <v>1</v>
      </c>
      <c r="R1136" s="12">
        <v>0</v>
      </c>
    </row>
    <row r="1137" spans="1:19" x14ac:dyDescent="0.25">
      <c r="A1137" s="13">
        <v>45992.457129629627</v>
      </c>
      <c r="B1137" t="s">
        <v>347</v>
      </c>
      <c r="C1137" t="s">
        <v>363</v>
      </c>
      <c r="D1137" t="s">
        <v>20</v>
      </c>
      <c r="E1137" t="s">
        <v>11</v>
      </c>
      <c r="F1137" t="s">
        <v>12</v>
      </c>
      <c r="G1137">
        <v>10.5</v>
      </c>
      <c r="H1137" s="12">
        <v>0</v>
      </c>
      <c r="I1137" s="12">
        <v>0</v>
      </c>
      <c r="J1137" s="12">
        <v>0</v>
      </c>
      <c r="K1137" s="12">
        <v>0</v>
      </c>
      <c r="L1137" s="12">
        <v>0</v>
      </c>
      <c r="M1137" s="12">
        <v>0</v>
      </c>
      <c r="N1137" s="12">
        <v>0</v>
      </c>
      <c r="O1137" s="12">
        <v>0</v>
      </c>
      <c r="P1137" s="12">
        <v>0</v>
      </c>
      <c r="Q1137" s="12">
        <v>0</v>
      </c>
      <c r="R1137" s="12">
        <v>1</v>
      </c>
    </row>
    <row r="1138" spans="1:19" x14ac:dyDescent="0.25">
      <c r="A1138" s="13">
        <v>45992.459004629629</v>
      </c>
      <c r="B1138" t="s">
        <v>354</v>
      </c>
      <c r="C1138" t="s">
        <v>363</v>
      </c>
      <c r="D1138" t="s">
        <v>10</v>
      </c>
      <c r="E1138" t="s">
        <v>11</v>
      </c>
      <c r="F1138" t="s">
        <v>15</v>
      </c>
      <c r="G1138">
        <v>3</v>
      </c>
      <c r="H1138" s="12">
        <v>0</v>
      </c>
      <c r="I1138" s="12">
        <v>0</v>
      </c>
      <c r="J1138" s="12">
        <v>0</v>
      </c>
      <c r="K1138" s="12">
        <v>0</v>
      </c>
      <c r="L1138" s="12">
        <v>0</v>
      </c>
      <c r="M1138" s="12">
        <v>0</v>
      </c>
      <c r="N1138" s="12">
        <v>1</v>
      </c>
      <c r="O1138" s="12">
        <v>0</v>
      </c>
      <c r="P1138" s="12">
        <v>0</v>
      </c>
      <c r="Q1138" s="12">
        <v>0</v>
      </c>
      <c r="R1138" s="12">
        <v>0</v>
      </c>
    </row>
    <row r="1139" spans="1:19" x14ac:dyDescent="0.25">
      <c r="A1139" s="13">
        <v>45992.46503472222</v>
      </c>
      <c r="B1139" t="s">
        <v>354</v>
      </c>
      <c r="C1139" t="s">
        <v>363</v>
      </c>
      <c r="D1139" t="s">
        <v>10</v>
      </c>
      <c r="E1139" t="s">
        <v>11</v>
      </c>
      <c r="F1139" t="s">
        <v>15</v>
      </c>
      <c r="G1139">
        <v>3</v>
      </c>
      <c r="H1139" s="12">
        <v>0</v>
      </c>
      <c r="I1139" s="12">
        <v>0</v>
      </c>
      <c r="J1139" s="12">
        <v>0</v>
      </c>
      <c r="K1139" s="12">
        <v>0</v>
      </c>
      <c r="L1139" s="12">
        <v>0</v>
      </c>
      <c r="M1139" s="12">
        <v>0</v>
      </c>
      <c r="N1139" s="12">
        <v>0</v>
      </c>
      <c r="O1139" s="12">
        <v>1</v>
      </c>
      <c r="P1139" s="12">
        <v>0</v>
      </c>
      <c r="Q1139" s="12">
        <v>0</v>
      </c>
      <c r="R1139" s="12">
        <v>0</v>
      </c>
    </row>
    <row r="1140" spans="1:19" x14ac:dyDescent="0.25">
      <c r="A1140" s="13">
        <v>45992.465196759258</v>
      </c>
      <c r="B1140" t="s">
        <v>354</v>
      </c>
      <c r="C1140" t="s">
        <v>363</v>
      </c>
      <c r="D1140" t="s">
        <v>10</v>
      </c>
      <c r="E1140" t="s">
        <v>11</v>
      </c>
      <c r="F1140" t="s">
        <v>14</v>
      </c>
      <c r="G1140">
        <v>0.5</v>
      </c>
      <c r="H1140" s="12">
        <v>0</v>
      </c>
      <c r="I1140" s="12">
        <v>0</v>
      </c>
      <c r="J1140" s="12">
        <v>0</v>
      </c>
      <c r="K1140" s="12">
        <v>0</v>
      </c>
      <c r="L1140" s="12">
        <v>0</v>
      </c>
      <c r="M1140" s="12">
        <v>0</v>
      </c>
      <c r="N1140" s="12">
        <v>0</v>
      </c>
      <c r="O1140" s="12">
        <v>0</v>
      </c>
      <c r="P1140" s="12">
        <v>0</v>
      </c>
      <c r="Q1140" s="12">
        <v>1</v>
      </c>
      <c r="R1140" s="12">
        <v>0</v>
      </c>
    </row>
    <row r="1141" spans="1:19" x14ac:dyDescent="0.25">
      <c r="A1141" s="13">
        <v>45992.471076388887</v>
      </c>
      <c r="B1141" t="s">
        <v>354</v>
      </c>
      <c r="C1141" t="s">
        <v>363</v>
      </c>
      <c r="D1141" t="s">
        <v>10</v>
      </c>
      <c r="E1141" t="s">
        <v>11</v>
      </c>
      <c r="F1141" t="s">
        <v>15</v>
      </c>
      <c r="G1141">
        <v>3</v>
      </c>
      <c r="H1141" s="12">
        <v>0</v>
      </c>
      <c r="I1141" s="12">
        <v>0</v>
      </c>
      <c r="J1141" s="12">
        <v>0</v>
      </c>
      <c r="K1141" s="12">
        <v>0</v>
      </c>
      <c r="L1141" s="12">
        <v>0</v>
      </c>
      <c r="M1141" s="12">
        <v>0</v>
      </c>
      <c r="N1141" s="12">
        <v>0</v>
      </c>
      <c r="O1141" s="12">
        <v>1</v>
      </c>
      <c r="P1141" s="12">
        <v>1</v>
      </c>
      <c r="Q1141" s="12">
        <v>0</v>
      </c>
      <c r="R1141" s="12">
        <v>0</v>
      </c>
    </row>
    <row r="1142" spans="1:19" x14ac:dyDescent="0.25">
      <c r="A1142" s="13">
        <v>45992.479363425926</v>
      </c>
      <c r="B1142" t="s">
        <v>354</v>
      </c>
      <c r="C1142" t="s">
        <v>363</v>
      </c>
      <c r="D1142" t="s">
        <v>10</v>
      </c>
      <c r="E1142" t="s">
        <v>11</v>
      </c>
      <c r="F1142" t="s">
        <v>15</v>
      </c>
      <c r="G1142">
        <v>3</v>
      </c>
      <c r="H1142" s="12">
        <v>0</v>
      </c>
      <c r="I1142" s="12">
        <v>0</v>
      </c>
      <c r="J1142" s="12">
        <v>0</v>
      </c>
      <c r="K1142" s="12">
        <v>0</v>
      </c>
      <c r="L1142" s="12">
        <v>0</v>
      </c>
      <c r="M1142" s="12">
        <v>0</v>
      </c>
      <c r="N1142" s="12">
        <v>0</v>
      </c>
      <c r="O1142" s="12">
        <v>1</v>
      </c>
      <c r="P1142" s="12">
        <v>0</v>
      </c>
      <c r="Q1142" s="12">
        <v>0</v>
      </c>
      <c r="R1142" s="12">
        <v>0</v>
      </c>
    </row>
    <row r="1143" spans="1:19" x14ac:dyDescent="0.25">
      <c r="A1143" s="13">
        <v>45992.523356481484</v>
      </c>
      <c r="B1143" t="s">
        <v>350</v>
      </c>
      <c r="C1143" t="s">
        <v>363</v>
      </c>
      <c r="D1143" t="s">
        <v>10</v>
      </c>
      <c r="E1143" t="s">
        <v>11</v>
      </c>
      <c r="F1143" t="s">
        <v>12</v>
      </c>
      <c r="G1143">
        <v>10.5</v>
      </c>
      <c r="H1143" s="12">
        <v>0</v>
      </c>
      <c r="I1143" s="12">
        <v>0</v>
      </c>
      <c r="J1143" s="12">
        <v>0</v>
      </c>
      <c r="K1143" s="12">
        <v>0</v>
      </c>
      <c r="L1143" s="12">
        <v>0</v>
      </c>
      <c r="M1143" s="12">
        <v>0</v>
      </c>
      <c r="N1143" s="12">
        <v>1</v>
      </c>
      <c r="O1143" s="12">
        <v>0</v>
      </c>
      <c r="P1143" s="12">
        <v>0</v>
      </c>
      <c r="Q1143" s="12">
        <v>0</v>
      </c>
      <c r="R1143" s="12">
        <v>0</v>
      </c>
    </row>
    <row r="1144" spans="1:19" x14ac:dyDescent="0.25">
      <c r="A1144" s="13">
        <v>45992.525150462963</v>
      </c>
      <c r="B1144" t="s">
        <v>350</v>
      </c>
      <c r="C1144" t="s">
        <v>363</v>
      </c>
      <c r="D1144" t="s">
        <v>10</v>
      </c>
      <c r="E1144" t="s">
        <v>11</v>
      </c>
      <c r="F1144" t="s">
        <v>15</v>
      </c>
      <c r="G1144">
        <v>3</v>
      </c>
      <c r="H1144" s="12">
        <v>0</v>
      </c>
      <c r="I1144" s="12">
        <v>0</v>
      </c>
      <c r="J1144" s="12">
        <v>0</v>
      </c>
      <c r="K1144" s="12">
        <v>0</v>
      </c>
      <c r="L1144" s="12">
        <v>0</v>
      </c>
      <c r="M1144" s="12">
        <v>0</v>
      </c>
      <c r="N1144" s="12">
        <v>0</v>
      </c>
      <c r="O1144" s="12">
        <v>0</v>
      </c>
      <c r="P1144" s="12">
        <v>0</v>
      </c>
      <c r="Q1144" s="12">
        <v>1</v>
      </c>
      <c r="R1144" s="12">
        <v>0</v>
      </c>
    </row>
    <row r="1145" spans="1:19" x14ac:dyDescent="0.25">
      <c r="A1145" s="13">
        <v>45992.558541666665</v>
      </c>
      <c r="B1145" t="s">
        <v>351</v>
      </c>
      <c r="C1145" t="s">
        <v>363</v>
      </c>
      <c r="D1145" t="s">
        <v>10</v>
      </c>
      <c r="E1145" t="s">
        <v>11</v>
      </c>
      <c r="F1145" t="s">
        <v>14</v>
      </c>
      <c r="G1145">
        <v>0.5</v>
      </c>
      <c r="H1145" s="12">
        <v>0</v>
      </c>
      <c r="I1145" s="12">
        <v>0</v>
      </c>
      <c r="J1145" s="12">
        <v>0</v>
      </c>
      <c r="K1145" s="12">
        <v>0</v>
      </c>
      <c r="L1145" s="12">
        <v>0</v>
      </c>
      <c r="M1145" s="12">
        <v>0</v>
      </c>
      <c r="N1145" s="12">
        <v>0</v>
      </c>
      <c r="O1145" s="12">
        <v>0</v>
      </c>
      <c r="P1145" s="12">
        <v>0</v>
      </c>
      <c r="Q1145" s="12">
        <v>0</v>
      </c>
      <c r="R1145" s="12">
        <v>1</v>
      </c>
      <c r="S1145" t="s">
        <v>289</v>
      </c>
    </row>
    <row r="1146" spans="1:19" x14ac:dyDescent="0.25">
      <c r="A1146" s="13">
        <v>45992.57739583333</v>
      </c>
      <c r="B1146" t="s">
        <v>351</v>
      </c>
      <c r="C1146" t="s">
        <v>363</v>
      </c>
      <c r="D1146" t="s">
        <v>10</v>
      </c>
      <c r="E1146" t="s">
        <v>11</v>
      </c>
      <c r="F1146" t="s">
        <v>15</v>
      </c>
      <c r="G1146">
        <v>3</v>
      </c>
      <c r="H1146" s="12">
        <v>0</v>
      </c>
      <c r="I1146" s="12">
        <v>0</v>
      </c>
      <c r="J1146" s="12">
        <v>0</v>
      </c>
      <c r="K1146" s="12">
        <v>0</v>
      </c>
      <c r="L1146" s="12">
        <v>0</v>
      </c>
      <c r="M1146" s="12">
        <v>0</v>
      </c>
      <c r="N1146" s="12">
        <v>0</v>
      </c>
      <c r="O1146" s="12">
        <v>0</v>
      </c>
      <c r="P1146" s="12">
        <v>0</v>
      </c>
      <c r="Q1146" s="12">
        <v>0</v>
      </c>
      <c r="R1146" s="12">
        <v>1</v>
      </c>
      <c r="S1146" t="s">
        <v>290</v>
      </c>
    </row>
    <row r="1147" spans="1:19" x14ac:dyDescent="0.25">
      <c r="A1147" s="13">
        <v>45992.594074074077</v>
      </c>
      <c r="B1147" t="s">
        <v>348</v>
      </c>
      <c r="C1147" t="s">
        <v>363</v>
      </c>
      <c r="D1147" t="s">
        <v>10</v>
      </c>
      <c r="E1147" t="s">
        <v>11</v>
      </c>
      <c r="F1147" t="s">
        <v>14</v>
      </c>
      <c r="G1147">
        <v>0.5</v>
      </c>
      <c r="H1147" s="12">
        <v>0</v>
      </c>
      <c r="I1147" s="12">
        <v>0</v>
      </c>
      <c r="J1147" s="12">
        <v>0</v>
      </c>
      <c r="K1147" s="12">
        <v>0</v>
      </c>
      <c r="L1147" s="12">
        <v>0</v>
      </c>
      <c r="M1147" s="12">
        <v>0</v>
      </c>
      <c r="N1147" s="12">
        <v>0</v>
      </c>
      <c r="O1147" s="12">
        <v>0</v>
      </c>
      <c r="P1147" s="12">
        <v>0</v>
      </c>
      <c r="Q1147" s="12">
        <v>0</v>
      </c>
      <c r="R1147" s="12">
        <v>1</v>
      </c>
      <c r="S1147" t="s">
        <v>258</v>
      </c>
    </row>
    <row r="1148" spans="1:19" x14ac:dyDescent="0.25">
      <c r="A1148" s="13">
        <v>45992.655300925922</v>
      </c>
      <c r="B1148" t="s">
        <v>349</v>
      </c>
      <c r="C1148" t="s">
        <v>363</v>
      </c>
      <c r="D1148" t="s">
        <v>10</v>
      </c>
      <c r="E1148" t="s">
        <v>11</v>
      </c>
      <c r="F1148" t="s">
        <v>15</v>
      </c>
      <c r="G1148">
        <v>3</v>
      </c>
      <c r="H1148" s="12">
        <v>1</v>
      </c>
      <c r="I1148" s="12">
        <v>0</v>
      </c>
      <c r="J1148" s="12">
        <v>1</v>
      </c>
      <c r="K1148" s="12">
        <v>0</v>
      </c>
      <c r="L1148" s="12">
        <v>0</v>
      </c>
      <c r="M1148" s="12">
        <v>0</v>
      </c>
      <c r="N1148" s="12">
        <v>0</v>
      </c>
      <c r="O1148" s="12">
        <v>0</v>
      </c>
      <c r="P1148" s="12">
        <v>0</v>
      </c>
      <c r="Q1148" s="12">
        <v>0</v>
      </c>
      <c r="R1148" s="12">
        <v>0</v>
      </c>
    </row>
    <row r="1149" spans="1:19" x14ac:dyDescent="0.25">
      <c r="A1149" s="13">
        <v>45992.672453703701</v>
      </c>
      <c r="B1149" t="s">
        <v>353</v>
      </c>
      <c r="C1149" t="s">
        <v>363</v>
      </c>
      <c r="D1149" t="s">
        <v>10</v>
      </c>
      <c r="E1149" t="s">
        <v>11</v>
      </c>
      <c r="F1149" t="s">
        <v>12</v>
      </c>
      <c r="G1149">
        <v>10.5</v>
      </c>
      <c r="H1149" s="12">
        <v>1</v>
      </c>
      <c r="I1149" s="12">
        <v>0</v>
      </c>
      <c r="J1149" s="12">
        <v>1</v>
      </c>
      <c r="K1149" s="12">
        <v>0</v>
      </c>
      <c r="L1149" s="12">
        <v>1</v>
      </c>
      <c r="M1149" s="12">
        <v>0</v>
      </c>
      <c r="N1149" s="12">
        <v>0</v>
      </c>
      <c r="O1149" s="12">
        <v>0</v>
      </c>
      <c r="P1149" s="12">
        <v>0</v>
      </c>
      <c r="Q1149" s="12">
        <v>0</v>
      </c>
      <c r="R1149" s="12">
        <v>0</v>
      </c>
    </row>
    <row r="1150" spans="1:19" x14ac:dyDescent="0.25">
      <c r="A1150" s="13">
        <v>45992.688263888886</v>
      </c>
      <c r="B1150" t="s">
        <v>353</v>
      </c>
      <c r="C1150" t="s">
        <v>363</v>
      </c>
      <c r="D1150" t="s">
        <v>10</v>
      </c>
      <c r="E1150" t="s">
        <v>11</v>
      </c>
      <c r="F1150" t="s">
        <v>15</v>
      </c>
      <c r="G1150">
        <v>3</v>
      </c>
      <c r="H1150" s="12">
        <v>0</v>
      </c>
      <c r="I1150" s="12">
        <v>0</v>
      </c>
      <c r="J1150" s="12">
        <v>0</v>
      </c>
      <c r="K1150" s="12">
        <v>0</v>
      </c>
      <c r="L1150" s="12">
        <v>0</v>
      </c>
      <c r="M1150" s="12">
        <v>0</v>
      </c>
      <c r="N1150" s="12">
        <v>0</v>
      </c>
      <c r="O1150" s="12">
        <v>0</v>
      </c>
      <c r="P1150" s="12">
        <v>1</v>
      </c>
      <c r="Q1150" s="12">
        <v>0</v>
      </c>
      <c r="R1150" s="12">
        <v>0</v>
      </c>
      <c r="S1150" t="s">
        <v>291</v>
      </c>
    </row>
    <row r="1151" spans="1:19" x14ac:dyDescent="0.25">
      <c r="A1151" s="13">
        <v>45992.697222222225</v>
      </c>
      <c r="B1151" t="s">
        <v>353</v>
      </c>
      <c r="C1151" t="s">
        <v>363</v>
      </c>
      <c r="D1151" t="s">
        <v>10</v>
      </c>
      <c r="E1151" t="s">
        <v>11</v>
      </c>
      <c r="F1151" t="s">
        <v>15</v>
      </c>
      <c r="G1151">
        <v>3</v>
      </c>
      <c r="H1151" s="12">
        <v>0</v>
      </c>
      <c r="I1151" s="12">
        <v>0</v>
      </c>
      <c r="J1151" s="12">
        <v>1</v>
      </c>
      <c r="K1151" s="12">
        <v>0</v>
      </c>
      <c r="L1151" s="12">
        <v>0</v>
      </c>
      <c r="M1151" s="12">
        <v>0</v>
      </c>
      <c r="N1151" s="12">
        <v>0</v>
      </c>
      <c r="O1151" s="12">
        <v>0</v>
      </c>
      <c r="P1151" s="12">
        <v>0</v>
      </c>
      <c r="Q1151" s="12">
        <v>0</v>
      </c>
      <c r="R1151" s="12">
        <v>0</v>
      </c>
    </row>
    <row r="1152" spans="1:19" x14ac:dyDescent="0.25">
      <c r="A1152" s="13">
        <v>45992.697430555556</v>
      </c>
      <c r="B1152" t="s">
        <v>353</v>
      </c>
      <c r="C1152" t="s">
        <v>363</v>
      </c>
      <c r="D1152" t="s">
        <v>10</v>
      </c>
      <c r="E1152" t="s">
        <v>11</v>
      </c>
      <c r="F1152" t="s">
        <v>12</v>
      </c>
      <c r="G1152">
        <v>10.5</v>
      </c>
      <c r="H1152" s="12">
        <v>0</v>
      </c>
      <c r="I1152" s="12">
        <v>0</v>
      </c>
      <c r="J1152" s="12">
        <v>0</v>
      </c>
      <c r="K1152" s="12">
        <v>1</v>
      </c>
      <c r="L1152" s="12">
        <v>0</v>
      </c>
      <c r="M1152" s="12">
        <v>0</v>
      </c>
      <c r="N1152" s="12">
        <v>0</v>
      </c>
      <c r="O1152" s="12">
        <v>0</v>
      </c>
      <c r="P1152" s="12">
        <v>0</v>
      </c>
      <c r="Q1152" s="12">
        <v>0</v>
      </c>
      <c r="R1152" s="12">
        <v>0</v>
      </c>
      <c r="S1152" t="s">
        <v>292</v>
      </c>
    </row>
    <row r="1153" spans="1:19" x14ac:dyDescent="0.25">
      <c r="A1153" s="13">
        <v>45992.70821759259</v>
      </c>
      <c r="B1153" t="s">
        <v>353</v>
      </c>
      <c r="C1153" t="s">
        <v>363</v>
      </c>
      <c r="D1153" t="s">
        <v>20</v>
      </c>
      <c r="E1153" t="s">
        <v>11</v>
      </c>
      <c r="F1153" t="s">
        <v>15</v>
      </c>
      <c r="G1153">
        <v>3</v>
      </c>
      <c r="H1153" s="12">
        <v>0</v>
      </c>
      <c r="I1153" s="12">
        <v>0</v>
      </c>
      <c r="J1153" s="12">
        <v>0</v>
      </c>
      <c r="K1153" s="12">
        <v>0</v>
      </c>
      <c r="L1153" s="12">
        <v>0</v>
      </c>
      <c r="M1153" s="12">
        <v>0</v>
      </c>
      <c r="N1153" s="12">
        <v>0</v>
      </c>
      <c r="O1153" s="12">
        <v>0</v>
      </c>
      <c r="P1153" s="12">
        <v>0</v>
      </c>
      <c r="Q1153" s="12">
        <v>0</v>
      </c>
      <c r="R1153" s="12">
        <v>1</v>
      </c>
      <c r="S1153" t="s">
        <v>293</v>
      </c>
    </row>
    <row r="1154" spans="1:19" x14ac:dyDescent="0.25">
      <c r="A1154" s="13">
        <v>45993.54923611111</v>
      </c>
      <c r="B1154" t="s">
        <v>351</v>
      </c>
      <c r="C1154" t="s">
        <v>358</v>
      </c>
      <c r="D1154" t="s">
        <v>10</v>
      </c>
      <c r="E1154" t="s">
        <v>11</v>
      </c>
      <c r="F1154" t="s">
        <v>14</v>
      </c>
      <c r="G1154">
        <v>0.5</v>
      </c>
      <c r="H1154" s="12">
        <v>0</v>
      </c>
      <c r="I1154" s="12">
        <v>0</v>
      </c>
      <c r="J1154" s="12">
        <v>0</v>
      </c>
      <c r="K1154" s="12">
        <v>0</v>
      </c>
      <c r="L1154" s="12">
        <v>0</v>
      </c>
      <c r="M1154" s="12">
        <v>0</v>
      </c>
      <c r="N1154" s="12">
        <v>0</v>
      </c>
      <c r="O1154" s="12">
        <v>0</v>
      </c>
      <c r="P1154" s="12">
        <v>0</v>
      </c>
      <c r="Q1154" s="12">
        <v>0</v>
      </c>
      <c r="R1154" s="12">
        <v>1</v>
      </c>
      <c r="S1154" t="s">
        <v>291</v>
      </c>
    </row>
    <row r="1155" spans="1:19" x14ac:dyDescent="0.25">
      <c r="A1155" s="13">
        <v>45993.593958333331</v>
      </c>
      <c r="B1155" t="s">
        <v>348</v>
      </c>
      <c r="C1155" t="s">
        <v>358</v>
      </c>
      <c r="D1155" t="s">
        <v>10</v>
      </c>
      <c r="E1155" t="s">
        <v>11</v>
      </c>
      <c r="F1155" t="s">
        <v>15</v>
      </c>
      <c r="G1155">
        <v>3</v>
      </c>
      <c r="H1155" s="12">
        <v>0</v>
      </c>
      <c r="I1155" s="12">
        <v>0</v>
      </c>
      <c r="J1155" s="12">
        <v>0</v>
      </c>
      <c r="K1155" s="12">
        <v>0</v>
      </c>
      <c r="L1155" s="12">
        <v>1</v>
      </c>
      <c r="M1155" s="12">
        <v>0</v>
      </c>
      <c r="N1155" s="12">
        <v>0</v>
      </c>
      <c r="O1155" s="12">
        <v>0</v>
      </c>
      <c r="P1155" s="12">
        <v>0</v>
      </c>
      <c r="Q1155" s="12">
        <v>0</v>
      </c>
      <c r="R1155" s="12">
        <v>0</v>
      </c>
    </row>
    <row r="1156" spans="1:19" x14ac:dyDescent="0.25">
      <c r="A1156" s="13">
        <v>45993.618657407409</v>
      </c>
      <c r="B1156" t="s">
        <v>348</v>
      </c>
      <c r="C1156" t="s">
        <v>358</v>
      </c>
      <c r="D1156" t="s">
        <v>20</v>
      </c>
      <c r="E1156" t="s">
        <v>11</v>
      </c>
      <c r="F1156" t="s">
        <v>15</v>
      </c>
      <c r="G1156">
        <v>3</v>
      </c>
      <c r="H1156" s="12">
        <v>0</v>
      </c>
      <c r="I1156" s="12">
        <v>0</v>
      </c>
      <c r="J1156" s="12">
        <v>0</v>
      </c>
      <c r="K1156" s="12">
        <v>0</v>
      </c>
      <c r="L1156" s="12">
        <v>0</v>
      </c>
      <c r="M1156" s="12">
        <v>0</v>
      </c>
      <c r="N1156" s="12">
        <v>0</v>
      </c>
      <c r="O1156" s="12">
        <v>0</v>
      </c>
      <c r="P1156" s="12">
        <v>0</v>
      </c>
      <c r="Q1156" s="12">
        <v>0</v>
      </c>
      <c r="R1156" s="12">
        <v>1</v>
      </c>
      <c r="S1156" t="s">
        <v>294</v>
      </c>
    </row>
    <row r="1157" spans="1:19" x14ac:dyDescent="0.25">
      <c r="A1157" s="13">
        <v>45993.628368055557</v>
      </c>
      <c r="B1157" t="s">
        <v>349</v>
      </c>
      <c r="C1157" t="s">
        <v>358</v>
      </c>
      <c r="D1157" t="s">
        <v>20</v>
      </c>
      <c r="E1157" t="s">
        <v>11</v>
      </c>
      <c r="F1157" t="s">
        <v>12</v>
      </c>
      <c r="G1157">
        <v>10.5</v>
      </c>
      <c r="H1157" s="12">
        <v>0</v>
      </c>
      <c r="I1157" s="12">
        <v>0</v>
      </c>
      <c r="J1157" s="12">
        <v>0</v>
      </c>
      <c r="K1157" s="12">
        <v>0</v>
      </c>
      <c r="L1157" s="12">
        <v>1</v>
      </c>
      <c r="M1157" s="12">
        <v>0</v>
      </c>
      <c r="N1157" s="12">
        <v>0</v>
      </c>
      <c r="O1157" s="12">
        <v>0</v>
      </c>
      <c r="P1157" s="12">
        <v>0</v>
      </c>
      <c r="Q1157" s="12">
        <v>0</v>
      </c>
      <c r="R1157" s="12">
        <v>0</v>
      </c>
    </row>
    <row r="1158" spans="1:19" x14ac:dyDescent="0.25">
      <c r="A1158" s="13">
        <v>45993.721643518518</v>
      </c>
      <c r="B1158" t="s">
        <v>355</v>
      </c>
      <c r="C1158" t="s">
        <v>358</v>
      </c>
      <c r="D1158" t="s">
        <v>10</v>
      </c>
      <c r="E1158" t="s">
        <v>11</v>
      </c>
      <c r="F1158" t="s">
        <v>14</v>
      </c>
      <c r="G1158">
        <v>0.5</v>
      </c>
      <c r="H1158" s="12">
        <v>0</v>
      </c>
      <c r="I1158" s="12">
        <v>0</v>
      </c>
      <c r="J1158" s="12">
        <v>0</v>
      </c>
      <c r="K1158" s="12">
        <v>0</v>
      </c>
      <c r="L1158" s="12">
        <v>0</v>
      </c>
      <c r="M1158" s="12">
        <v>0</v>
      </c>
      <c r="N1158" s="12">
        <v>0</v>
      </c>
      <c r="O1158" s="12">
        <v>0</v>
      </c>
      <c r="P1158" s="12">
        <v>0</v>
      </c>
      <c r="Q1158" s="12">
        <v>0</v>
      </c>
      <c r="R1158" s="12">
        <v>1</v>
      </c>
      <c r="S1158" t="s">
        <v>295</v>
      </c>
    </row>
    <row r="1159" spans="1:19" x14ac:dyDescent="0.25">
      <c r="A1159" s="13">
        <v>45993.722210648149</v>
      </c>
      <c r="B1159" t="s">
        <v>355</v>
      </c>
      <c r="C1159" t="s">
        <v>358</v>
      </c>
      <c r="D1159" t="s">
        <v>10</v>
      </c>
      <c r="E1159" t="s">
        <v>11</v>
      </c>
      <c r="F1159" t="s">
        <v>15</v>
      </c>
      <c r="G1159">
        <v>3</v>
      </c>
      <c r="H1159" s="12">
        <v>1</v>
      </c>
      <c r="I1159" s="12">
        <v>0</v>
      </c>
      <c r="J1159" s="12">
        <v>1</v>
      </c>
      <c r="K1159" s="12">
        <v>0</v>
      </c>
      <c r="L1159" s="12">
        <v>0</v>
      </c>
      <c r="M1159" s="12">
        <v>0</v>
      </c>
      <c r="N1159" s="12">
        <v>0</v>
      </c>
      <c r="O1159" s="12">
        <v>0</v>
      </c>
      <c r="P1159" s="12">
        <v>0</v>
      </c>
      <c r="Q1159" s="12">
        <v>0</v>
      </c>
      <c r="R1159" s="12">
        <v>0</v>
      </c>
    </row>
    <row r="1160" spans="1:19" x14ac:dyDescent="0.25">
      <c r="A1160" s="13">
        <v>45993.722349537034</v>
      </c>
      <c r="B1160" t="s">
        <v>355</v>
      </c>
      <c r="C1160" t="s">
        <v>358</v>
      </c>
      <c r="D1160" t="s">
        <v>10</v>
      </c>
      <c r="E1160" t="s">
        <v>17</v>
      </c>
      <c r="F1160" t="s">
        <v>15</v>
      </c>
      <c r="G1160">
        <v>3</v>
      </c>
      <c r="H1160" s="12">
        <v>1</v>
      </c>
      <c r="I1160" s="12">
        <v>0</v>
      </c>
      <c r="J1160" s="12">
        <v>1</v>
      </c>
      <c r="K1160" s="12">
        <v>0</v>
      </c>
      <c r="L1160" s="12">
        <v>0</v>
      </c>
      <c r="M1160" s="12">
        <v>0</v>
      </c>
      <c r="N1160" s="12">
        <v>0</v>
      </c>
      <c r="O1160" s="12">
        <v>0</v>
      </c>
      <c r="P1160" s="12">
        <v>0</v>
      </c>
      <c r="Q1160" s="12">
        <v>0</v>
      </c>
      <c r="R1160" s="12">
        <v>0</v>
      </c>
    </row>
    <row r="1161" spans="1:19" x14ac:dyDescent="0.25">
      <c r="A1161" s="13">
        <v>45993.723368055558</v>
      </c>
      <c r="B1161" t="s">
        <v>355</v>
      </c>
      <c r="C1161" t="s">
        <v>358</v>
      </c>
      <c r="D1161" t="s">
        <v>10</v>
      </c>
      <c r="E1161" t="s">
        <v>11</v>
      </c>
      <c r="F1161" t="s">
        <v>15</v>
      </c>
      <c r="G1161">
        <v>3</v>
      </c>
      <c r="H1161" s="12">
        <v>0</v>
      </c>
      <c r="I1161" s="12">
        <v>0</v>
      </c>
      <c r="J1161" s="12">
        <v>0</v>
      </c>
      <c r="K1161" s="12">
        <v>0</v>
      </c>
      <c r="L1161" s="12">
        <v>0</v>
      </c>
      <c r="M1161" s="12">
        <v>0</v>
      </c>
      <c r="N1161" s="12">
        <v>0</v>
      </c>
      <c r="O1161" s="12">
        <v>0</v>
      </c>
      <c r="P1161" s="12">
        <v>1</v>
      </c>
      <c r="Q1161" s="12">
        <v>0</v>
      </c>
      <c r="R1161" s="12">
        <v>0</v>
      </c>
    </row>
    <row r="1162" spans="1:19" x14ac:dyDescent="0.25">
      <c r="A1162" s="13">
        <v>45993.726770833331</v>
      </c>
      <c r="B1162" t="s">
        <v>355</v>
      </c>
      <c r="C1162" t="s">
        <v>358</v>
      </c>
      <c r="D1162" t="s">
        <v>10</v>
      </c>
      <c r="E1162" t="s">
        <v>17</v>
      </c>
      <c r="F1162" t="s">
        <v>15</v>
      </c>
      <c r="G1162">
        <v>3</v>
      </c>
      <c r="H1162" s="12">
        <v>0</v>
      </c>
      <c r="I1162" s="12">
        <v>0</v>
      </c>
      <c r="J1162" s="12">
        <v>0</v>
      </c>
      <c r="K1162" s="12">
        <v>0</v>
      </c>
      <c r="L1162" s="12">
        <v>0</v>
      </c>
      <c r="M1162" s="12">
        <v>1</v>
      </c>
      <c r="N1162" s="12">
        <v>0</v>
      </c>
      <c r="O1162" s="12">
        <v>0</v>
      </c>
      <c r="P1162" s="12">
        <v>1</v>
      </c>
      <c r="Q1162" s="12">
        <v>0</v>
      </c>
      <c r="R1162" s="12">
        <v>0</v>
      </c>
    </row>
    <row r="1163" spans="1:19" x14ac:dyDescent="0.25">
      <c r="A1163" s="13">
        <v>45994.399583333332</v>
      </c>
      <c r="B1163" t="s">
        <v>352</v>
      </c>
      <c r="C1163" t="s">
        <v>359</v>
      </c>
      <c r="D1163" t="s">
        <v>20</v>
      </c>
      <c r="E1163" t="s">
        <v>11</v>
      </c>
      <c r="F1163" t="s">
        <v>14</v>
      </c>
      <c r="G1163">
        <v>0.5</v>
      </c>
      <c r="H1163" s="12">
        <v>0</v>
      </c>
      <c r="I1163" s="12">
        <v>0</v>
      </c>
      <c r="J1163" s="12">
        <v>0</v>
      </c>
      <c r="K1163" s="12">
        <v>0</v>
      </c>
      <c r="L1163" s="12">
        <v>0</v>
      </c>
      <c r="M1163" s="12">
        <v>0</v>
      </c>
      <c r="N1163" s="12">
        <v>0</v>
      </c>
      <c r="O1163" s="12">
        <v>0</v>
      </c>
      <c r="P1163" s="12">
        <v>1</v>
      </c>
      <c r="Q1163" s="12">
        <v>0</v>
      </c>
      <c r="R1163" s="12">
        <v>0</v>
      </c>
    </row>
    <row r="1164" spans="1:19" x14ac:dyDescent="0.25">
      <c r="A1164" s="13">
        <v>45994.58525462963</v>
      </c>
      <c r="B1164" t="s">
        <v>348</v>
      </c>
      <c r="C1164" t="s">
        <v>359</v>
      </c>
      <c r="D1164" t="s">
        <v>10</v>
      </c>
      <c r="E1164" t="s">
        <v>11</v>
      </c>
      <c r="F1164" t="s">
        <v>12</v>
      </c>
      <c r="G1164">
        <v>10.5</v>
      </c>
      <c r="H1164" s="12">
        <v>0</v>
      </c>
      <c r="I1164" s="12">
        <v>0</v>
      </c>
      <c r="J1164" s="12">
        <v>0</v>
      </c>
      <c r="K1164" s="12">
        <v>0</v>
      </c>
      <c r="L1164" s="12">
        <v>0</v>
      </c>
      <c r="M1164" s="12">
        <v>0</v>
      </c>
      <c r="N1164" s="12">
        <v>0</v>
      </c>
      <c r="O1164" s="12">
        <v>0</v>
      </c>
      <c r="P1164" s="12">
        <v>1</v>
      </c>
      <c r="Q1164" s="12">
        <v>0</v>
      </c>
      <c r="R1164" s="12">
        <v>0</v>
      </c>
    </row>
    <row r="1165" spans="1:19" x14ac:dyDescent="0.25">
      <c r="A1165" s="13">
        <v>45994.623923611114</v>
      </c>
      <c r="B1165" t="s">
        <v>348</v>
      </c>
      <c r="C1165" t="s">
        <v>359</v>
      </c>
      <c r="D1165" t="s">
        <v>10</v>
      </c>
      <c r="E1165" t="s">
        <v>11</v>
      </c>
      <c r="F1165" t="s">
        <v>12</v>
      </c>
      <c r="G1165">
        <v>10.5</v>
      </c>
      <c r="H1165" s="12">
        <v>1</v>
      </c>
      <c r="I1165" s="12">
        <v>0</v>
      </c>
      <c r="J1165" s="12">
        <v>1</v>
      </c>
      <c r="K1165" s="12">
        <v>0</v>
      </c>
      <c r="L1165" s="12">
        <v>0</v>
      </c>
      <c r="M1165" s="12">
        <v>1</v>
      </c>
      <c r="N1165" s="12">
        <v>0</v>
      </c>
      <c r="O1165" s="12">
        <v>0</v>
      </c>
      <c r="P1165" s="12">
        <v>0</v>
      </c>
      <c r="Q1165" s="12">
        <v>0</v>
      </c>
      <c r="R1165" s="12">
        <v>0</v>
      </c>
    </row>
    <row r="1166" spans="1:19" x14ac:dyDescent="0.25">
      <c r="A1166" s="13">
        <v>45994.624282407407</v>
      </c>
      <c r="B1166" t="s">
        <v>348</v>
      </c>
      <c r="C1166" t="s">
        <v>359</v>
      </c>
      <c r="D1166" t="s">
        <v>10</v>
      </c>
      <c r="E1166" t="s">
        <v>11</v>
      </c>
      <c r="F1166" t="s">
        <v>12</v>
      </c>
      <c r="G1166">
        <v>10.5</v>
      </c>
      <c r="H1166" s="12">
        <v>0</v>
      </c>
      <c r="I1166" s="12">
        <v>1</v>
      </c>
      <c r="J1166" s="12">
        <v>0</v>
      </c>
      <c r="K1166" s="12">
        <v>0</v>
      </c>
      <c r="L1166" s="12">
        <v>1</v>
      </c>
      <c r="M1166" s="12">
        <v>1</v>
      </c>
      <c r="N1166" s="12">
        <v>0</v>
      </c>
      <c r="O1166" s="12">
        <v>0</v>
      </c>
      <c r="P1166" s="12">
        <v>0</v>
      </c>
      <c r="Q1166" s="12">
        <v>0</v>
      </c>
      <c r="R1166" s="12">
        <v>0</v>
      </c>
    </row>
    <row r="1167" spans="1:19" x14ac:dyDescent="0.25">
      <c r="A1167" s="13">
        <v>45994.718726851854</v>
      </c>
      <c r="B1167" t="s">
        <v>355</v>
      </c>
      <c r="C1167" t="s">
        <v>359</v>
      </c>
      <c r="D1167" t="s">
        <v>10</v>
      </c>
      <c r="E1167" t="s">
        <v>11</v>
      </c>
      <c r="F1167" t="s">
        <v>18</v>
      </c>
      <c r="G1167">
        <v>20</v>
      </c>
      <c r="H1167" s="12">
        <v>0</v>
      </c>
      <c r="I1167" s="12">
        <v>0</v>
      </c>
      <c r="J1167" s="12">
        <v>1</v>
      </c>
      <c r="K1167" s="12">
        <v>0</v>
      </c>
      <c r="L1167" s="12">
        <v>1</v>
      </c>
      <c r="M1167" s="12">
        <v>0</v>
      </c>
      <c r="N1167" s="12">
        <v>0</v>
      </c>
      <c r="O1167" s="12">
        <v>0</v>
      </c>
      <c r="P1167" s="12">
        <v>1</v>
      </c>
      <c r="Q1167" s="12">
        <v>0</v>
      </c>
      <c r="R1167" s="12">
        <v>0</v>
      </c>
    </row>
    <row r="1168" spans="1:19" x14ac:dyDescent="0.25">
      <c r="A1168" s="13">
        <v>45994.719050925924</v>
      </c>
      <c r="B1168" t="s">
        <v>355</v>
      </c>
      <c r="C1168" t="s">
        <v>359</v>
      </c>
      <c r="D1168" t="s">
        <v>10</v>
      </c>
      <c r="E1168" t="s">
        <v>11</v>
      </c>
      <c r="F1168" t="s">
        <v>12</v>
      </c>
      <c r="G1168">
        <v>10.5</v>
      </c>
      <c r="H1168" s="12">
        <v>0</v>
      </c>
      <c r="I1168" s="12">
        <v>0</v>
      </c>
      <c r="J1168" s="12">
        <v>0</v>
      </c>
      <c r="K1168" s="12">
        <v>0</v>
      </c>
      <c r="L1168" s="12">
        <v>0</v>
      </c>
      <c r="M1168" s="12">
        <v>1</v>
      </c>
      <c r="N1168" s="12">
        <v>0</v>
      </c>
      <c r="O1168" s="12">
        <v>0</v>
      </c>
      <c r="P1168" s="12">
        <v>0</v>
      </c>
      <c r="Q1168" s="12">
        <v>0</v>
      </c>
      <c r="R1168" s="12">
        <v>0</v>
      </c>
      <c r="S1168" t="s">
        <v>296</v>
      </c>
    </row>
    <row r="1169" spans="1:19" x14ac:dyDescent="0.25">
      <c r="A1169" s="13">
        <v>45994.719282407408</v>
      </c>
      <c r="B1169" t="s">
        <v>355</v>
      </c>
      <c r="C1169" t="s">
        <v>359</v>
      </c>
      <c r="D1169" t="s">
        <v>10</v>
      </c>
      <c r="E1169" t="s">
        <v>11</v>
      </c>
      <c r="F1169" t="s">
        <v>15</v>
      </c>
      <c r="G1169">
        <v>3</v>
      </c>
      <c r="H1169" s="12">
        <v>0</v>
      </c>
      <c r="I1169" s="12">
        <v>1</v>
      </c>
      <c r="J1169" s="12">
        <v>0</v>
      </c>
      <c r="K1169" s="12">
        <v>1</v>
      </c>
      <c r="L1169" s="12">
        <v>0</v>
      </c>
      <c r="M1169" s="12">
        <v>0</v>
      </c>
      <c r="N1169" s="12">
        <v>0</v>
      </c>
      <c r="O1169" s="12">
        <v>0</v>
      </c>
      <c r="P1169" s="12">
        <v>0</v>
      </c>
      <c r="Q1169" s="12">
        <v>0</v>
      </c>
      <c r="R1169" s="12">
        <v>0</v>
      </c>
    </row>
    <row r="1170" spans="1:19" x14ac:dyDescent="0.25">
      <c r="A1170" s="13">
        <v>45994.719375000001</v>
      </c>
      <c r="B1170" t="s">
        <v>355</v>
      </c>
      <c r="C1170" t="s">
        <v>359</v>
      </c>
      <c r="D1170" t="s">
        <v>10</v>
      </c>
      <c r="E1170" t="s">
        <v>17</v>
      </c>
      <c r="F1170" t="s">
        <v>14</v>
      </c>
      <c r="G1170">
        <v>0.5</v>
      </c>
      <c r="H1170" s="12">
        <v>0</v>
      </c>
      <c r="I1170" s="12">
        <v>0</v>
      </c>
      <c r="J1170" s="12">
        <v>0</v>
      </c>
      <c r="K1170" s="12">
        <v>0</v>
      </c>
      <c r="L1170" s="12">
        <v>0</v>
      </c>
      <c r="M1170" s="12">
        <v>0</v>
      </c>
      <c r="N1170" s="12">
        <v>0</v>
      </c>
      <c r="O1170" s="12">
        <v>0</v>
      </c>
      <c r="P1170" s="12">
        <v>1</v>
      </c>
      <c r="Q1170" s="12">
        <v>0</v>
      </c>
      <c r="R1170" s="12">
        <v>0</v>
      </c>
    </row>
    <row r="1171" spans="1:19" x14ac:dyDescent="0.25">
      <c r="A1171" s="13">
        <v>45994.719467592593</v>
      </c>
      <c r="B1171" t="s">
        <v>355</v>
      </c>
      <c r="C1171" t="s">
        <v>359</v>
      </c>
      <c r="D1171" t="s">
        <v>10</v>
      </c>
      <c r="E1171" t="s">
        <v>11</v>
      </c>
      <c r="F1171" t="s">
        <v>14</v>
      </c>
      <c r="G1171">
        <v>0.5</v>
      </c>
      <c r="H1171" s="12">
        <v>0</v>
      </c>
      <c r="I1171" s="12">
        <v>0</v>
      </c>
      <c r="J1171" s="12">
        <v>0</v>
      </c>
      <c r="K1171" s="12">
        <v>0</v>
      </c>
      <c r="L1171" s="12">
        <v>0</v>
      </c>
      <c r="M1171" s="12">
        <v>0</v>
      </c>
      <c r="N1171" s="12">
        <v>0</v>
      </c>
      <c r="O1171" s="12">
        <v>0</v>
      </c>
      <c r="P1171" s="12">
        <v>0</v>
      </c>
      <c r="Q1171" s="12">
        <v>1</v>
      </c>
      <c r="R1171" s="12">
        <v>0</v>
      </c>
    </row>
    <row r="1172" spans="1:19" x14ac:dyDescent="0.25">
      <c r="A1172" s="13">
        <v>45995.438310185185</v>
      </c>
      <c r="B1172" t="s">
        <v>347</v>
      </c>
      <c r="C1172" t="s">
        <v>360</v>
      </c>
      <c r="D1172" t="s">
        <v>10</v>
      </c>
      <c r="E1172" t="s">
        <v>11</v>
      </c>
      <c r="F1172" t="s">
        <v>15</v>
      </c>
      <c r="G1172">
        <v>3</v>
      </c>
      <c r="H1172" s="12">
        <v>1</v>
      </c>
      <c r="I1172" s="12">
        <v>0</v>
      </c>
      <c r="J1172" s="12">
        <v>1</v>
      </c>
      <c r="K1172" s="12">
        <v>0</v>
      </c>
      <c r="L1172" s="12">
        <v>0</v>
      </c>
      <c r="M1172" s="12">
        <v>0</v>
      </c>
      <c r="N1172" s="12">
        <v>0</v>
      </c>
      <c r="O1172" s="12">
        <v>0</v>
      </c>
      <c r="P1172" s="12">
        <v>0</v>
      </c>
      <c r="Q1172" s="12">
        <v>0</v>
      </c>
      <c r="R1172" s="12">
        <v>0</v>
      </c>
    </row>
    <row r="1173" spans="1:19" x14ac:dyDescent="0.25">
      <c r="A1173" s="13">
        <v>45995.438402777778</v>
      </c>
      <c r="B1173" t="s">
        <v>347</v>
      </c>
      <c r="C1173" t="s">
        <v>360</v>
      </c>
      <c r="D1173" t="s">
        <v>10</v>
      </c>
      <c r="E1173" t="s">
        <v>11</v>
      </c>
      <c r="F1173" t="s">
        <v>14</v>
      </c>
      <c r="G1173">
        <v>0.5</v>
      </c>
      <c r="H1173" s="12">
        <v>0</v>
      </c>
      <c r="I1173" s="12">
        <v>0</v>
      </c>
      <c r="J1173" s="12">
        <v>0</v>
      </c>
      <c r="K1173" s="12">
        <v>0</v>
      </c>
      <c r="L1173" s="12">
        <v>0</v>
      </c>
      <c r="M1173" s="12">
        <v>0</v>
      </c>
      <c r="N1173" s="12">
        <v>0</v>
      </c>
      <c r="O1173" s="12">
        <v>0</v>
      </c>
      <c r="P1173" s="12">
        <v>1</v>
      </c>
      <c r="Q1173" s="12">
        <v>0</v>
      </c>
      <c r="R1173" s="12">
        <v>0</v>
      </c>
    </row>
    <row r="1174" spans="1:19" x14ac:dyDescent="0.25">
      <c r="A1174" s="13">
        <v>45995.500300925924</v>
      </c>
      <c r="B1174" t="s">
        <v>350</v>
      </c>
      <c r="C1174" t="s">
        <v>360</v>
      </c>
      <c r="D1174" t="s">
        <v>10</v>
      </c>
      <c r="E1174" t="s">
        <v>11</v>
      </c>
      <c r="F1174" t="s">
        <v>12</v>
      </c>
      <c r="G1174">
        <v>10.5</v>
      </c>
      <c r="H1174" s="12">
        <v>0</v>
      </c>
      <c r="I1174" s="12">
        <v>1</v>
      </c>
      <c r="J1174" s="12">
        <v>1</v>
      </c>
      <c r="K1174" s="12">
        <v>1</v>
      </c>
      <c r="L1174" s="12">
        <v>0</v>
      </c>
      <c r="M1174" s="12">
        <v>0</v>
      </c>
      <c r="N1174" s="12">
        <v>0</v>
      </c>
      <c r="O1174" s="12">
        <v>0</v>
      </c>
      <c r="P1174" s="12">
        <v>0</v>
      </c>
      <c r="Q1174" s="12">
        <v>0</v>
      </c>
      <c r="R1174" s="12">
        <v>0</v>
      </c>
    </row>
    <row r="1175" spans="1:19" x14ac:dyDescent="0.25">
      <c r="A1175" s="13">
        <v>45995.530335648145</v>
      </c>
      <c r="B1175" t="s">
        <v>350</v>
      </c>
      <c r="C1175" t="s">
        <v>360</v>
      </c>
      <c r="D1175" t="s">
        <v>10</v>
      </c>
      <c r="E1175" t="s">
        <v>11</v>
      </c>
      <c r="F1175" t="s">
        <v>18</v>
      </c>
      <c r="G1175">
        <v>20</v>
      </c>
      <c r="H1175" s="12">
        <v>0</v>
      </c>
      <c r="I1175" s="12">
        <v>0</v>
      </c>
      <c r="J1175" s="12">
        <v>0</v>
      </c>
      <c r="K1175" s="12">
        <v>0</v>
      </c>
      <c r="L1175" s="12">
        <v>1</v>
      </c>
      <c r="M1175" s="12">
        <v>0</v>
      </c>
      <c r="N1175" s="12">
        <v>0</v>
      </c>
      <c r="O1175" s="12">
        <v>0</v>
      </c>
      <c r="P1175" s="12">
        <v>1</v>
      </c>
      <c r="Q1175" s="12">
        <v>0</v>
      </c>
      <c r="R1175" s="12">
        <v>0</v>
      </c>
      <c r="S1175" t="s">
        <v>297</v>
      </c>
    </row>
    <row r="1176" spans="1:19" x14ac:dyDescent="0.25">
      <c r="A1176" s="13">
        <v>45995.53565972222</v>
      </c>
      <c r="B1176" t="s">
        <v>350</v>
      </c>
      <c r="C1176" t="s">
        <v>360</v>
      </c>
      <c r="D1176" t="s">
        <v>10</v>
      </c>
      <c r="E1176" t="s">
        <v>11</v>
      </c>
      <c r="F1176" t="s">
        <v>15</v>
      </c>
      <c r="G1176">
        <v>3</v>
      </c>
      <c r="H1176" s="12">
        <v>1</v>
      </c>
      <c r="I1176" s="12">
        <v>0</v>
      </c>
      <c r="J1176" s="12">
        <v>1</v>
      </c>
      <c r="K1176" s="12">
        <v>0</v>
      </c>
      <c r="L1176" s="12">
        <v>0</v>
      </c>
      <c r="M1176" s="12">
        <v>0</v>
      </c>
      <c r="N1176" s="12">
        <v>0</v>
      </c>
      <c r="O1176" s="12">
        <v>0</v>
      </c>
      <c r="P1176" s="12">
        <v>0</v>
      </c>
      <c r="Q1176" s="12">
        <v>0</v>
      </c>
      <c r="R1176" s="12">
        <v>0</v>
      </c>
    </row>
    <row r="1177" spans="1:19" x14ac:dyDescent="0.25">
      <c r="A1177" s="13">
        <v>45995.55</v>
      </c>
      <c r="B1177" t="s">
        <v>351</v>
      </c>
      <c r="C1177" t="s">
        <v>360</v>
      </c>
      <c r="D1177" t="s">
        <v>10</v>
      </c>
      <c r="E1177" t="s">
        <v>11</v>
      </c>
      <c r="F1177" t="s">
        <v>14</v>
      </c>
      <c r="G1177">
        <v>0.5</v>
      </c>
      <c r="H1177" s="12">
        <v>0</v>
      </c>
      <c r="I1177" s="12">
        <v>0</v>
      </c>
      <c r="J1177" s="12">
        <v>0</v>
      </c>
      <c r="K1177" s="12">
        <v>0</v>
      </c>
      <c r="L1177" s="12">
        <v>0</v>
      </c>
      <c r="M1177" s="12">
        <v>0</v>
      </c>
      <c r="N1177" s="12">
        <v>0</v>
      </c>
      <c r="O1177" s="12">
        <v>1</v>
      </c>
      <c r="P1177" s="12">
        <v>0</v>
      </c>
      <c r="Q1177" s="12">
        <v>0</v>
      </c>
      <c r="R1177" s="12">
        <v>0</v>
      </c>
    </row>
    <row r="1178" spans="1:19" x14ac:dyDescent="0.25">
      <c r="A1178" s="13">
        <v>45995.550150462965</v>
      </c>
      <c r="B1178" t="s">
        <v>351</v>
      </c>
      <c r="C1178" t="s">
        <v>360</v>
      </c>
      <c r="D1178" t="s">
        <v>10</v>
      </c>
      <c r="E1178" t="s">
        <v>17</v>
      </c>
      <c r="F1178" t="s">
        <v>14</v>
      </c>
      <c r="G1178">
        <v>0.5</v>
      </c>
      <c r="H1178" s="12">
        <v>0</v>
      </c>
      <c r="I1178" s="12">
        <v>0</v>
      </c>
      <c r="J1178" s="12">
        <v>0</v>
      </c>
      <c r="K1178" s="12">
        <v>0</v>
      </c>
      <c r="L1178" s="12">
        <v>0</v>
      </c>
      <c r="M1178" s="12">
        <v>0</v>
      </c>
      <c r="N1178" s="12">
        <v>0</v>
      </c>
      <c r="O1178" s="12">
        <v>1</v>
      </c>
      <c r="P1178" s="12">
        <v>0</v>
      </c>
      <c r="Q1178" s="12">
        <v>0</v>
      </c>
      <c r="R1178" s="12">
        <v>0</v>
      </c>
    </row>
    <row r="1179" spans="1:19" x14ac:dyDescent="0.25">
      <c r="A1179" s="13">
        <v>45995.571388888886</v>
      </c>
      <c r="B1179" t="s">
        <v>351</v>
      </c>
      <c r="C1179" t="s">
        <v>360</v>
      </c>
      <c r="D1179" t="s">
        <v>10</v>
      </c>
      <c r="E1179" t="s">
        <v>11</v>
      </c>
      <c r="F1179" t="s">
        <v>14</v>
      </c>
      <c r="G1179">
        <v>0.5</v>
      </c>
      <c r="H1179" s="12">
        <v>0</v>
      </c>
      <c r="I1179" s="12">
        <v>0</v>
      </c>
      <c r="J1179" s="12">
        <v>0</v>
      </c>
      <c r="K1179" s="12">
        <v>0</v>
      </c>
      <c r="L1179" s="12">
        <v>0</v>
      </c>
      <c r="M1179" s="12">
        <v>0</v>
      </c>
      <c r="N1179" s="12">
        <v>0</v>
      </c>
      <c r="O1179" s="12">
        <v>0</v>
      </c>
      <c r="P1179" s="12">
        <v>0</v>
      </c>
      <c r="Q1179" s="12">
        <v>1</v>
      </c>
      <c r="R1179" s="12">
        <v>0</v>
      </c>
    </row>
    <row r="1180" spans="1:19" x14ac:dyDescent="0.25">
      <c r="A1180" s="13">
        <v>45995.615671296298</v>
      </c>
      <c r="B1180" t="s">
        <v>348</v>
      </c>
      <c r="C1180" t="s">
        <v>360</v>
      </c>
      <c r="D1180" t="s">
        <v>10</v>
      </c>
      <c r="E1180" t="s">
        <v>17</v>
      </c>
      <c r="F1180" t="s">
        <v>15</v>
      </c>
      <c r="G1180">
        <v>3</v>
      </c>
      <c r="H1180" s="12">
        <v>1</v>
      </c>
      <c r="I1180" s="12">
        <v>0</v>
      </c>
      <c r="J1180" s="12">
        <v>1</v>
      </c>
      <c r="K1180" s="12">
        <v>0</v>
      </c>
      <c r="L1180" s="12">
        <v>0</v>
      </c>
      <c r="M1180" s="12">
        <v>0</v>
      </c>
      <c r="N1180" s="12">
        <v>0</v>
      </c>
      <c r="O1180" s="12">
        <v>0</v>
      </c>
      <c r="P1180" s="12">
        <v>0</v>
      </c>
      <c r="Q1180" s="12">
        <v>0</v>
      </c>
      <c r="R1180" s="12">
        <v>0</v>
      </c>
    </row>
    <row r="1181" spans="1:19" x14ac:dyDescent="0.25">
      <c r="A1181" s="13">
        <v>45995.637083333335</v>
      </c>
      <c r="B1181" t="s">
        <v>349</v>
      </c>
      <c r="C1181" t="s">
        <v>360</v>
      </c>
      <c r="D1181" t="s">
        <v>10</v>
      </c>
      <c r="E1181" t="s">
        <v>11</v>
      </c>
      <c r="F1181" t="s">
        <v>12</v>
      </c>
      <c r="G1181">
        <v>10.5</v>
      </c>
      <c r="H1181" s="12">
        <v>1</v>
      </c>
      <c r="I1181" s="12">
        <v>0</v>
      </c>
      <c r="J1181" s="12">
        <v>1</v>
      </c>
      <c r="K1181" s="12">
        <v>0</v>
      </c>
      <c r="L1181" s="12">
        <v>0</v>
      </c>
      <c r="M1181" s="12">
        <v>0</v>
      </c>
      <c r="N1181" s="12">
        <v>0</v>
      </c>
      <c r="O1181" s="12">
        <v>0</v>
      </c>
      <c r="P1181" s="12">
        <v>0</v>
      </c>
      <c r="Q1181" s="12">
        <v>0</v>
      </c>
      <c r="R1181" s="12">
        <v>0</v>
      </c>
      <c r="S1181" t="s">
        <v>298</v>
      </c>
    </row>
    <row r="1182" spans="1:19" x14ac:dyDescent="0.25">
      <c r="A1182" s="13">
        <v>45995.637395833335</v>
      </c>
      <c r="B1182" t="s">
        <v>349</v>
      </c>
      <c r="C1182" t="s">
        <v>360</v>
      </c>
      <c r="D1182" t="s">
        <v>20</v>
      </c>
      <c r="E1182" t="s">
        <v>11</v>
      </c>
      <c r="F1182" t="s">
        <v>15</v>
      </c>
      <c r="G1182">
        <v>3</v>
      </c>
      <c r="H1182" s="12">
        <v>0</v>
      </c>
      <c r="I1182" s="12">
        <v>0</v>
      </c>
      <c r="J1182" s="12">
        <v>0</v>
      </c>
      <c r="K1182" s="12">
        <v>0</v>
      </c>
      <c r="L1182" s="12">
        <v>1</v>
      </c>
      <c r="M1182" s="12">
        <v>0</v>
      </c>
      <c r="N1182" s="12">
        <v>0</v>
      </c>
      <c r="O1182" s="12">
        <v>0</v>
      </c>
      <c r="P1182" s="12">
        <v>0</v>
      </c>
      <c r="Q1182" s="12">
        <v>0</v>
      </c>
      <c r="R1182" s="12">
        <v>0</v>
      </c>
      <c r="S1182" t="s">
        <v>299</v>
      </c>
    </row>
    <row r="1183" spans="1:19" x14ac:dyDescent="0.25">
      <c r="A1183" s="13">
        <v>45995.637511574074</v>
      </c>
      <c r="B1183" t="s">
        <v>349</v>
      </c>
      <c r="C1183" t="s">
        <v>360</v>
      </c>
      <c r="D1183" t="s">
        <v>10</v>
      </c>
      <c r="E1183" t="s">
        <v>11</v>
      </c>
      <c r="F1183" t="s">
        <v>15</v>
      </c>
      <c r="G1183">
        <v>3</v>
      </c>
      <c r="H1183" s="12">
        <v>0</v>
      </c>
      <c r="I1183" s="12">
        <v>0</v>
      </c>
      <c r="J1183" s="12">
        <v>0</v>
      </c>
      <c r="K1183" s="12">
        <v>0</v>
      </c>
      <c r="L1183" s="12">
        <v>0</v>
      </c>
      <c r="M1183" s="12">
        <v>0</v>
      </c>
      <c r="N1183" s="12">
        <v>0</v>
      </c>
      <c r="O1183" s="12">
        <v>0</v>
      </c>
      <c r="P1183" s="12">
        <v>0</v>
      </c>
      <c r="Q1183" s="12">
        <v>0</v>
      </c>
      <c r="R1183" s="12">
        <v>1</v>
      </c>
      <c r="S1183" t="s">
        <v>214</v>
      </c>
    </row>
    <row r="1184" spans="1:19" x14ac:dyDescent="0.25">
      <c r="A1184" s="13">
        <v>45995.642395833333</v>
      </c>
      <c r="B1184" t="s">
        <v>349</v>
      </c>
      <c r="C1184" t="s">
        <v>360</v>
      </c>
      <c r="D1184" t="s">
        <v>10</v>
      </c>
      <c r="E1184" t="s">
        <v>11</v>
      </c>
      <c r="F1184" t="s">
        <v>15</v>
      </c>
      <c r="G1184">
        <v>3</v>
      </c>
      <c r="H1184" s="12">
        <v>0</v>
      </c>
      <c r="I1184" s="12">
        <v>0</v>
      </c>
      <c r="J1184" s="12">
        <v>0</v>
      </c>
      <c r="K1184" s="12">
        <v>0</v>
      </c>
      <c r="L1184" s="12">
        <v>0</v>
      </c>
      <c r="M1184" s="12">
        <v>0</v>
      </c>
      <c r="N1184" s="12">
        <v>0</v>
      </c>
      <c r="O1184" s="12">
        <v>0</v>
      </c>
      <c r="P1184" s="12">
        <v>0</v>
      </c>
      <c r="Q1184" s="12">
        <v>0</v>
      </c>
      <c r="R1184" s="12">
        <v>1</v>
      </c>
      <c r="S1184" t="s">
        <v>300</v>
      </c>
    </row>
    <row r="1185" spans="1:19" x14ac:dyDescent="0.25">
      <c r="A1185" s="13">
        <v>45995.644282407404</v>
      </c>
      <c r="B1185" t="s">
        <v>349</v>
      </c>
      <c r="C1185" t="s">
        <v>360</v>
      </c>
      <c r="D1185" t="s">
        <v>10</v>
      </c>
      <c r="E1185" t="s">
        <v>11</v>
      </c>
      <c r="F1185" t="s">
        <v>15</v>
      </c>
      <c r="G1185">
        <v>3</v>
      </c>
      <c r="H1185" s="12">
        <v>0</v>
      </c>
      <c r="I1185" s="12">
        <v>0</v>
      </c>
      <c r="J1185" s="12">
        <v>0</v>
      </c>
      <c r="K1185" s="12">
        <v>0</v>
      </c>
      <c r="L1185" s="12">
        <v>1</v>
      </c>
      <c r="M1185" s="12">
        <v>0</v>
      </c>
      <c r="N1185" s="12">
        <v>0</v>
      </c>
      <c r="O1185" s="12">
        <v>0</v>
      </c>
      <c r="P1185" s="12">
        <v>0</v>
      </c>
      <c r="Q1185" s="12">
        <v>0</v>
      </c>
      <c r="R1185" s="12">
        <v>0</v>
      </c>
    </row>
    <row r="1186" spans="1:19" x14ac:dyDescent="0.25">
      <c r="A1186" s="13">
        <v>45995.709664351853</v>
      </c>
      <c r="B1186" t="s">
        <v>355</v>
      </c>
      <c r="C1186" t="s">
        <v>360</v>
      </c>
      <c r="D1186" t="s">
        <v>10</v>
      </c>
      <c r="E1186" t="s">
        <v>11</v>
      </c>
      <c r="F1186" t="s">
        <v>18</v>
      </c>
      <c r="G1186">
        <v>20</v>
      </c>
      <c r="H1186" s="12">
        <v>0</v>
      </c>
      <c r="I1186" s="12">
        <v>0</v>
      </c>
      <c r="J1186" s="12">
        <v>0</v>
      </c>
      <c r="K1186" s="12">
        <v>0</v>
      </c>
      <c r="L1186" s="12">
        <v>1</v>
      </c>
      <c r="M1186" s="12">
        <v>0</v>
      </c>
      <c r="N1186" s="12">
        <v>0</v>
      </c>
      <c r="O1186" s="12">
        <v>0</v>
      </c>
      <c r="P1186" s="12">
        <v>0</v>
      </c>
      <c r="Q1186" s="12">
        <v>0</v>
      </c>
      <c r="R1186" s="12">
        <v>0</v>
      </c>
    </row>
    <row r="1187" spans="1:19" x14ac:dyDescent="0.25">
      <c r="A1187" s="13">
        <v>45995.731412037036</v>
      </c>
      <c r="B1187" t="s">
        <v>355</v>
      </c>
      <c r="C1187" t="s">
        <v>360</v>
      </c>
      <c r="D1187" t="s">
        <v>10</v>
      </c>
      <c r="E1187" t="s">
        <v>11</v>
      </c>
      <c r="F1187" t="s">
        <v>14</v>
      </c>
      <c r="G1187">
        <v>0.5</v>
      </c>
      <c r="H1187" s="12">
        <v>0</v>
      </c>
      <c r="I1187" s="12">
        <v>0</v>
      </c>
      <c r="J1187" s="12">
        <v>0</v>
      </c>
      <c r="K1187" s="12">
        <v>0</v>
      </c>
      <c r="L1187" s="12">
        <v>0</v>
      </c>
      <c r="M1187" s="12">
        <v>0</v>
      </c>
      <c r="N1187" s="12">
        <v>0</v>
      </c>
      <c r="O1187" s="12">
        <v>0</v>
      </c>
      <c r="P1187" s="12">
        <v>1</v>
      </c>
      <c r="Q1187" s="12">
        <v>0</v>
      </c>
      <c r="R1187" s="12">
        <v>0</v>
      </c>
    </row>
    <row r="1188" spans="1:19" x14ac:dyDescent="0.25">
      <c r="A1188" s="13">
        <v>45996.438750000001</v>
      </c>
      <c r="B1188" t="s">
        <v>347</v>
      </c>
      <c r="C1188" t="s">
        <v>361</v>
      </c>
      <c r="D1188" t="s">
        <v>10</v>
      </c>
      <c r="E1188" t="s">
        <v>11</v>
      </c>
      <c r="F1188" t="s">
        <v>15</v>
      </c>
      <c r="G1188">
        <v>3</v>
      </c>
      <c r="H1188" s="12">
        <v>0</v>
      </c>
      <c r="I1188" s="12">
        <v>0</v>
      </c>
      <c r="J1188" s="12">
        <v>0</v>
      </c>
      <c r="K1188" s="12">
        <v>0</v>
      </c>
      <c r="L1188" s="12">
        <v>0</v>
      </c>
      <c r="M1188" s="12">
        <v>0</v>
      </c>
      <c r="N1188" s="12">
        <v>0</v>
      </c>
      <c r="O1188" s="12">
        <v>1</v>
      </c>
      <c r="P1188" s="12">
        <v>0</v>
      </c>
      <c r="Q1188" s="12">
        <v>0</v>
      </c>
      <c r="R1188" s="12">
        <v>0</v>
      </c>
    </row>
    <row r="1189" spans="1:19" x14ac:dyDescent="0.25">
      <c r="A1189" s="13">
        <v>45996.455358796295</v>
      </c>
      <c r="B1189" t="s">
        <v>347</v>
      </c>
      <c r="C1189" t="s">
        <v>361</v>
      </c>
      <c r="D1189" t="s">
        <v>10</v>
      </c>
      <c r="E1189" t="s">
        <v>11</v>
      </c>
      <c r="F1189" t="s">
        <v>12</v>
      </c>
      <c r="G1189">
        <v>10.5</v>
      </c>
      <c r="H1189" s="12">
        <v>0</v>
      </c>
      <c r="I1189" s="12">
        <v>0</v>
      </c>
      <c r="J1189" s="12">
        <v>0</v>
      </c>
      <c r="K1189" s="12">
        <v>0</v>
      </c>
      <c r="L1189" s="12">
        <v>0</v>
      </c>
      <c r="M1189" s="12">
        <v>0</v>
      </c>
      <c r="N1189" s="12">
        <v>1</v>
      </c>
      <c r="O1189" s="12">
        <v>0</v>
      </c>
      <c r="P1189" s="12">
        <v>0</v>
      </c>
      <c r="Q1189" s="12">
        <v>0</v>
      </c>
      <c r="R1189" s="12">
        <v>0</v>
      </c>
    </row>
    <row r="1190" spans="1:19" x14ac:dyDescent="0.25">
      <c r="A1190" s="13">
        <v>45996.487222222226</v>
      </c>
      <c r="B1190" t="s">
        <v>354</v>
      </c>
      <c r="C1190" t="s">
        <v>361</v>
      </c>
      <c r="D1190" t="s">
        <v>10</v>
      </c>
      <c r="E1190" t="s">
        <v>11</v>
      </c>
      <c r="F1190" t="s">
        <v>15</v>
      </c>
      <c r="G1190">
        <v>3</v>
      </c>
      <c r="H1190" s="12">
        <v>0</v>
      </c>
      <c r="I1190" s="12">
        <v>0</v>
      </c>
      <c r="J1190" s="12">
        <v>0</v>
      </c>
      <c r="K1190" s="12">
        <v>0</v>
      </c>
      <c r="L1190" s="12">
        <v>0</v>
      </c>
      <c r="M1190" s="12">
        <v>0</v>
      </c>
      <c r="N1190" s="12">
        <v>0</v>
      </c>
      <c r="O1190" s="12">
        <v>1</v>
      </c>
      <c r="P1190" s="12">
        <v>0</v>
      </c>
      <c r="Q1190" s="12">
        <v>0</v>
      </c>
      <c r="R1190" s="12">
        <v>0</v>
      </c>
    </row>
    <row r="1191" spans="1:19" x14ac:dyDescent="0.25">
      <c r="A1191" s="13">
        <v>45996.50476851852</v>
      </c>
      <c r="B1191" t="s">
        <v>350</v>
      </c>
      <c r="C1191" t="s">
        <v>361</v>
      </c>
      <c r="D1191" t="s">
        <v>10</v>
      </c>
      <c r="E1191" t="s">
        <v>11</v>
      </c>
      <c r="F1191" t="s">
        <v>15</v>
      </c>
      <c r="G1191">
        <v>3</v>
      </c>
      <c r="H1191" s="12">
        <v>0</v>
      </c>
      <c r="I1191" s="12">
        <v>0</v>
      </c>
      <c r="J1191" s="12">
        <v>0</v>
      </c>
      <c r="K1191" s="12">
        <v>0</v>
      </c>
      <c r="L1191" s="12">
        <v>0</v>
      </c>
      <c r="M1191" s="12">
        <v>0</v>
      </c>
      <c r="N1191" s="12">
        <v>0</v>
      </c>
      <c r="O1191" s="12">
        <v>0</v>
      </c>
      <c r="P1191" s="12">
        <v>0</v>
      </c>
      <c r="Q1191" s="12">
        <v>1</v>
      </c>
      <c r="R1191" s="12">
        <v>0</v>
      </c>
      <c r="S1191" t="s">
        <v>301</v>
      </c>
    </row>
    <row r="1192" spans="1:19" x14ac:dyDescent="0.25">
      <c r="A1192" s="13">
        <v>45996.518229166664</v>
      </c>
      <c r="B1192" t="s">
        <v>350</v>
      </c>
      <c r="C1192" t="s">
        <v>361</v>
      </c>
      <c r="D1192" t="s">
        <v>10</v>
      </c>
      <c r="E1192" t="s">
        <v>11</v>
      </c>
      <c r="F1192" t="s">
        <v>15</v>
      </c>
      <c r="G1192">
        <v>3</v>
      </c>
      <c r="H1192" s="12">
        <v>0</v>
      </c>
      <c r="I1192" s="12">
        <v>0</v>
      </c>
      <c r="J1192" s="12">
        <v>0</v>
      </c>
      <c r="K1192" s="12">
        <v>0</v>
      </c>
      <c r="L1192" s="12">
        <v>0</v>
      </c>
      <c r="M1192" s="12">
        <v>0</v>
      </c>
      <c r="N1192" s="12">
        <v>1</v>
      </c>
      <c r="O1192" s="12">
        <v>0</v>
      </c>
      <c r="P1192" s="12">
        <v>0</v>
      </c>
      <c r="Q1192" s="12">
        <v>0</v>
      </c>
      <c r="R1192" s="12">
        <v>0</v>
      </c>
    </row>
    <row r="1193" spans="1:19" x14ac:dyDescent="0.25">
      <c r="A1193" s="13">
        <v>45996.551620370374</v>
      </c>
      <c r="B1193" t="s">
        <v>351</v>
      </c>
      <c r="C1193" t="s">
        <v>361</v>
      </c>
      <c r="D1193" t="s">
        <v>10</v>
      </c>
      <c r="E1193" t="s">
        <v>11</v>
      </c>
      <c r="F1193" t="s">
        <v>15</v>
      </c>
      <c r="G1193">
        <v>3</v>
      </c>
      <c r="H1193" s="12">
        <v>0</v>
      </c>
      <c r="I1193" s="12">
        <v>0</v>
      </c>
      <c r="J1193" s="12">
        <v>0</v>
      </c>
      <c r="K1193" s="12">
        <v>0</v>
      </c>
      <c r="L1193" s="12">
        <v>0</v>
      </c>
      <c r="M1193" s="12">
        <v>0</v>
      </c>
      <c r="N1193" s="12">
        <v>0</v>
      </c>
      <c r="O1193" s="12">
        <v>1</v>
      </c>
      <c r="P1193" s="12">
        <v>0</v>
      </c>
      <c r="Q1193" s="12">
        <v>0</v>
      </c>
      <c r="R1193" s="12">
        <v>0</v>
      </c>
      <c r="S1193" t="s">
        <v>302</v>
      </c>
    </row>
    <row r="1194" spans="1:19" x14ac:dyDescent="0.25">
      <c r="A1194" s="13">
        <v>45996.568865740737</v>
      </c>
      <c r="B1194" t="s">
        <v>351</v>
      </c>
      <c r="C1194" t="s">
        <v>361</v>
      </c>
      <c r="D1194" t="s">
        <v>10</v>
      </c>
      <c r="E1194" t="s">
        <v>11</v>
      </c>
      <c r="F1194" t="s">
        <v>15</v>
      </c>
      <c r="G1194">
        <v>3</v>
      </c>
      <c r="H1194" s="12">
        <v>0</v>
      </c>
      <c r="I1194" s="12">
        <v>0</v>
      </c>
      <c r="J1194" s="12">
        <v>0</v>
      </c>
      <c r="K1194" s="12">
        <v>0</v>
      </c>
      <c r="L1194" s="12">
        <v>0</v>
      </c>
      <c r="M1194" s="12">
        <v>0</v>
      </c>
      <c r="N1194" s="12">
        <v>0</v>
      </c>
      <c r="O1194" s="12">
        <v>0</v>
      </c>
      <c r="P1194" s="12">
        <v>1</v>
      </c>
      <c r="Q1194" s="12">
        <v>0</v>
      </c>
      <c r="R1194" s="12">
        <v>0</v>
      </c>
      <c r="S1194" t="s">
        <v>303</v>
      </c>
    </row>
    <row r="1195" spans="1:19" x14ac:dyDescent="0.25">
      <c r="A1195" s="13">
        <v>45996.603391203702</v>
      </c>
      <c r="B1195" t="s">
        <v>348</v>
      </c>
      <c r="C1195" t="s">
        <v>361</v>
      </c>
      <c r="D1195" t="s">
        <v>10</v>
      </c>
      <c r="E1195" t="s">
        <v>11</v>
      </c>
      <c r="F1195" t="s">
        <v>18</v>
      </c>
      <c r="G1195">
        <v>20</v>
      </c>
      <c r="H1195" s="12">
        <v>0</v>
      </c>
      <c r="I1195" s="12">
        <v>0</v>
      </c>
      <c r="J1195" s="12">
        <v>1</v>
      </c>
      <c r="K1195" s="12">
        <v>0</v>
      </c>
      <c r="L1195" s="12">
        <v>1</v>
      </c>
      <c r="M1195" s="12">
        <v>0</v>
      </c>
      <c r="N1195" s="12">
        <v>0</v>
      </c>
      <c r="O1195" s="12">
        <v>0</v>
      </c>
      <c r="P1195" s="12">
        <v>1</v>
      </c>
      <c r="Q1195" s="12">
        <v>0</v>
      </c>
      <c r="R1195" s="12">
        <v>0</v>
      </c>
    </row>
    <row r="1196" spans="1:19" x14ac:dyDescent="0.25">
      <c r="A1196" s="13">
        <v>45996.683240740742</v>
      </c>
      <c r="B1196" t="s">
        <v>353</v>
      </c>
      <c r="C1196" t="s">
        <v>361</v>
      </c>
      <c r="D1196" t="s">
        <v>10</v>
      </c>
      <c r="E1196" t="s">
        <v>11</v>
      </c>
      <c r="F1196" t="s">
        <v>18</v>
      </c>
      <c r="G1196">
        <v>20</v>
      </c>
      <c r="H1196" s="12">
        <v>0</v>
      </c>
      <c r="I1196" s="12">
        <v>0</v>
      </c>
      <c r="J1196" s="12">
        <v>1</v>
      </c>
      <c r="K1196" s="12">
        <v>0</v>
      </c>
      <c r="L1196" s="12">
        <v>1</v>
      </c>
      <c r="M1196" s="12">
        <v>1</v>
      </c>
      <c r="N1196" s="12">
        <v>0</v>
      </c>
      <c r="O1196" s="12">
        <v>0</v>
      </c>
      <c r="P1196" s="12">
        <v>1</v>
      </c>
      <c r="Q1196" s="12">
        <v>0</v>
      </c>
      <c r="R1196" s="12">
        <v>0</v>
      </c>
    </row>
    <row r="1197" spans="1:19" x14ac:dyDescent="0.25">
      <c r="A1197" s="13">
        <v>45996.683333333334</v>
      </c>
      <c r="B1197" t="s">
        <v>353</v>
      </c>
      <c r="C1197" t="s">
        <v>361</v>
      </c>
      <c r="D1197" t="s">
        <v>10</v>
      </c>
      <c r="E1197" t="s">
        <v>11</v>
      </c>
      <c r="F1197" t="s">
        <v>15</v>
      </c>
      <c r="G1197">
        <v>3</v>
      </c>
      <c r="H1197" s="12">
        <v>0</v>
      </c>
      <c r="I1197" s="12">
        <v>0</v>
      </c>
      <c r="J1197" s="12">
        <v>0</v>
      </c>
      <c r="K1197" s="12">
        <v>0</v>
      </c>
      <c r="L1197" s="12">
        <v>0</v>
      </c>
      <c r="M1197" s="12">
        <v>0</v>
      </c>
      <c r="N1197" s="12">
        <v>0</v>
      </c>
      <c r="O1197" s="12">
        <v>0</v>
      </c>
      <c r="P1197" s="12">
        <v>0</v>
      </c>
      <c r="Q1197" s="12">
        <v>0</v>
      </c>
      <c r="R1197" s="12">
        <v>1</v>
      </c>
    </row>
    <row r="1198" spans="1:19" x14ac:dyDescent="0.25">
      <c r="A1198" s="13">
        <v>45996.683599537035</v>
      </c>
      <c r="B1198" t="s">
        <v>353</v>
      </c>
      <c r="C1198" t="s">
        <v>361</v>
      </c>
      <c r="D1198" t="s">
        <v>10</v>
      </c>
      <c r="E1198" t="s">
        <v>11</v>
      </c>
      <c r="F1198" t="s">
        <v>18</v>
      </c>
      <c r="G1198">
        <v>20</v>
      </c>
      <c r="H1198" s="12">
        <v>1</v>
      </c>
      <c r="I1198" s="12">
        <v>0</v>
      </c>
      <c r="J1198" s="12">
        <v>1</v>
      </c>
      <c r="K1198" s="12">
        <v>0</v>
      </c>
      <c r="L1198" s="12">
        <v>1</v>
      </c>
      <c r="M1198" s="12">
        <v>0</v>
      </c>
      <c r="N1198" s="12">
        <v>0</v>
      </c>
      <c r="O1198" s="12">
        <v>0</v>
      </c>
      <c r="P1198" s="12">
        <v>1</v>
      </c>
      <c r="Q1198" s="12">
        <v>0</v>
      </c>
      <c r="R1198" s="12">
        <v>0</v>
      </c>
    </row>
    <row r="1199" spans="1:19" x14ac:dyDescent="0.25">
      <c r="A1199" s="13">
        <v>45996.68377314815</v>
      </c>
      <c r="B1199" t="s">
        <v>353</v>
      </c>
      <c r="C1199" t="s">
        <v>361</v>
      </c>
      <c r="D1199" t="s">
        <v>10</v>
      </c>
      <c r="E1199" t="s">
        <v>17</v>
      </c>
      <c r="F1199" t="s">
        <v>15</v>
      </c>
      <c r="G1199">
        <v>3</v>
      </c>
      <c r="H1199" s="12">
        <v>0</v>
      </c>
      <c r="I1199" s="12">
        <v>0</v>
      </c>
      <c r="J1199" s="12">
        <v>0</v>
      </c>
      <c r="K1199" s="12">
        <v>0</v>
      </c>
      <c r="L1199" s="12">
        <v>0</v>
      </c>
      <c r="M1199" s="12">
        <v>0</v>
      </c>
      <c r="N1199" s="12">
        <v>0</v>
      </c>
      <c r="O1199" s="12">
        <v>0</v>
      </c>
      <c r="P1199" s="12">
        <v>0</v>
      </c>
      <c r="Q1199" s="12">
        <v>0</v>
      </c>
      <c r="R1199" s="12">
        <v>1</v>
      </c>
    </row>
    <row r="1200" spans="1:19" x14ac:dyDescent="0.25">
      <c r="A1200" s="13">
        <v>45996.728055555555</v>
      </c>
      <c r="B1200" t="s">
        <v>355</v>
      </c>
      <c r="C1200" t="s">
        <v>361</v>
      </c>
      <c r="D1200" t="s">
        <v>10</v>
      </c>
      <c r="E1200" t="s">
        <v>11</v>
      </c>
      <c r="F1200" t="s">
        <v>12</v>
      </c>
      <c r="G1200">
        <v>10.5</v>
      </c>
      <c r="H1200" s="12">
        <v>1</v>
      </c>
      <c r="I1200" s="12">
        <v>0</v>
      </c>
      <c r="J1200" s="12">
        <v>1</v>
      </c>
      <c r="K1200" s="12">
        <v>0</v>
      </c>
      <c r="L1200" s="12">
        <v>0</v>
      </c>
      <c r="M1200" s="12">
        <v>0</v>
      </c>
      <c r="N1200" s="12">
        <v>0</v>
      </c>
      <c r="O1200" s="12">
        <v>0</v>
      </c>
      <c r="P1200" s="12">
        <v>0</v>
      </c>
      <c r="Q1200" s="12">
        <v>0</v>
      </c>
      <c r="R1200" s="12">
        <v>0</v>
      </c>
    </row>
    <row r="1201" spans="1:19" x14ac:dyDescent="0.25">
      <c r="A1201" s="13">
        <v>45996.728136574071</v>
      </c>
      <c r="B1201" t="s">
        <v>355</v>
      </c>
      <c r="C1201" t="s">
        <v>361</v>
      </c>
      <c r="D1201" t="s">
        <v>10</v>
      </c>
      <c r="E1201" t="s">
        <v>11</v>
      </c>
      <c r="F1201" t="s">
        <v>15</v>
      </c>
      <c r="G1201">
        <v>3</v>
      </c>
      <c r="H1201" s="12">
        <v>0</v>
      </c>
      <c r="I1201" s="12">
        <v>0</v>
      </c>
      <c r="J1201" s="12">
        <v>0</v>
      </c>
      <c r="K1201" s="12">
        <v>0</v>
      </c>
      <c r="L1201" s="12">
        <v>0</v>
      </c>
      <c r="M1201" s="12">
        <v>0</v>
      </c>
      <c r="N1201" s="12">
        <v>0</v>
      </c>
      <c r="O1201" s="12">
        <v>0</v>
      </c>
      <c r="P1201" s="12">
        <v>1</v>
      </c>
      <c r="Q1201" s="12">
        <v>0</v>
      </c>
      <c r="R1201" s="12">
        <v>0</v>
      </c>
    </row>
    <row r="1202" spans="1:19" x14ac:dyDescent="0.25">
      <c r="A1202" s="13">
        <v>45996.728217592594</v>
      </c>
      <c r="B1202" t="s">
        <v>355</v>
      </c>
      <c r="C1202" t="s">
        <v>361</v>
      </c>
      <c r="D1202" t="s">
        <v>10</v>
      </c>
      <c r="E1202" t="s">
        <v>11</v>
      </c>
      <c r="F1202" t="s">
        <v>14</v>
      </c>
      <c r="G1202">
        <v>0.5</v>
      </c>
      <c r="H1202" s="12">
        <v>0</v>
      </c>
      <c r="I1202" s="12">
        <v>0</v>
      </c>
      <c r="J1202" s="12">
        <v>0</v>
      </c>
      <c r="K1202" s="12">
        <v>0</v>
      </c>
      <c r="L1202" s="12">
        <v>0</v>
      </c>
      <c r="M1202" s="12">
        <v>0</v>
      </c>
      <c r="N1202" s="12">
        <v>0</v>
      </c>
      <c r="O1202" s="12">
        <v>0</v>
      </c>
      <c r="P1202" s="12">
        <v>0</v>
      </c>
      <c r="Q1202" s="12">
        <v>1</v>
      </c>
      <c r="R1202" s="12">
        <v>0</v>
      </c>
    </row>
    <row r="1203" spans="1:19" x14ac:dyDescent="0.25">
      <c r="A1203" s="13">
        <v>45999.395775462966</v>
      </c>
      <c r="B1203" t="s">
        <v>352</v>
      </c>
      <c r="C1203" t="s">
        <v>363</v>
      </c>
      <c r="D1203" t="s">
        <v>10</v>
      </c>
      <c r="E1203" t="s">
        <v>11</v>
      </c>
      <c r="F1203" t="s">
        <v>14</v>
      </c>
      <c r="G1203">
        <v>0.5</v>
      </c>
      <c r="H1203" s="12">
        <v>0</v>
      </c>
      <c r="I1203" s="12">
        <v>0</v>
      </c>
      <c r="J1203" s="12">
        <v>0</v>
      </c>
      <c r="K1203" s="12">
        <v>0</v>
      </c>
      <c r="L1203" s="12">
        <v>0</v>
      </c>
      <c r="M1203" s="12">
        <v>0</v>
      </c>
      <c r="N1203" s="12">
        <v>0</v>
      </c>
      <c r="O1203" s="12">
        <v>1</v>
      </c>
      <c r="P1203" s="12">
        <v>0</v>
      </c>
      <c r="Q1203" s="12">
        <v>0</v>
      </c>
      <c r="R1203" s="12">
        <v>0</v>
      </c>
    </row>
    <row r="1204" spans="1:19" x14ac:dyDescent="0.25">
      <c r="A1204" s="13">
        <v>45999.427210648151</v>
      </c>
      <c r="B1204" t="s">
        <v>347</v>
      </c>
      <c r="C1204" t="s">
        <v>363</v>
      </c>
      <c r="D1204" t="s">
        <v>20</v>
      </c>
      <c r="E1204" t="s">
        <v>11</v>
      </c>
      <c r="F1204" t="s">
        <v>15</v>
      </c>
      <c r="G1204">
        <v>3</v>
      </c>
      <c r="H1204" s="12">
        <v>0</v>
      </c>
      <c r="I1204" s="12">
        <v>0</v>
      </c>
      <c r="J1204" s="12">
        <v>0</v>
      </c>
      <c r="K1204" s="12">
        <v>0</v>
      </c>
      <c r="L1204" s="12">
        <v>0</v>
      </c>
      <c r="M1204" s="12">
        <v>0</v>
      </c>
      <c r="N1204" s="12">
        <v>0</v>
      </c>
      <c r="O1204" s="12">
        <v>0</v>
      </c>
      <c r="P1204" s="12">
        <v>1</v>
      </c>
      <c r="Q1204" s="12">
        <v>0</v>
      </c>
      <c r="R1204" s="12">
        <v>0</v>
      </c>
      <c r="S1204" t="s">
        <v>304</v>
      </c>
    </row>
    <row r="1205" spans="1:19" x14ac:dyDescent="0.25">
      <c r="A1205" s="13">
        <v>45999.428599537037</v>
      </c>
      <c r="B1205" t="s">
        <v>347</v>
      </c>
      <c r="C1205" t="s">
        <v>363</v>
      </c>
      <c r="D1205" t="s">
        <v>10</v>
      </c>
      <c r="E1205" t="s">
        <v>11</v>
      </c>
      <c r="F1205" t="s">
        <v>12</v>
      </c>
      <c r="G1205">
        <v>10.5</v>
      </c>
      <c r="H1205" s="12">
        <v>1</v>
      </c>
      <c r="I1205" s="12">
        <v>0</v>
      </c>
      <c r="J1205" s="12">
        <v>1</v>
      </c>
      <c r="K1205" s="12">
        <v>1</v>
      </c>
      <c r="L1205" s="12">
        <v>0</v>
      </c>
      <c r="M1205" s="12">
        <v>0</v>
      </c>
      <c r="N1205" s="12">
        <v>0</v>
      </c>
      <c r="O1205" s="12">
        <v>0</v>
      </c>
      <c r="P1205" s="12">
        <v>0</v>
      </c>
      <c r="Q1205" s="12">
        <v>0</v>
      </c>
      <c r="R1205" s="12">
        <v>0</v>
      </c>
      <c r="S1205" t="s">
        <v>305</v>
      </c>
    </row>
    <row r="1206" spans="1:19" x14ac:dyDescent="0.25">
      <c r="A1206" s="13">
        <v>45999.466956018521</v>
      </c>
      <c r="B1206" t="s">
        <v>354</v>
      </c>
      <c r="C1206" t="s">
        <v>363</v>
      </c>
      <c r="D1206" t="s">
        <v>10</v>
      </c>
      <c r="E1206" t="s">
        <v>11</v>
      </c>
      <c r="F1206" t="s">
        <v>12</v>
      </c>
      <c r="G1206">
        <v>10.5</v>
      </c>
      <c r="H1206" s="12">
        <v>1</v>
      </c>
      <c r="I1206" s="12">
        <v>0</v>
      </c>
      <c r="J1206" s="12">
        <v>1</v>
      </c>
      <c r="K1206" s="12">
        <v>0</v>
      </c>
      <c r="L1206" s="12">
        <v>0</v>
      </c>
      <c r="M1206" s="12">
        <v>0</v>
      </c>
      <c r="N1206" s="12">
        <v>0</v>
      </c>
      <c r="O1206" s="12">
        <v>0</v>
      </c>
      <c r="P1206" s="12">
        <v>0</v>
      </c>
      <c r="Q1206" s="12">
        <v>0</v>
      </c>
      <c r="R1206" s="12">
        <v>0</v>
      </c>
    </row>
    <row r="1207" spans="1:19" x14ac:dyDescent="0.25">
      <c r="A1207" s="13">
        <v>45999.472534722219</v>
      </c>
      <c r="B1207" t="s">
        <v>354</v>
      </c>
      <c r="C1207" t="s">
        <v>363</v>
      </c>
      <c r="D1207" t="s">
        <v>20</v>
      </c>
      <c r="E1207" t="s">
        <v>11</v>
      </c>
      <c r="F1207" t="s">
        <v>15</v>
      </c>
      <c r="G1207">
        <v>3</v>
      </c>
      <c r="H1207" s="12">
        <v>1</v>
      </c>
      <c r="I1207" s="12">
        <v>0</v>
      </c>
      <c r="J1207" s="12">
        <v>1</v>
      </c>
      <c r="K1207" s="12">
        <v>0</v>
      </c>
      <c r="L1207" s="12">
        <v>0</v>
      </c>
      <c r="M1207" s="12">
        <v>0</v>
      </c>
      <c r="N1207" s="12">
        <v>0</v>
      </c>
      <c r="O1207" s="12">
        <v>0</v>
      </c>
      <c r="P1207" s="12">
        <v>0</v>
      </c>
      <c r="Q1207" s="12">
        <v>0</v>
      </c>
      <c r="R1207" s="12">
        <v>0</v>
      </c>
    </row>
    <row r="1208" spans="1:19" x14ac:dyDescent="0.25">
      <c r="A1208" s="13">
        <v>45999.519363425927</v>
      </c>
      <c r="B1208" t="s">
        <v>350</v>
      </c>
      <c r="C1208" t="s">
        <v>363</v>
      </c>
      <c r="D1208" t="s">
        <v>10</v>
      </c>
      <c r="E1208" t="s">
        <v>11</v>
      </c>
      <c r="F1208" t="s">
        <v>14</v>
      </c>
      <c r="G1208">
        <v>0.5</v>
      </c>
      <c r="H1208" s="12">
        <v>0</v>
      </c>
      <c r="I1208" s="12">
        <v>0</v>
      </c>
      <c r="J1208" s="12">
        <v>0</v>
      </c>
      <c r="K1208" s="12">
        <v>0</v>
      </c>
      <c r="L1208" s="12">
        <v>0</v>
      </c>
      <c r="M1208" s="12">
        <v>0</v>
      </c>
      <c r="N1208" s="12">
        <v>0</v>
      </c>
      <c r="O1208" s="12">
        <v>0</v>
      </c>
      <c r="P1208" s="12">
        <v>0</v>
      </c>
      <c r="Q1208" s="12">
        <v>1</v>
      </c>
      <c r="R1208" s="12">
        <v>0</v>
      </c>
    </row>
    <row r="1209" spans="1:19" x14ac:dyDescent="0.25">
      <c r="A1209" s="13">
        <v>45999.531759259262</v>
      </c>
      <c r="B1209" t="s">
        <v>350</v>
      </c>
      <c r="C1209" t="s">
        <v>363</v>
      </c>
      <c r="D1209" t="s">
        <v>10</v>
      </c>
      <c r="E1209" t="s">
        <v>11</v>
      </c>
      <c r="F1209" t="s">
        <v>14</v>
      </c>
      <c r="G1209">
        <v>0.5</v>
      </c>
      <c r="H1209" s="12">
        <v>0</v>
      </c>
      <c r="I1209" s="12">
        <v>0</v>
      </c>
      <c r="J1209" s="12">
        <v>0</v>
      </c>
      <c r="K1209" s="12">
        <v>0</v>
      </c>
      <c r="L1209" s="12">
        <v>0</v>
      </c>
      <c r="M1209" s="12">
        <v>0</v>
      </c>
      <c r="N1209" s="12">
        <v>0</v>
      </c>
      <c r="O1209" s="12">
        <v>0</v>
      </c>
      <c r="P1209" s="12">
        <v>0</v>
      </c>
      <c r="Q1209" s="12">
        <v>0</v>
      </c>
      <c r="R1209" s="12">
        <v>1</v>
      </c>
    </row>
    <row r="1210" spans="1:19" x14ac:dyDescent="0.25">
      <c r="A1210" s="13">
        <v>45999.541296296295</v>
      </c>
      <c r="B1210" t="s">
        <v>350</v>
      </c>
      <c r="C1210" t="s">
        <v>363</v>
      </c>
      <c r="D1210" t="s">
        <v>10</v>
      </c>
      <c r="E1210" t="s">
        <v>11</v>
      </c>
      <c r="F1210" t="s">
        <v>15</v>
      </c>
      <c r="G1210">
        <v>3</v>
      </c>
      <c r="H1210" s="12">
        <v>0</v>
      </c>
      <c r="I1210" s="12">
        <v>0</v>
      </c>
      <c r="J1210" s="12">
        <v>0</v>
      </c>
      <c r="K1210" s="12">
        <v>0</v>
      </c>
      <c r="L1210" s="12">
        <v>0</v>
      </c>
      <c r="M1210" s="12">
        <v>0</v>
      </c>
      <c r="N1210" s="12">
        <v>0</v>
      </c>
      <c r="O1210" s="12">
        <v>0</v>
      </c>
      <c r="P1210" s="12">
        <v>0</v>
      </c>
      <c r="Q1210" s="12">
        <v>0</v>
      </c>
      <c r="R1210" s="12">
        <v>1</v>
      </c>
    </row>
    <row r="1211" spans="1:19" x14ac:dyDescent="0.25">
      <c r="A1211" s="13">
        <v>45999.589155092595</v>
      </c>
      <c r="B1211" t="s">
        <v>348</v>
      </c>
      <c r="C1211" t="s">
        <v>363</v>
      </c>
      <c r="D1211" t="s">
        <v>10</v>
      </c>
      <c r="E1211" t="s">
        <v>11</v>
      </c>
      <c r="F1211" t="s">
        <v>14</v>
      </c>
      <c r="G1211">
        <v>0.5</v>
      </c>
      <c r="H1211" s="12">
        <v>0</v>
      </c>
      <c r="I1211" s="12">
        <v>0</v>
      </c>
      <c r="J1211" s="12">
        <v>0</v>
      </c>
      <c r="K1211" s="12">
        <v>0</v>
      </c>
      <c r="L1211" s="12">
        <v>0</v>
      </c>
      <c r="M1211" s="12">
        <v>0</v>
      </c>
      <c r="N1211" s="12">
        <v>0</v>
      </c>
      <c r="O1211" s="12">
        <v>0</v>
      </c>
      <c r="P1211" s="12">
        <v>0</v>
      </c>
      <c r="Q1211" s="12">
        <v>0</v>
      </c>
      <c r="R1211" s="12">
        <v>1</v>
      </c>
      <c r="S1211" t="s">
        <v>306</v>
      </c>
    </row>
    <row r="1212" spans="1:19" x14ac:dyDescent="0.25">
      <c r="A1212" s="13">
        <v>45999.613078703704</v>
      </c>
      <c r="B1212" t="s">
        <v>348</v>
      </c>
      <c r="C1212" t="s">
        <v>363</v>
      </c>
      <c r="D1212" t="s">
        <v>10</v>
      </c>
      <c r="E1212" t="s">
        <v>11</v>
      </c>
      <c r="F1212" t="s">
        <v>14</v>
      </c>
      <c r="G1212">
        <v>0.5</v>
      </c>
      <c r="H1212" s="12">
        <v>0</v>
      </c>
      <c r="I1212" s="12">
        <v>0</v>
      </c>
      <c r="J1212" s="12">
        <v>0</v>
      </c>
      <c r="K1212" s="12">
        <v>0</v>
      </c>
      <c r="L1212" s="12">
        <v>0</v>
      </c>
      <c r="M1212" s="12">
        <v>0</v>
      </c>
      <c r="N1212" s="12">
        <v>0</v>
      </c>
      <c r="O1212" s="12">
        <v>0</v>
      </c>
      <c r="P1212" s="12">
        <v>0</v>
      </c>
      <c r="Q1212" s="12">
        <v>1</v>
      </c>
      <c r="R1212" s="12">
        <v>0</v>
      </c>
    </row>
    <row r="1213" spans="1:19" x14ac:dyDescent="0.25">
      <c r="A1213" s="13">
        <v>45999.613275462965</v>
      </c>
      <c r="B1213" t="s">
        <v>348</v>
      </c>
      <c r="C1213" t="s">
        <v>363</v>
      </c>
      <c r="D1213" t="s">
        <v>10</v>
      </c>
      <c r="E1213" t="s">
        <v>11</v>
      </c>
      <c r="F1213" t="s">
        <v>15</v>
      </c>
      <c r="G1213">
        <v>3</v>
      </c>
      <c r="H1213" s="12">
        <v>1</v>
      </c>
      <c r="I1213" s="12">
        <v>0</v>
      </c>
      <c r="J1213" s="12">
        <v>1</v>
      </c>
      <c r="K1213" s="12">
        <v>1</v>
      </c>
      <c r="L1213" s="12">
        <v>0</v>
      </c>
      <c r="M1213" s="12">
        <v>0</v>
      </c>
      <c r="N1213" s="12">
        <v>0</v>
      </c>
      <c r="O1213" s="12">
        <v>0</v>
      </c>
      <c r="P1213" s="12">
        <v>0</v>
      </c>
      <c r="Q1213" s="12">
        <v>0</v>
      </c>
      <c r="R1213" s="12">
        <v>0</v>
      </c>
      <c r="S1213" t="s">
        <v>307</v>
      </c>
    </row>
    <row r="1214" spans="1:19" x14ac:dyDescent="0.25">
      <c r="A1214" s="13">
        <v>45999.618425925924</v>
      </c>
      <c r="B1214" t="s">
        <v>348</v>
      </c>
      <c r="C1214" t="s">
        <v>363</v>
      </c>
      <c r="D1214" t="s">
        <v>10</v>
      </c>
      <c r="E1214" t="s">
        <v>11</v>
      </c>
      <c r="F1214" t="s">
        <v>14</v>
      </c>
      <c r="G1214">
        <v>0.5</v>
      </c>
      <c r="H1214" s="12">
        <v>0</v>
      </c>
      <c r="I1214" s="12">
        <v>0</v>
      </c>
      <c r="J1214" s="12">
        <v>0</v>
      </c>
      <c r="K1214" s="12">
        <v>0</v>
      </c>
      <c r="L1214" s="12">
        <v>0</v>
      </c>
      <c r="M1214" s="12">
        <v>0</v>
      </c>
      <c r="N1214" s="12">
        <v>0</v>
      </c>
      <c r="O1214" s="12">
        <v>0</v>
      </c>
      <c r="P1214" s="12">
        <v>0</v>
      </c>
      <c r="Q1214" s="12">
        <v>0</v>
      </c>
      <c r="R1214" s="12">
        <v>1</v>
      </c>
      <c r="S1214" t="s">
        <v>308</v>
      </c>
    </row>
    <row r="1215" spans="1:19" x14ac:dyDescent="0.25">
      <c r="A1215" s="13">
        <v>45999.62</v>
      </c>
      <c r="B1215" t="s">
        <v>348</v>
      </c>
      <c r="C1215" t="s">
        <v>363</v>
      </c>
      <c r="D1215" t="s">
        <v>10</v>
      </c>
      <c r="E1215" t="s">
        <v>11</v>
      </c>
      <c r="F1215" t="s">
        <v>15</v>
      </c>
      <c r="G1215">
        <v>3</v>
      </c>
      <c r="H1215" s="12">
        <v>0</v>
      </c>
      <c r="I1215" s="12">
        <v>0</v>
      </c>
      <c r="J1215" s="12">
        <v>0</v>
      </c>
      <c r="K1215" s="12">
        <v>0</v>
      </c>
      <c r="L1215" s="12">
        <v>0</v>
      </c>
      <c r="M1215" s="12">
        <v>0</v>
      </c>
      <c r="N1215" s="12">
        <v>0</v>
      </c>
      <c r="O1215" s="12">
        <v>0</v>
      </c>
      <c r="P1215" s="12">
        <v>1</v>
      </c>
      <c r="Q1215" s="12">
        <v>0</v>
      </c>
      <c r="R1215" s="12">
        <v>0</v>
      </c>
      <c r="S1215" t="s">
        <v>309</v>
      </c>
    </row>
    <row r="1216" spans="1:19" x14ac:dyDescent="0.25">
      <c r="A1216" s="13">
        <v>45999.628865740742</v>
      </c>
      <c r="B1216" t="s">
        <v>349</v>
      </c>
      <c r="C1216" t="s">
        <v>363</v>
      </c>
      <c r="D1216" t="s">
        <v>20</v>
      </c>
      <c r="E1216" t="s">
        <v>11</v>
      </c>
      <c r="F1216" t="s">
        <v>15</v>
      </c>
      <c r="G1216">
        <v>3</v>
      </c>
      <c r="H1216" s="12">
        <v>0</v>
      </c>
      <c r="I1216" s="12">
        <v>0</v>
      </c>
      <c r="J1216" s="12">
        <v>0</v>
      </c>
      <c r="K1216" s="12">
        <v>0</v>
      </c>
      <c r="L1216" s="12">
        <v>0</v>
      </c>
      <c r="M1216" s="12">
        <v>0</v>
      </c>
      <c r="N1216" s="12">
        <v>0</v>
      </c>
      <c r="O1216" s="12">
        <v>0</v>
      </c>
      <c r="P1216" s="12">
        <v>0</v>
      </c>
      <c r="Q1216" s="12">
        <v>0</v>
      </c>
      <c r="R1216" s="12">
        <v>1</v>
      </c>
      <c r="S1216" t="s">
        <v>310</v>
      </c>
    </row>
    <row r="1217" spans="1:19" x14ac:dyDescent="0.25">
      <c r="A1217" s="13">
        <v>45999.634629629632</v>
      </c>
      <c r="B1217" t="s">
        <v>349</v>
      </c>
      <c r="C1217" t="s">
        <v>363</v>
      </c>
      <c r="D1217" t="s">
        <v>10</v>
      </c>
      <c r="E1217" t="s">
        <v>11</v>
      </c>
      <c r="F1217" t="s">
        <v>15</v>
      </c>
      <c r="G1217">
        <v>3</v>
      </c>
      <c r="H1217" s="12">
        <v>1</v>
      </c>
      <c r="I1217" s="12">
        <v>0</v>
      </c>
      <c r="J1217" s="12">
        <v>1</v>
      </c>
      <c r="K1217" s="12">
        <v>0</v>
      </c>
      <c r="L1217" s="12">
        <v>0</v>
      </c>
      <c r="M1217" s="12">
        <v>0</v>
      </c>
      <c r="N1217" s="12">
        <v>0</v>
      </c>
      <c r="O1217" s="12">
        <v>0</v>
      </c>
      <c r="P1217" s="12">
        <v>0</v>
      </c>
      <c r="Q1217" s="12">
        <v>0</v>
      </c>
      <c r="R1217" s="12">
        <v>0</v>
      </c>
    </row>
    <row r="1218" spans="1:19" x14ac:dyDescent="0.25">
      <c r="A1218" s="13">
        <v>45999.698680555557</v>
      </c>
      <c r="B1218" t="s">
        <v>353</v>
      </c>
      <c r="C1218" t="s">
        <v>363</v>
      </c>
      <c r="D1218" t="s">
        <v>10</v>
      </c>
      <c r="E1218" t="s">
        <v>11</v>
      </c>
      <c r="F1218" t="s">
        <v>12</v>
      </c>
      <c r="G1218">
        <v>10.5</v>
      </c>
      <c r="H1218" s="12">
        <v>1</v>
      </c>
      <c r="I1218" s="12">
        <v>0</v>
      </c>
      <c r="J1218" s="12">
        <v>0</v>
      </c>
      <c r="K1218" s="12">
        <v>0</v>
      </c>
      <c r="L1218" s="12">
        <v>0</v>
      </c>
      <c r="M1218" s="12">
        <v>0</v>
      </c>
      <c r="N1218" s="12">
        <v>0</v>
      </c>
      <c r="O1218" s="12">
        <v>0</v>
      </c>
      <c r="P1218" s="12">
        <v>0</v>
      </c>
      <c r="Q1218" s="12">
        <v>0</v>
      </c>
      <c r="R1218" s="12">
        <v>0</v>
      </c>
      <c r="S1218" t="s">
        <v>311</v>
      </c>
    </row>
    <row r="1219" spans="1:19" x14ac:dyDescent="0.25">
      <c r="A1219" s="13">
        <v>45999.703726851854</v>
      </c>
      <c r="B1219" t="s">
        <v>353</v>
      </c>
      <c r="C1219" t="s">
        <v>363</v>
      </c>
      <c r="D1219" t="s">
        <v>10</v>
      </c>
      <c r="E1219" t="s">
        <v>17</v>
      </c>
      <c r="F1219" t="s">
        <v>15</v>
      </c>
      <c r="G1219">
        <v>3</v>
      </c>
      <c r="H1219" s="12">
        <v>0</v>
      </c>
      <c r="I1219" s="12">
        <v>0</v>
      </c>
      <c r="J1219" s="12">
        <v>0</v>
      </c>
      <c r="K1219" s="12">
        <v>0</v>
      </c>
      <c r="L1219" s="12">
        <v>0</v>
      </c>
      <c r="M1219" s="12">
        <v>0</v>
      </c>
      <c r="N1219" s="12">
        <v>0</v>
      </c>
      <c r="O1219" s="12">
        <v>0</v>
      </c>
      <c r="P1219" s="12">
        <v>1</v>
      </c>
      <c r="Q1219" s="12">
        <v>0</v>
      </c>
      <c r="R1219" s="12">
        <v>0</v>
      </c>
      <c r="S1219" t="s">
        <v>312</v>
      </c>
    </row>
    <row r="1220" spans="1:19" x14ac:dyDescent="0.25">
      <c r="A1220" s="13">
        <v>45999.72148148148</v>
      </c>
      <c r="B1220" t="s">
        <v>355</v>
      </c>
      <c r="C1220" t="s">
        <v>363</v>
      </c>
      <c r="D1220" t="s">
        <v>10</v>
      </c>
      <c r="E1220" t="s">
        <v>11</v>
      </c>
      <c r="F1220" t="s">
        <v>18</v>
      </c>
      <c r="G1220">
        <v>20</v>
      </c>
      <c r="H1220" s="12">
        <v>0</v>
      </c>
      <c r="I1220" s="12">
        <v>0</v>
      </c>
      <c r="J1220" s="12">
        <v>0</v>
      </c>
      <c r="K1220" s="12">
        <v>0</v>
      </c>
      <c r="L1220" s="12">
        <v>1</v>
      </c>
      <c r="M1220" s="12">
        <v>0</v>
      </c>
      <c r="N1220" s="12">
        <v>0</v>
      </c>
      <c r="O1220" s="12">
        <v>0</v>
      </c>
      <c r="P1220" s="12">
        <v>0</v>
      </c>
      <c r="Q1220" s="12">
        <v>0</v>
      </c>
      <c r="R1220" s="12">
        <v>0</v>
      </c>
    </row>
    <row r="1221" spans="1:19" x14ac:dyDescent="0.25">
      <c r="A1221" s="13">
        <v>45999.721921296295</v>
      </c>
      <c r="B1221" t="s">
        <v>355</v>
      </c>
      <c r="C1221" t="s">
        <v>363</v>
      </c>
      <c r="D1221" t="s">
        <v>10</v>
      </c>
      <c r="E1221" t="s">
        <v>11</v>
      </c>
      <c r="F1221" t="s">
        <v>15</v>
      </c>
      <c r="G1221">
        <v>3</v>
      </c>
      <c r="H1221" s="12">
        <v>0</v>
      </c>
      <c r="I1221" s="12">
        <v>0</v>
      </c>
      <c r="J1221" s="12">
        <v>0</v>
      </c>
      <c r="K1221" s="12">
        <v>0</v>
      </c>
      <c r="L1221" s="12">
        <v>0</v>
      </c>
      <c r="M1221" s="12">
        <v>0</v>
      </c>
      <c r="N1221" s="12">
        <v>0</v>
      </c>
      <c r="O1221" s="12">
        <v>0</v>
      </c>
      <c r="P1221" s="12">
        <v>0</v>
      </c>
      <c r="Q1221" s="12">
        <v>0</v>
      </c>
      <c r="R1221" s="12">
        <v>1</v>
      </c>
      <c r="S1221" t="s">
        <v>313</v>
      </c>
    </row>
    <row r="1222" spans="1:19" x14ac:dyDescent="0.25">
      <c r="A1222" s="13">
        <v>46000.503217592595</v>
      </c>
      <c r="B1222" t="s">
        <v>350</v>
      </c>
      <c r="C1222" t="s">
        <v>358</v>
      </c>
      <c r="D1222" t="s">
        <v>10</v>
      </c>
      <c r="E1222" t="s">
        <v>11</v>
      </c>
      <c r="F1222" t="s">
        <v>12</v>
      </c>
      <c r="G1222">
        <v>10.5</v>
      </c>
      <c r="H1222" s="12">
        <v>0</v>
      </c>
      <c r="I1222" s="12">
        <v>0</v>
      </c>
      <c r="J1222" s="12">
        <v>0</v>
      </c>
      <c r="K1222" s="12">
        <v>0</v>
      </c>
      <c r="L1222" s="12">
        <v>1</v>
      </c>
      <c r="M1222" s="12">
        <v>0</v>
      </c>
      <c r="N1222" s="12">
        <v>0</v>
      </c>
      <c r="O1222" s="12">
        <v>0</v>
      </c>
      <c r="P1222" s="12">
        <v>0</v>
      </c>
      <c r="Q1222" s="12">
        <v>0</v>
      </c>
      <c r="R1222" s="12">
        <v>0</v>
      </c>
    </row>
    <row r="1223" spans="1:19" x14ac:dyDescent="0.25">
      <c r="A1223" s="13">
        <v>46000.506724537037</v>
      </c>
      <c r="B1223" t="s">
        <v>350</v>
      </c>
      <c r="C1223" t="s">
        <v>358</v>
      </c>
      <c r="D1223" t="s">
        <v>10</v>
      </c>
      <c r="E1223" t="s">
        <v>11</v>
      </c>
      <c r="F1223" t="s">
        <v>15</v>
      </c>
      <c r="G1223">
        <v>3</v>
      </c>
      <c r="H1223" s="12">
        <v>0</v>
      </c>
      <c r="I1223" s="12">
        <v>0</v>
      </c>
      <c r="J1223" s="12">
        <v>0</v>
      </c>
      <c r="K1223" s="12">
        <v>0</v>
      </c>
      <c r="L1223" s="12">
        <v>0</v>
      </c>
      <c r="M1223" s="12">
        <v>0</v>
      </c>
      <c r="N1223" s="12">
        <v>0</v>
      </c>
      <c r="O1223" s="12">
        <v>0</v>
      </c>
      <c r="P1223" s="12">
        <v>1</v>
      </c>
      <c r="Q1223" s="12">
        <v>0</v>
      </c>
      <c r="R1223" s="12">
        <v>0</v>
      </c>
      <c r="S1223" t="s">
        <v>314</v>
      </c>
    </row>
    <row r="1224" spans="1:19" x14ac:dyDescent="0.25">
      <c r="A1224" s="13">
        <v>46000.528437499997</v>
      </c>
      <c r="B1224" t="s">
        <v>350</v>
      </c>
      <c r="C1224" t="s">
        <v>358</v>
      </c>
      <c r="D1224" t="s">
        <v>10</v>
      </c>
      <c r="E1224" t="s">
        <v>11</v>
      </c>
      <c r="F1224" t="s">
        <v>12</v>
      </c>
      <c r="G1224">
        <v>10.5</v>
      </c>
      <c r="H1224" s="12">
        <v>0</v>
      </c>
      <c r="I1224" s="12">
        <v>0</v>
      </c>
      <c r="J1224" s="12">
        <v>0</v>
      </c>
      <c r="K1224" s="12">
        <v>0</v>
      </c>
      <c r="L1224" s="12">
        <v>1</v>
      </c>
      <c r="M1224" s="12">
        <v>0</v>
      </c>
      <c r="N1224" s="12">
        <v>0</v>
      </c>
      <c r="O1224" s="12">
        <v>0</v>
      </c>
      <c r="P1224" s="12">
        <v>0</v>
      </c>
      <c r="Q1224" s="12">
        <v>0</v>
      </c>
      <c r="R1224" s="12">
        <v>0</v>
      </c>
    </row>
    <row r="1225" spans="1:19" x14ac:dyDescent="0.25">
      <c r="A1225" s="13">
        <v>46000.739201388889</v>
      </c>
      <c r="B1225" t="s">
        <v>355</v>
      </c>
      <c r="C1225" t="s">
        <v>358</v>
      </c>
      <c r="D1225" t="s">
        <v>10</v>
      </c>
      <c r="E1225" t="s">
        <v>11</v>
      </c>
      <c r="F1225" t="s">
        <v>14</v>
      </c>
      <c r="G1225">
        <v>0.5</v>
      </c>
      <c r="H1225" s="12">
        <v>1</v>
      </c>
      <c r="I1225" s="12">
        <v>0</v>
      </c>
      <c r="J1225" s="12">
        <v>1</v>
      </c>
      <c r="K1225" s="12">
        <v>0</v>
      </c>
      <c r="L1225" s="12">
        <v>0</v>
      </c>
      <c r="M1225" s="12">
        <v>0</v>
      </c>
      <c r="N1225" s="12">
        <v>0</v>
      </c>
      <c r="O1225" s="12">
        <v>0</v>
      </c>
      <c r="P1225" s="12">
        <v>0</v>
      </c>
      <c r="Q1225" s="12">
        <v>0</v>
      </c>
      <c r="R1225" s="12">
        <v>0</v>
      </c>
    </row>
    <row r="1226" spans="1:19" x14ac:dyDescent="0.25">
      <c r="A1226" s="13">
        <v>46000.739351851851</v>
      </c>
      <c r="B1226" t="s">
        <v>355</v>
      </c>
      <c r="C1226" t="s">
        <v>358</v>
      </c>
      <c r="D1226" t="s">
        <v>10</v>
      </c>
      <c r="E1226" t="s">
        <v>11</v>
      </c>
      <c r="F1226" t="s">
        <v>14</v>
      </c>
      <c r="G1226">
        <v>0.5</v>
      </c>
      <c r="H1226" s="12">
        <v>0</v>
      </c>
      <c r="I1226" s="12">
        <v>0</v>
      </c>
      <c r="J1226" s="12">
        <v>0</v>
      </c>
      <c r="K1226" s="12">
        <v>0</v>
      </c>
      <c r="L1226" s="12">
        <v>0</v>
      </c>
      <c r="M1226" s="12">
        <v>0</v>
      </c>
      <c r="N1226" s="12">
        <v>0</v>
      </c>
      <c r="O1226" s="12">
        <v>0</v>
      </c>
      <c r="P1226" s="12">
        <v>1</v>
      </c>
      <c r="Q1226" s="12">
        <v>0</v>
      </c>
      <c r="R1226" s="12">
        <v>0</v>
      </c>
    </row>
    <row r="1227" spans="1:19" x14ac:dyDescent="0.25">
      <c r="A1227" s="13">
        <v>46000.73978009259</v>
      </c>
      <c r="B1227" t="s">
        <v>355</v>
      </c>
      <c r="C1227" t="s">
        <v>358</v>
      </c>
      <c r="D1227" t="s">
        <v>10</v>
      </c>
      <c r="E1227" t="s">
        <v>11</v>
      </c>
      <c r="F1227" t="s">
        <v>14</v>
      </c>
      <c r="G1227">
        <v>0.5</v>
      </c>
      <c r="H1227" s="12">
        <v>0</v>
      </c>
      <c r="I1227" s="12">
        <v>0</v>
      </c>
      <c r="J1227" s="12">
        <v>0</v>
      </c>
      <c r="K1227" s="12">
        <v>0</v>
      </c>
      <c r="L1227" s="12">
        <v>0</v>
      </c>
      <c r="M1227" s="12">
        <v>0</v>
      </c>
      <c r="N1227" s="12">
        <v>0</v>
      </c>
      <c r="O1227" s="12">
        <v>0</v>
      </c>
      <c r="P1227" s="12">
        <v>0</v>
      </c>
      <c r="Q1227" s="12">
        <v>1</v>
      </c>
      <c r="R1227" s="12">
        <v>0</v>
      </c>
    </row>
    <row r="1228" spans="1:19" x14ac:dyDescent="0.25">
      <c r="A1228" s="13">
        <v>46001.497453703705</v>
      </c>
      <c r="B1228" t="s">
        <v>354</v>
      </c>
      <c r="C1228" t="s">
        <v>359</v>
      </c>
      <c r="D1228" t="s">
        <v>10</v>
      </c>
      <c r="E1228" t="s">
        <v>11</v>
      </c>
      <c r="F1228" t="s">
        <v>12</v>
      </c>
      <c r="G1228">
        <v>10.5</v>
      </c>
      <c r="H1228" s="12">
        <v>0</v>
      </c>
      <c r="I1228" s="12">
        <v>0</v>
      </c>
      <c r="J1228" s="12">
        <v>1</v>
      </c>
      <c r="K1228" s="12">
        <v>0</v>
      </c>
      <c r="L1228" s="12">
        <v>0</v>
      </c>
      <c r="M1228" s="12">
        <v>1</v>
      </c>
      <c r="N1228" s="12">
        <v>0</v>
      </c>
      <c r="O1228" s="12">
        <v>0</v>
      </c>
      <c r="P1228" s="12">
        <v>0</v>
      </c>
      <c r="Q1228" s="12">
        <v>0</v>
      </c>
      <c r="R1228" s="12">
        <v>0</v>
      </c>
    </row>
    <row r="1229" spans="1:19" x14ac:dyDescent="0.25">
      <c r="A1229" s="13">
        <v>46001.497569444444</v>
      </c>
      <c r="B1229" t="s">
        <v>354</v>
      </c>
      <c r="C1229" t="s">
        <v>359</v>
      </c>
      <c r="D1229" t="s">
        <v>10</v>
      </c>
      <c r="E1229" t="s">
        <v>11</v>
      </c>
      <c r="F1229" t="s">
        <v>12</v>
      </c>
      <c r="G1229">
        <v>10.5</v>
      </c>
      <c r="H1229" s="12">
        <v>0</v>
      </c>
      <c r="I1229" s="12">
        <v>0</v>
      </c>
      <c r="J1229" s="12">
        <v>1</v>
      </c>
      <c r="K1229" s="12">
        <v>0</v>
      </c>
      <c r="L1229" s="12">
        <v>1</v>
      </c>
      <c r="M1229" s="12">
        <v>0</v>
      </c>
      <c r="N1229" s="12">
        <v>0</v>
      </c>
      <c r="O1229" s="12">
        <v>0</v>
      </c>
      <c r="P1229" s="12">
        <v>1</v>
      </c>
      <c r="Q1229" s="12">
        <v>0</v>
      </c>
      <c r="R1229" s="12">
        <v>0</v>
      </c>
    </row>
    <row r="1230" spans="1:19" x14ac:dyDescent="0.25">
      <c r="A1230" s="13">
        <v>46001.510497685187</v>
      </c>
      <c r="B1230" t="s">
        <v>350</v>
      </c>
      <c r="C1230" t="s">
        <v>359</v>
      </c>
      <c r="D1230" t="s">
        <v>10</v>
      </c>
      <c r="E1230" t="s">
        <v>17</v>
      </c>
      <c r="F1230" t="s">
        <v>12</v>
      </c>
      <c r="G1230">
        <v>10.5</v>
      </c>
      <c r="H1230" s="12">
        <v>0</v>
      </c>
      <c r="I1230" s="12">
        <v>0</v>
      </c>
      <c r="J1230" s="12">
        <v>1</v>
      </c>
      <c r="K1230" s="12">
        <v>0</v>
      </c>
      <c r="L1230" s="12">
        <v>1</v>
      </c>
      <c r="M1230" s="12">
        <v>0</v>
      </c>
      <c r="N1230" s="12">
        <v>0</v>
      </c>
      <c r="O1230" s="12">
        <v>0</v>
      </c>
      <c r="P1230" s="12">
        <v>0</v>
      </c>
      <c r="Q1230" s="12">
        <v>0</v>
      </c>
      <c r="R1230" s="12">
        <v>0</v>
      </c>
    </row>
    <row r="1231" spans="1:19" x14ac:dyDescent="0.25">
      <c r="A1231" s="13">
        <v>46001.5233912037</v>
      </c>
      <c r="B1231" t="s">
        <v>350</v>
      </c>
      <c r="C1231" t="s">
        <v>359</v>
      </c>
      <c r="D1231" t="s">
        <v>20</v>
      </c>
      <c r="E1231" t="s">
        <v>11</v>
      </c>
      <c r="F1231" t="s">
        <v>14</v>
      </c>
      <c r="G1231">
        <v>0.5</v>
      </c>
      <c r="H1231" s="12">
        <v>0</v>
      </c>
      <c r="I1231" s="12">
        <v>0</v>
      </c>
      <c r="J1231" s="12">
        <v>0</v>
      </c>
      <c r="K1231" s="12">
        <v>0</v>
      </c>
      <c r="L1231" s="12">
        <v>0</v>
      </c>
      <c r="M1231" s="12">
        <v>0</v>
      </c>
      <c r="N1231" s="12">
        <v>0</v>
      </c>
      <c r="O1231" s="12">
        <v>0</v>
      </c>
      <c r="P1231" s="12">
        <v>0</v>
      </c>
      <c r="Q1231" s="12">
        <v>0</v>
      </c>
      <c r="R1231" s="12">
        <v>1</v>
      </c>
      <c r="S1231" t="s">
        <v>291</v>
      </c>
    </row>
    <row r="1232" spans="1:19" x14ac:dyDescent="0.25">
      <c r="A1232" s="13">
        <v>46001.596655092595</v>
      </c>
      <c r="B1232" t="s">
        <v>348</v>
      </c>
      <c r="C1232" t="s">
        <v>359</v>
      </c>
      <c r="D1232" t="s">
        <v>10</v>
      </c>
      <c r="E1232" t="s">
        <v>11</v>
      </c>
      <c r="F1232" t="s">
        <v>18</v>
      </c>
      <c r="G1232">
        <v>20</v>
      </c>
      <c r="H1232" s="12">
        <v>0</v>
      </c>
      <c r="I1232" s="12">
        <v>1</v>
      </c>
      <c r="J1232" s="12">
        <v>1</v>
      </c>
      <c r="K1232" s="12">
        <v>0</v>
      </c>
      <c r="L1232" s="12">
        <v>1</v>
      </c>
      <c r="M1232" s="12">
        <v>1</v>
      </c>
      <c r="N1232" s="12">
        <v>0</v>
      </c>
      <c r="O1232" s="12">
        <v>0</v>
      </c>
      <c r="P1232" s="12">
        <v>1</v>
      </c>
      <c r="Q1232" s="12">
        <v>0</v>
      </c>
      <c r="R1232" s="12">
        <v>0</v>
      </c>
    </row>
    <row r="1233" spans="1:19" x14ac:dyDescent="0.25">
      <c r="A1233" s="13">
        <v>46001.614282407405</v>
      </c>
      <c r="B1233" t="s">
        <v>348</v>
      </c>
      <c r="C1233" t="s">
        <v>359</v>
      </c>
      <c r="D1233" t="s">
        <v>10</v>
      </c>
      <c r="E1233" t="s">
        <v>11</v>
      </c>
      <c r="F1233" t="s">
        <v>14</v>
      </c>
      <c r="G1233">
        <v>0.5</v>
      </c>
      <c r="H1233" s="12">
        <v>0</v>
      </c>
      <c r="I1233" s="12">
        <v>0</v>
      </c>
      <c r="J1233" s="12">
        <v>0</v>
      </c>
      <c r="K1233" s="12">
        <v>0</v>
      </c>
      <c r="L1233" s="12">
        <v>0</v>
      </c>
      <c r="M1233" s="12">
        <v>0</v>
      </c>
      <c r="N1233" s="12">
        <v>0</v>
      </c>
      <c r="O1233" s="12">
        <v>0</v>
      </c>
      <c r="P1233" s="12">
        <v>0</v>
      </c>
      <c r="Q1233" s="12">
        <v>1</v>
      </c>
      <c r="R1233" s="12">
        <v>0</v>
      </c>
    </row>
    <row r="1234" spans="1:19" x14ac:dyDescent="0.25">
      <c r="A1234" s="13">
        <v>46001.623472222222</v>
      </c>
      <c r="B1234" t="s">
        <v>348</v>
      </c>
      <c r="C1234" t="s">
        <v>359</v>
      </c>
      <c r="D1234" t="s">
        <v>10</v>
      </c>
      <c r="E1234" t="s">
        <v>11</v>
      </c>
      <c r="F1234" t="s">
        <v>14</v>
      </c>
      <c r="G1234">
        <v>0.5</v>
      </c>
      <c r="H1234" s="12">
        <v>0</v>
      </c>
      <c r="I1234" s="12">
        <v>0</v>
      </c>
      <c r="J1234" s="12">
        <v>0</v>
      </c>
      <c r="K1234" s="12">
        <v>0</v>
      </c>
      <c r="L1234" s="12">
        <v>0</v>
      </c>
      <c r="M1234" s="12">
        <v>0</v>
      </c>
      <c r="N1234" s="12">
        <v>0</v>
      </c>
      <c r="O1234" s="12">
        <v>0</v>
      </c>
      <c r="P1234" s="12">
        <v>1</v>
      </c>
      <c r="Q1234" s="12">
        <v>0</v>
      </c>
      <c r="R1234" s="12">
        <v>0</v>
      </c>
    </row>
    <row r="1235" spans="1:19" x14ac:dyDescent="0.25">
      <c r="A1235" s="13">
        <v>46001.746168981481</v>
      </c>
      <c r="B1235" t="s">
        <v>355</v>
      </c>
      <c r="C1235" t="s">
        <v>359</v>
      </c>
      <c r="D1235" t="s">
        <v>10</v>
      </c>
      <c r="E1235" t="s">
        <v>11</v>
      </c>
      <c r="F1235" t="s">
        <v>15</v>
      </c>
      <c r="G1235">
        <v>3</v>
      </c>
      <c r="H1235" s="12">
        <v>1</v>
      </c>
      <c r="I1235" s="12">
        <v>0</v>
      </c>
      <c r="J1235" s="12">
        <v>0</v>
      </c>
      <c r="K1235" s="12">
        <v>0</v>
      </c>
      <c r="L1235" s="12">
        <v>0</v>
      </c>
      <c r="M1235" s="12">
        <v>0</v>
      </c>
      <c r="N1235" s="12">
        <v>0</v>
      </c>
      <c r="O1235" s="12">
        <v>0</v>
      </c>
      <c r="P1235" s="12">
        <v>0</v>
      </c>
      <c r="Q1235" s="12">
        <v>0</v>
      </c>
      <c r="R1235" s="12">
        <v>0</v>
      </c>
    </row>
    <row r="1236" spans="1:19" x14ac:dyDescent="0.25">
      <c r="A1236" s="13">
        <v>46001.746307870373</v>
      </c>
      <c r="B1236" t="s">
        <v>355</v>
      </c>
      <c r="C1236" t="s">
        <v>359</v>
      </c>
      <c r="D1236" t="s">
        <v>10</v>
      </c>
      <c r="E1236" t="s">
        <v>17</v>
      </c>
      <c r="F1236" t="s">
        <v>15</v>
      </c>
      <c r="G1236">
        <v>3</v>
      </c>
      <c r="H1236" s="12">
        <v>0</v>
      </c>
      <c r="I1236" s="12">
        <v>0</v>
      </c>
      <c r="J1236" s="12">
        <v>0</v>
      </c>
      <c r="K1236" s="12">
        <v>0</v>
      </c>
      <c r="L1236" s="12">
        <v>0</v>
      </c>
      <c r="M1236" s="12">
        <v>0</v>
      </c>
      <c r="N1236" s="12">
        <v>0</v>
      </c>
      <c r="O1236" s="12">
        <v>1</v>
      </c>
      <c r="P1236" s="12">
        <v>0</v>
      </c>
      <c r="Q1236" s="12">
        <v>0</v>
      </c>
      <c r="R1236" s="12">
        <v>0</v>
      </c>
    </row>
    <row r="1237" spans="1:19" x14ac:dyDescent="0.25">
      <c r="A1237" s="13">
        <v>46001.746365740742</v>
      </c>
      <c r="B1237" t="s">
        <v>355</v>
      </c>
      <c r="C1237" t="s">
        <v>359</v>
      </c>
      <c r="D1237" t="s">
        <v>10</v>
      </c>
      <c r="E1237" t="s">
        <v>11</v>
      </c>
      <c r="F1237" t="s">
        <v>15</v>
      </c>
      <c r="G1237">
        <v>3</v>
      </c>
      <c r="H1237" s="12">
        <v>0</v>
      </c>
      <c r="I1237" s="12">
        <v>0</v>
      </c>
      <c r="J1237" s="12">
        <v>0</v>
      </c>
      <c r="K1237" s="12">
        <v>0</v>
      </c>
      <c r="L1237" s="12">
        <v>0</v>
      </c>
      <c r="M1237" s="12">
        <v>0</v>
      </c>
      <c r="N1237" s="12">
        <v>0</v>
      </c>
      <c r="O1237" s="12">
        <v>1</v>
      </c>
      <c r="P1237" s="12">
        <v>0</v>
      </c>
      <c r="Q1237" s="12">
        <v>0</v>
      </c>
      <c r="R1237" s="12">
        <v>0</v>
      </c>
    </row>
    <row r="1238" spans="1:19" x14ac:dyDescent="0.25">
      <c r="A1238" s="13">
        <v>46001.746481481481</v>
      </c>
      <c r="B1238" t="s">
        <v>355</v>
      </c>
      <c r="C1238" t="s">
        <v>359</v>
      </c>
      <c r="D1238" t="s">
        <v>10</v>
      </c>
      <c r="E1238" t="s">
        <v>11</v>
      </c>
      <c r="F1238" t="s">
        <v>14</v>
      </c>
      <c r="G1238">
        <v>0.5</v>
      </c>
      <c r="H1238" s="12">
        <v>0</v>
      </c>
      <c r="I1238" s="12">
        <v>0</v>
      </c>
      <c r="J1238" s="12">
        <v>0</v>
      </c>
      <c r="K1238" s="12">
        <v>0</v>
      </c>
      <c r="L1238" s="12">
        <v>0</v>
      </c>
      <c r="M1238" s="12">
        <v>0</v>
      </c>
      <c r="N1238" s="12">
        <v>0</v>
      </c>
      <c r="O1238" s="12">
        <v>1</v>
      </c>
      <c r="P1238" s="12">
        <v>0</v>
      </c>
      <c r="Q1238" s="12">
        <v>0</v>
      </c>
      <c r="R1238" s="12">
        <v>0</v>
      </c>
      <c r="S1238" t="s">
        <v>49</v>
      </c>
    </row>
    <row r="1239" spans="1:19" x14ac:dyDescent="0.25">
      <c r="A1239" s="13">
        <v>46002.422233796293</v>
      </c>
      <c r="B1239" t="s">
        <v>347</v>
      </c>
      <c r="C1239" t="s">
        <v>360</v>
      </c>
      <c r="D1239" t="s">
        <v>10</v>
      </c>
      <c r="E1239" t="s">
        <v>11</v>
      </c>
      <c r="F1239" t="s">
        <v>12</v>
      </c>
      <c r="G1239">
        <v>10.5</v>
      </c>
      <c r="H1239" s="12">
        <v>0</v>
      </c>
      <c r="I1239" s="12">
        <v>0</v>
      </c>
      <c r="J1239" s="12">
        <v>0</v>
      </c>
      <c r="K1239" s="12">
        <v>0</v>
      </c>
      <c r="L1239" s="12">
        <v>1</v>
      </c>
      <c r="M1239" s="12">
        <v>0</v>
      </c>
      <c r="N1239" s="12">
        <v>0</v>
      </c>
      <c r="O1239" s="12">
        <v>0</v>
      </c>
      <c r="P1239" s="12">
        <v>0</v>
      </c>
      <c r="Q1239" s="12">
        <v>0</v>
      </c>
      <c r="R1239" s="12">
        <v>0</v>
      </c>
    </row>
    <row r="1240" spans="1:19" x14ac:dyDescent="0.25">
      <c r="A1240" s="13">
        <v>46002.500949074078</v>
      </c>
      <c r="B1240" t="s">
        <v>350</v>
      </c>
      <c r="C1240" t="s">
        <v>360</v>
      </c>
      <c r="D1240" t="s">
        <v>10</v>
      </c>
      <c r="E1240" t="s">
        <v>11</v>
      </c>
      <c r="F1240" t="s">
        <v>18</v>
      </c>
      <c r="G1240">
        <v>20</v>
      </c>
      <c r="H1240" s="12">
        <v>1</v>
      </c>
      <c r="I1240" s="12">
        <v>0</v>
      </c>
      <c r="J1240" s="12">
        <v>0</v>
      </c>
      <c r="K1240" s="12">
        <v>1</v>
      </c>
      <c r="L1240" s="12">
        <v>0</v>
      </c>
      <c r="M1240" s="12">
        <v>0</v>
      </c>
      <c r="N1240" s="12">
        <v>0</v>
      </c>
      <c r="O1240" s="12">
        <v>0</v>
      </c>
      <c r="P1240" s="12">
        <v>0</v>
      </c>
      <c r="Q1240" s="12">
        <v>0</v>
      </c>
      <c r="R1240" s="12">
        <v>0</v>
      </c>
      <c r="S1240" t="s">
        <v>315</v>
      </c>
    </row>
    <row r="1241" spans="1:19" x14ac:dyDescent="0.25">
      <c r="A1241" s="13">
        <v>46002.521956018521</v>
      </c>
      <c r="B1241" t="s">
        <v>350</v>
      </c>
      <c r="C1241" t="s">
        <v>360</v>
      </c>
      <c r="D1241" t="s">
        <v>10</v>
      </c>
      <c r="E1241" t="s">
        <v>11</v>
      </c>
      <c r="F1241" t="s">
        <v>12</v>
      </c>
      <c r="G1241">
        <v>10.5</v>
      </c>
      <c r="H1241" s="12">
        <v>0</v>
      </c>
      <c r="I1241" s="12">
        <v>0</v>
      </c>
      <c r="J1241" s="12">
        <v>0</v>
      </c>
      <c r="K1241" s="12">
        <v>0</v>
      </c>
      <c r="L1241" s="12">
        <v>0</v>
      </c>
      <c r="M1241" s="12">
        <v>0</v>
      </c>
      <c r="N1241" s="12">
        <v>0</v>
      </c>
      <c r="O1241" s="12">
        <v>0</v>
      </c>
      <c r="P1241" s="12">
        <v>1</v>
      </c>
      <c r="Q1241" s="12">
        <v>0</v>
      </c>
      <c r="R1241" s="12">
        <v>0</v>
      </c>
    </row>
    <row r="1242" spans="1:19" x14ac:dyDescent="0.25">
      <c r="A1242" s="13">
        <v>46002.531550925924</v>
      </c>
      <c r="B1242" t="s">
        <v>350</v>
      </c>
      <c r="C1242" t="s">
        <v>360</v>
      </c>
      <c r="D1242" t="s">
        <v>10</v>
      </c>
      <c r="E1242" t="s">
        <v>11</v>
      </c>
      <c r="F1242" t="s">
        <v>15</v>
      </c>
      <c r="G1242">
        <v>3</v>
      </c>
      <c r="H1242" s="12">
        <v>0</v>
      </c>
      <c r="I1242" s="12">
        <v>0</v>
      </c>
      <c r="J1242" s="12">
        <v>0</v>
      </c>
      <c r="K1242" s="12">
        <v>0</v>
      </c>
      <c r="L1242" s="12">
        <v>0</v>
      </c>
      <c r="M1242" s="12">
        <v>0</v>
      </c>
      <c r="N1242" s="12">
        <v>0</v>
      </c>
      <c r="O1242" s="12">
        <v>0</v>
      </c>
      <c r="P1242" s="12">
        <v>1</v>
      </c>
      <c r="Q1242" s="12">
        <v>0</v>
      </c>
      <c r="R1242" s="12">
        <v>0</v>
      </c>
    </row>
    <row r="1243" spans="1:19" x14ac:dyDescent="0.25">
      <c r="A1243" s="13">
        <v>46002.538310185184</v>
      </c>
      <c r="B1243" t="s">
        <v>350</v>
      </c>
      <c r="C1243" t="s">
        <v>360</v>
      </c>
      <c r="D1243" t="s">
        <v>10</v>
      </c>
      <c r="E1243" t="s">
        <v>11</v>
      </c>
      <c r="F1243" t="s">
        <v>15</v>
      </c>
      <c r="G1243">
        <v>3</v>
      </c>
      <c r="H1243" s="12">
        <v>1</v>
      </c>
      <c r="I1243" s="12">
        <v>0</v>
      </c>
      <c r="J1243" s="12">
        <v>0</v>
      </c>
      <c r="K1243" s="12">
        <v>0</v>
      </c>
      <c r="L1243" s="12">
        <v>0</v>
      </c>
      <c r="M1243" s="12">
        <v>0</v>
      </c>
      <c r="N1243" s="12">
        <v>0</v>
      </c>
      <c r="O1243" s="12">
        <v>0</v>
      </c>
      <c r="P1243" s="12">
        <v>0</v>
      </c>
      <c r="Q1243" s="12">
        <v>0</v>
      </c>
      <c r="R1243" s="12">
        <v>0</v>
      </c>
    </row>
    <row r="1244" spans="1:19" x14ac:dyDescent="0.25">
      <c r="A1244" s="13">
        <v>46002.632268518515</v>
      </c>
      <c r="B1244" t="s">
        <v>349</v>
      </c>
      <c r="C1244" t="s">
        <v>360</v>
      </c>
      <c r="D1244" t="s">
        <v>10</v>
      </c>
      <c r="E1244" t="s">
        <v>11</v>
      </c>
      <c r="F1244" t="s">
        <v>14</v>
      </c>
      <c r="G1244">
        <v>0.5</v>
      </c>
      <c r="H1244" s="12">
        <v>0</v>
      </c>
      <c r="I1244" s="12">
        <v>0</v>
      </c>
      <c r="J1244" s="12">
        <v>0</v>
      </c>
      <c r="K1244" s="12">
        <v>0</v>
      </c>
      <c r="L1244" s="12">
        <v>0</v>
      </c>
      <c r="M1244" s="12">
        <v>0</v>
      </c>
      <c r="N1244" s="12">
        <v>0</v>
      </c>
      <c r="O1244" s="12">
        <v>0</v>
      </c>
      <c r="P1244" s="12">
        <v>0</v>
      </c>
      <c r="Q1244" s="12">
        <v>1</v>
      </c>
      <c r="R1244" s="12">
        <v>0</v>
      </c>
    </row>
    <row r="1245" spans="1:19" x14ac:dyDescent="0.25">
      <c r="A1245" s="13">
        <v>46002.632303240738</v>
      </c>
      <c r="B1245" t="s">
        <v>349</v>
      </c>
      <c r="C1245" t="s">
        <v>360</v>
      </c>
      <c r="D1245" t="s">
        <v>10</v>
      </c>
      <c r="E1245" t="s">
        <v>11</v>
      </c>
      <c r="F1245" t="s">
        <v>14</v>
      </c>
      <c r="G1245">
        <v>0.5</v>
      </c>
      <c r="H1245" s="12">
        <v>0</v>
      </c>
      <c r="I1245" s="12">
        <v>0</v>
      </c>
      <c r="J1245" s="12">
        <v>0</v>
      </c>
      <c r="K1245" s="12">
        <v>0</v>
      </c>
      <c r="L1245" s="12">
        <v>0</v>
      </c>
      <c r="M1245" s="12">
        <v>0</v>
      </c>
      <c r="N1245" s="12">
        <v>0</v>
      </c>
      <c r="O1245" s="12">
        <v>0</v>
      </c>
      <c r="P1245" s="12">
        <v>0</v>
      </c>
      <c r="Q1245" s="12">
        <v>1</v>
      </c>
      <c r="R1245" s="12">
        <v>0</v>
      </c>
    </row>
    <row r="1246" spans="1:19" x14ac:dyDescent="0.25">
      <c r="A1246" s="13">
        <v>46002.632534722223</v>
      </c>
      <c r="B1246" t="s">
        <v>349</v>
      </c>
      <c r="C1246" t="s">
        <v>360</v>
      </c>
      <c r="D1246" t="s">
        <v>10</v>
      </c>
      <c r="E1246" t="s">
        <v>11</v>
      </c>
      <c r="F1246" t="s">
        <v>12</v>
      </c>
      <c r="G1246">
        <v>10.5</v>
      </c>
      <c r="H1246" s="12">
        <v>1</v>
      </c>
      <c r="I1246" s="12">
        <v>0</v>
      </c>
      <c r="J1246" s="12">
        <v>0</v>
      </c>
      <c r="K1246" s="12">
        <v>0</v>
      </c>
      <c r="L1246" s="12">
        <v>0</v>
      </c>
      <c r="M1246" s="12">
        <v>0</v>
      </c>
      <c r="N1246" s="12">
        <v>0</v>
      </c>
      <c r="O1246" s="12">
        <v>0</v>
      </c>
      <c r="P1246" s="12">
        <v>0</v>
      </c>
      <c r="Q1246" s="12">
        <v>0</v>
      </c>
      <c r="R1246" s="12">
        <v>0</v>
      </c>
      <c r="S1246" t="s">
        <v>316</v>
      </c>
    </row>
    <row r="1247" spans="1:19" x14ac:dyDescent="0.25">
      <c r="A1247" s="13">
        <v>46002.644305555557</v>
      </c>
      <c r="B1247" t="s">
        <v>349</v>
      </c>
      <c r="C1247" t="s">
        <v>360</v>
      </c>
      <c r="D1247" t="s">
        <v>10</v>
      </c>
      <c r="E1247" t="s">
        <v>11</v>
      </c>
      <c r="F1247" t="s">
        <v>12</v>
      </c>
      <c r="G1247">
        <v>10.5</v>
      </c>
      <c r="H1247" s="12">
        <v>1</v>
      </c>
      <c r="I1247" s="12">
        <v>0</v>
      </c>
      <c r="J1247" s="12">
        <v>1</v>
      </c>
      <c r="K1247" s="12">
        <v>0</v>
      </c>
      <c r="L1247" s="12">
        <v>1</v>
      </c>
      <c r="M1247" s="12">
        <v>0</v>
      </c>
      <c r="N1247" s="12">
        <v>0</v>
      </c>
      <c r="O1247" s="12">
        <v>0</v>
      </c>
      <c r="P1247" s="12">
        <v>0</v>
      </c>
      <c r="Q1247" s="12">
        <v>0</v>
      </c>
      <c r="R1247" s="12">
        <v>0</v>
      </c>
    </row>
    <row r="1248" spans="1:19" x14ac:dyDescent="0.25">
      <c r="A1248" s="13">
        <v>46002.644363425927</v>
      </c>
      <c r="B1248" t="s">
        <v>349</v>
      </c>
      <c r="C1248" t="s">
        <v>360</v>
      </c>
      <c r="D1248" t="s">
        <v>10</v>
      </c>
      <c r="E1248" t="s">
        <v>11</v>
      </c>
      <c r="F1248" t="s">
        <v>14</v>
      </c>
      <c r="G1248">
        <v>0.5</v>
      </c>
      <c r="H1248" s="12">
        <v>0</v>
      </c>
      <c r="I1248" s="12">
        <v>0</v>
      </c>
      <c r="J1248" s="12">
        <v>0</v>
      </c>
      <c r="K1248" s="12">
        <v>0</v>
      </c>
      <c r="L1248" s="12">
        <v>0</v>
      </c>
      <c r="M1248" s="12">
        <v>0</v>
      </c>
      <c r="N1248" s="12">
        <v>0</v>
      </c>
      <c r="O1248" s="12">
        <v>0</v>
      </c>
      <c r="P1248" s="12">
        <v>1</v>
      </c>
      <c r="Q1248" s="12">
        <v>0</v>
      </c>
      <c r="R1248" s="12">
        <v>0</v>
      </c>
    </row>
    <row r="1249" spans="1:19" x14ac:dyDescent="0.25">
      <c r="A1249" s="13">
        <v>46002.665231481478</v>
      </c>
      <c r="B1249" t="s">
        <v>349</v>
      </c>
      <c r="C1249" t="s">
        <v>360</v>
      </c>
      <c r="D1249" t="s">
        <v>10</v>
      </c>
      <c r="E1249" t="s">
        <v>11</v>
      </c>
      <c r="F1249" t="s">
        <v>14</v>
      </c>
      <c r="G1249">
        <v>0.5</v>
      </c>
      <c r="H1249" s="12">
        <v>0</v>
      </c>
      <c r="I1249" s="12">
        <v>0</v>
      </c>
      <c r="J1249" s="12">
        <v>0</v>
      </c>
      <c r="K1249" s="12">
        <v>0</v>
      </c>
      <c r="L1249" s="12">
        <v>0</v>
      </c>
      <c r="M1249" s="12">
        <v>0</v>
      </c>
      <c r="N1249" s="12">
        <v>0</v>
      </c>
      <c r="O1249" s="12">
        <v>0</v>
      </c>
      <c r="P1249" s="12">
        <v>0</v>
      </c>
      <c r="Q1249" s="12">
        <v>1</v>
      </c>
      <c r="R1249" s="12">
        <v>0</v>
      </c>
    </row>
    <row r="1250" spans="1:19" x14ac:dyDescent="0.25">
      <c r="A1250" s="13">
        <v>46003.458645833336</v>
      </c>
      <c r="B1250" t="s">
        <v>354</v>
      </c>
      <c r="C1250" t="s">
        <v>361</v>
      </c>
      <c r="D1250" t="s">
        <v>10</v>
      </c>
      <c r="E1250" t="s">
        <v>11</v>
      </c>
      <c r="F1250" t="s">
        <v>15</v>
      </c>
      <c r="G1250">
        <v>3</v>
      </c>
      <c r="H1250" s="12">
        <v>0</v>
      </c>
      <c r="I1250" s="12">
        <v>0</v>
      </c>
      <c r="J1250" s="12">
        <v>0</v>
      </c>
      <c r="K1250" s="12">
        <v>0</v>
      </c>
      <c r="L1250" s="12">
        <v>0</v>
      </c>
      <c r="M1250" s="12">
        <v>0</v>
      </c>
      <c r="N1250" s="12">
        <v>0</v>
      </c>
      <c r="O1250" s="12">
        <v>0</v>
      </c>
      <c r="P1250" s="12">
        <v>1</v>
      </c>
      <c r="Q1250" s="12">
        <v>0</v>
      </c>
      <c r="R1250" s="12">
        <v>0</v>
      </c>
    </row>
    <row r="1251" spans="1:19" x14ac:dyDescent="0.25">
      <c r="A1251" s="13">
        <v>46003.483715277776</v>
      </c>
      <c r="B1251" t="s">
        <v>354</v>
      </c>
      <c r="C1251" t="s">
        <v>361</v>
      </c>
      <c r="D1251" t="s">
        <v>10</v>
      </c>
      <c r="E1251" t="s">
        <v>11</v>
      </c>
      <c r="F1251" t="s">
        <v>18</v>
      </c>
      <c r="G1251">
        <v>20</v>
      </c>
      <c r="H1251" s="12">
        <v>0</v>
      </c>
      <c r="I1251" s="12">
        <v>0</v>
      </c>
      <c r="J1251" s="12">
        <v>0</v>
      </c>
      <c r="K1251" s="12">
        <v>0</v>
      </c>
      <c r="L1251" s="12">
        <v>1</v>
      </c>
      <c r="M1251" s="12">
        <v>0</v>
      </c>
      <c r="N1251" s="12">
        <v>0</v>
      </c>
      <c r="O1251" s="12">
        <v>0</v>
      </c>
      <c r="P1251" s="12">
        <v>0</v>
      </c>
      <c r="Q1251" s="12">
        <v>0</v>
      </c>
      <c r="R1251" s="12">
        <v>0</v>
      </c>
    </row>
    <row r="1252" spans="1:19" x14ac:dyDescent="0.25">
      <c r="A1252" s="13">
        <v>46003.522129629629</v>
      </c>
      <c r="B1252" t="s">
        <v>350</v>
      </c>
      <c r="C1252" t="s">
        <v>361</v>
      </c>
      <c r="D1252" t="s">
        <v>10</v>
      </c>
      <c r="E1252" t="s">
        <v>11</v>
      </c>
      <c r="F1252" t="s">
        <v>18</v>
      </c>
      <c r="G1252">
        <v>20</v>
      </c>
      <c r="H1252" s="12">
        <v>0</v>
      </c>
      <c r="I1252" s="12">
        <v>0</v>
      </c>
      <c r="J1252" s="12">
        <v>0</v>
      </c>
      <c r="K1252" s="12">
        <v>0</v>
      </c>
      <c r="L1252" s="12">
        <v>1</v>
      </c>
      <c r="M1252" s="12">
        <v>0</v>
      </c>
      <c r="N1252" s="12">
        <v>0</v>
      </c>
      <c r="O1252" s="12">
        <v>0</v>
      </c>
      <c r="P1252" s="12">
        <v>0</v>
      </c>
      <c r="Q1252" s="12">
        <v>0</v>
      </c>
      <c r="R1252" s="12">
        <v>0</v>
      </c>
    </row>
    <row r="1253" spans="1:19" x14ac:dyDescent="0.25">
      <c r="A1253" s="13">
        <v>46003.522233796299</v>
      </c>
      <c r="B1253" t="s">
        <v>350</v>
      </c>
      <c r="C1253" t="s">
        <v>361</v>
      </c>
      <c r="D1253" t="s">
        <v>10</v>
      </c>
      <c r="E1253" t="s">
        <v>11</v>
      </c>
      <c r="F1253" t="s">
        <v>18</v>
      </c>
      <c r="G1253">
        <v>20</v>
      </c>
      <c r="H1253" s="12">
        <v>0</v>
      </c>
      <c r="I1253" s="12">
        <v>0</v>
      </c>
      <c r="J1253" s="12">
        <v>0</v>
      </c>
      <c r="K1253" s="12">
        <v>0</v>
      </c>
      <c r="L1253" s="12">
        <v>1</v>
      </c>
      <c r="M1253" s="12">
        <v>0</v>
      </c>
      <c r="N1253" s="12">
        <v>0</v>
      </c>
      <c r="O1253" s="12">
        <v>0</v>
      </c>
      <c r="P1253" s="12">
        <v>0</v>
      </c>
      <c r="Q1253" s="12">
        <v>0</v>
      </c>
      <c r="R1253" s="12">
        <v>0</v>
      </c>
    </row>
    <row r="1254" spans="1:19" x14ac:dyDescent="0.25">
      <c r="A1254" s="13">
        <v>46003.524305555555</v>
      </c>
      <c r="B1254" t="s">
        <v>350</v>
      </c>
      <c r="C1254" t="s">
        <v>361</v>
      </c>
      <c r="D1254" t="s">
        <v>10</v>
      </c>
      <c r="E1254" t="s">
        <v>11</v>
      </c>
      <c r="F1254" t="s">
        <v>15</v>
      </c>
      <c r="G1254">
        <v>3</v>
      </c>
      <c r="H1254" s="12">
        <v>0</v>
      </c>
      <c r="I1254" s="12">
        <v>0</v>
      </c>
      <c r="J1254" s="12">
        <v>0</v>
      </c>
      <c r="K1254" s="12">
        <v>0</v>
      </c>
      <c r="L1254" s="12">
        <v>0</v>
      </c>
      <c r="M1254" s="12">
        <v>0</v>
      </c>
      <c r="N1254" s="12">
        <v>0</v>
      </c>
      <c r="O1254" s="12">
        <v>0</v>
      </c>
      <c r="P1254" s="12">
        <v>0</v>
      </c>
      <c r="Q1254" s="12">
        <v>0</v>
      </c>
      <c r="R1254" s="12">
        <v>1</v>
      </c>
      <c r="S1254" t="s">
        <v>317</v>
      </c>
    </row>
    <row r="1255" spans="1:19" x14ac:dyDescent="0.25">
      <c r="A1255" s="13">
        <v>46003.746018518519</v>
      </c>
      <c r="B1255" t="s">
        <v>355</v>
      </c>
      <c r="C1255" t="s">
        <v>361</v>
      </c>
      <c r="D1255" t="s">
        <v>10</v>
      </c>
      <c r="E1255" t="s">
        <v>11</v>
      </c>
      <c r="F1255" t="s">
        <v>15</v>
      </c>
      <c r="G1255">
        <v>3</v>
      </c>
      <c r="H1255" s="12">
        <v>0</v>
      </c>
      <c r="I1255" s="12">
        <v>0</v>
      </c>
      <c r="J1255" s="12">
        <v>0</v>
      </c>
      <c r="K1255" s="12">
        <v>0</v>
      </c>
      <c r="L1255" s="12">
        <v>0</v>
      </c>
      <c r="M1255" s="12">
        <v>0</v>
      </c>
      <c r="N1255" s="12">
        <v>0</v>
      </c>
      <c r="O1255" s="12">
        <v>1</v>
      </c>
      <c r="P1255" s="12">
        <v>0</v>
      </c>
      <c r="Q1255" s="12">
        <v>0</v>
      </c>
      <c r="R1255" s="12">
        <v>0</v>
      </c>
    </row>
    <row r="1256" spans="1:19" x14ac:dyDescent="0.25">
      <c r="A1256" s="13">
        <v>46003.746192129627</v>
      </c>
      <c r="B1256" t="s">
        <v>355</v>
      </c>
      <c r="C1256" t="s">
        <v>361</v>
      </c>
      <c r="D1256" t="s">
        <v>10</v>
      </c>
      <c r="E1256" t="s">
        <v>11</v>
      </c>
      <c r="F1256" t="s">
        <v>15</v>
      </c>
      <c r="G1256">
        <v>3</v>
      </c>
      <c r="H1256" s="12">
        <v>1</v>
      </c>
      <c r="I1256" s="12">
        <v>0</v>
      </c>
      <c r="J1256" s="12">
        <v>1</v>
      </c>
      <c r="K1256" s="12">
        <v>0</v>
      </c>
      <c r="L1256" s="12">
        <v>0</v>
      </c>
      <c r="M1256" s="12">
        <v>1</v>
      </c>
      <c r="N1256" s="12">
        <v>0</v>
      </c>
      <c r="O1256" s="12">
        <v>0</v>
      </c>
      <c r="P1256" s="12">
        <v>0</v>
      </c>
      <c r="Q1256" s="12">
        <v>0</v>
      </c>
      <c r="R1256" s="12">
        <v>0</v>
      </c>
    </row>
    <row r="1257" spans="1:19" x14ac:dyDescent="0.25">
      <c r="A1257" s="13">
        <v>46003.74628472222</v>
      </c>
      <c r="B1257" t="s">
        <v>355</v>
      </c>
      <c r="C1257" t="s">
        <v>361</v>
      </c>
      <c r="D1257" t="s">
        <v>10</v>
      </c>
      <c r="E1257" t="s">
        <v>11</v>
      </c>
      <c r="F1257" t="s">
        <v>15</v>
      </c>
      <c r="G1257">
        <v>3</v>
      </c>
      <c r="H1257" s="12">
        <v>1</v>
      </c>
      <c r="I1257" s="12">
        <v>0</v>
      </c>
      <c r="J1257" s="12">
        <v>1</v>
      </c>
      <c r="K1257" s="12">
        <v>0</v>
      </c>
      <c r="L1257" s="12">
        <v>0</v>
      </c>
      <c r="M1257" s="12">
        <v>0</v>
      </c>
      <c r="N1257" s="12">
        <v>0</v>
      </c>
      <c r="O1257" s="12">
        <v>0</v>
      </c>
      <c r="P1257" s="12">
        <v>0</v>
      </c>
      <c r="Q1257" s="12">
        <v>0</v>
      </c>
      <c r="R1257" s="12">
        <v>0</v>
      </c>
    </row>
    <row r="1258" spans="1:19" x14ac:dyDescent="0.25">
      <c r="A1258" s="13">
        <v>46003.746493055558</v>
      </c>
      <c r="B1258" t="s">
        <v>355</v>
      </c>
      <c r="C1258" t="s">
        <v>361</v>
      </c>
      <c r="D1258" t="s">
        <v>10</v>
      </c>
      <c r="E1258" t="s">
        <v>11</v>
      </c>
      <c r="F1258" t="s">
        <v>15</v>
      </c>
      <c r="G1258">
        <v>3</v>
      </c>
      <c r="H1258" s="12">
        <v>0</v>
      </c>
      <c r="I1258" s="12">
        <v>0</v>
      </c>
      <c r="J1258" s="12">
        <v>0</v>
      </c>
      <c r="K1258" s="12">
        <v>0</v>
      </c>
      <c r="L1258" s="12">
        <v>0</v>
      </c>
      <c r="M1258" s="12">
        <v>0</v>
      </c>
      <c r="N1258" s="12">
        <v>0</v>
      </c>
      <c r="O1258" s="12">
        <v>1</v>
      </c>
      <c r="P1258" s="12">
        <v>0</v>
      </c>
      <c r="Q1258" s="12">
        <v>0</v>
      </c>
      <c r="R1258" s="12">
        <v>0</v>
      </c>
    </row>
    <row r="1259" spans="1:19" x14ac:dyDescent="0.25">
      <c r="A1259" s="13">
        <v>46003.746562499997</v>
      </c>
      <c r="B1259" t="s">
        <v>355</v>
      </c>
      <c r="C1259" t="s">
        <v>361</v>
      </c>
      <c r="D1259" t="s">
        <v>10</v>
      </c>
      <c r="E1259" t="s">
        <v>11</v>
      </c>
      <c r="F1259" t="s">
        <v>15</v>
      </c>
      <c r="G1259">
        <v>3</v>
      </c>
      <c r="H1259" s="12">
        <v>0</v>
      </c>
      <c r="I1259" s="12">
        <v>0</v>
      </c>
      <c r="J1259" s="12">
        <v>0</v>
      </c>
      <c r="K1259" s="12">
        <v>0</v>
      </c>
      <c r="L1259" s="12">
        <v>0</v>
      </c>
      <c r="M1259" s="12">
        <v>0</v>
      </c>
      <c r="N1259" s="12">
        <v>0</v>
      </c>
      <c r="O1259" s="12">
        <v>1</v>
      </c>
      <c r="P1259" s="12">
        <v>0</v>
      </c>
      <c r="Q1259" s="12">
        <v>0</v>
      </c>
      <c r="R1259" s="12">
        <v>0</v>
      </c>
    </row>
    <row r="1260" spans="1:19" x14ac:dyDescent="0.25">
      <c r="A1260" s="13">
        <v>46003.746678240743</v>
      </c>
      <c r="B1260" t="s">
        <v>355</v>
      </c>
      <c r="C1260" t="s">
        <v>361</v>
      </c>
      <c r="D1260" t="s">
        <v>10</v>
      </c>
      <c r="E1260" t="s">
        <v>11</v>
      </c>
      <c r="F1260" t="s">
        <v>15</v>
      </c>
      <c r="G1260">
        <v>3</v>
      </c>
      <c r="H1260" s="12">
        <v>0</v>
      </c>
      <c r="I1260" s="12">
        <v>0</v>
      </c>
      <c r="J1260" s="12">
        <v>0</v>
      </c>
      <c r="K1260" s="12">
        <v>0</v>
      </c>
      <c r="L1260" s="12">
        <v>0</v>
      </c>
      <c r="M1260" s="12">
        <v>0</v>
      </c>
      <c r="N1260" s="12">
        <v>0</v>
      </c>
      <c r="O1260" s="12">
        <v>0</v>
      </c>
      <c r="P1260" s="12">
        <v>0</v>
      </c>
      <c r="Q1260" s="12">
        <v>0</v>
      </c>
      <c r="R1260" s="12">
        <v>1</v>
      </c>
    </row>
    <row r="1261" spans="1:19" x14ac:dyDescent="0.25">
      <c r="A1261" s="13">
        <v>46003.746805555558</v>
      </c>
      <c r="B1261" t="s">
        <v>355</v>
      </c>
      <c r="C1261" t="s">
        <v>361</v>
      </c>
      <c r="D1261" t="s">
        <v>10</v>
      </c>
      <c r="E1261" t="s">
        <v>11</v>
      </c>
      <c r="F1261" t="s">
        <v>15</v>
      </c>
      <c r="G1261">
        <v>3</v>
      </c>
      <c r="H1261" s="12">
        <v>0</v>
      </c>
      <c r="I1261" s="12">
        <v>0</v>
      </c>
      <c r="J1261" s="12">
        <v>0</v>
      </c>
      <c r="K1261" s="12">
        <v>0</v>
      </c>
      <c r="L1261" s="12">
        <v>0</v>
      </c>
      <c r="M1261" s="12">
        <v>0</v>
      </c>
      <c r="N1261" s="12">
        <v>1</v>
      </c>
      <c r="O1261" s="12">
        <v>0</v>
      </c>
      <c r="P1261" s="12">
        <v>0</v>
      </c>
      <c r="Q1261" s="12">
        <v>0</v>
      </c>
      <c r="R1261" s="12">
        <v>0</v>
      </c>
    </row>
    <row r="1262" spans="1:19" x14ac:dyDescent="0.25">
      <c r="A1262" s="13">
        <v>46004.394918981481</v>
      </c>
      <c r="B1262" t="s">
        <v>352</v>
      </c>
      <c r="C1262" t="s">
        <v>362</v>
      </c>
      <c r="D1262" t="s">
        <v>10</v>
      </c>
      <c r="E1262" t="s">
        <v>11</v>
      </c>
      <c r="F1262" t="s">
        <v>14</v>
      </c>
      <c r="G1262">
        <v>0.5</v>
      </c>
      <c r="H1262" s="12">
        <v>0</v>
      </c>
      <c r="I1262" s="12">
        <v>0</v>
      </c>
      <c r="J1262" s="12">
        <v>0</v>
      </c>
      <c r="K1262" s="12">
        <v>0</v>
      </c>
      <c r="L1262" s="12">
        <v>0</v>
      </c>
      <c r="M1262" s="12">
        <v>0</v>
      </c>
      <c r="N1262" s="12">
        <v>0</v>
      </c>
      <c r="O1262" s="12">
        <v>0</v>
      </c>
      <c r="P1262" s="12">
        <v>0</v>
      </c>
      <c r="Q1262" s="12">
        <v>0</v>
      </c>
      <c r="R1262" s="12">
        <v>1</v>
      </c>
      <c r="S1262" t="s">
        <v>135</v>
      </c>
    </row>
    <row r="1263" spans="1:19" x14ac:dyDescent="0.25">
      <c r="A1263" s="13">
        <v>46004.435543981483</v>
      </c>
      <c r="B1263" t="s">
        <v>347</v>
      </c>
      <c r="C1263" t="s">
        <v>362</v>
      </c>
      <c r="D1263" t="s">
        <v>10</v>
      </c>
      <c r="E1263" t="s">
        <v>11</v>
      </c>
      <c r="F1263" t="s">
        <v>12</v>
      </c>
      <c r="G1263">
        <v>10.5</v>
      </c>
      <c r="H1263" s="12">
        <v>1</v>
      </c>
      <c r="I1263" s="12">
        <v>0</v>
      </c>
      <c r="J1263" s="12">
        <v>1</v>
      </c>
      <c r="K1263" s="12">
        <v>0</v>
      </c>
      <c r="L1263" s="12">
        <v>0</v>
      </c>
      <c r="M1263" s="12">
        <v>1</v>
      </c>
      <c r="N1263" s="12">
        <v>0</v>
      </c>
      <c r="O1263" s="12">
        <v>0</v>
      </c>
      <c r="P1263" s="12">
        <v>0</v>
      </c>
      <c r="Q1263" s="12">
        <v>0</v>
      </c>
      <c r="R1263" s="12">
        <v>0</v>
      </c>
    </row>
    <row r="1264" spans="1:19" x14ac:dyDescent="0.25">
      <c r="A1264" s="13">
        <v>46004.435671296298</v>
      </c>
      <c r="B1264" t="s">
        <v>347</v>
      </c>
      <c r="C1264" t="s">
        <v>362</v>
      </c>
      <c r="D1264" t="s">
        <v>10</v>
      </c>
      <c r="E1264" t="s">
        <v>11</v>
      </c>
      <c r="F1264" t="s">
        <v>15</v>
      </c>
      <c r="G1264">
        <v>3</v>
      </c>
      <c r="H1264" s="12">
        <v>0</v>
      </c>
      <c r="I1264" s="12">
        <v>0</v>
      </c>
      <c r="J1264" s="12">
        <v>0</v>
      </c>
      <c r="K1264" s="12">
        <v>0</v>
      </c>
      <c r="L1264" s="12">
        <v>0</v>
      </c>
      <c r="M1264" s="12">
        <v>0</v>
      </c>
      <c r="N1264" s="12">
        <v>0</v>
      </c>
      <c r="O1264" s="12">
        <v>1</v>
      </c>
      <c r="P1264" s="12">
        <v>0</v>
      </c>
      <c r="Q1264" s="12">
        <v>0</v>
      </c>
      <c r="R1264" s="12">
        <v>0</v>
      </c>
    </row>
    <row r="1265" spans="1:19" x14ac:dyDescent="0.25">
      <c r="A1265" s="13">
        <v>46004.477685185186</v>
      </c>
      <c r="B1265" t="s">
        <v>354</v>
      </c>
      <c r="C1265" t="s">
        <v>362</v>
      </c>
      <c r="D1265" t="s">
        <v>10</v>
      </c>
      <c r="E1265" t="s">
        <v>11</v>
      </c>
      <c r="F1265" t="s">
        <v>14</v>
      </c>
      <c r="G1265">
        <v>0.5</v>
      </c>
      <c r="H1265" s="12">
        <v>0</v>
      </c>
      <c r="I1265" s="12">
        <v>0</v>
      </c>
      <c r="J1265" s="12">
        <v>0</v>
      </c>
      <c r="K1265" s="12">
        <v>0</v>
      </c>
      <c r="L1265" s="12">
        <v>0</v>
      </c>
      <c r="M1265" s="12">
        <v>1</v>
      </c>
      <c r="N1265" s="12">
        <v>0</v>
      </c>
      <c r="O1265" s="12">
        <v>0</v>
      </c>
      <c r="P1265" s="12">
        <v>0</v>
      </c>
      <c r="Q1265" s="12">
        <v>0</v>
      </c>
      <c r="R1265" s="12">
        <v>0</v>
      </c>
      <c r="S1265" t="s">
        <v>318</v>
      </c>
    </row>
    <row r="1266" spans="1:19" x14ac:dyDescent="0.25">
      <c r="A1266" s="13">
        <v>46004.477986111109</v>
      </c>
      <c r="B1266" t="s">
        <v>354</v>
      </c>
      <c r="C1266" t="s">
        <v>362</v>
      </c>
      <c r="D1266" t="s">
        <v>10</v>
      </c>
      <c r="E1266" t="s">
        <v>11</v>
      </c>
      <c r="F1266" t="s">
        <v>14</v>
      </c>
      <c r="G1266">
        <v>0.5</v>
      </c>
      <c r="H1266" s="12">
        <v>0</v>
      </c>
      <c r="I1266" s="12">
        <v>0</v>
      </c>
      <c r="J1266" s="12">
        <v>0</v>
      </c>
      <c r="K1266" s="12">
        <v>0</v>
      </c>
      <c r="L1266" s="12">
        <v>0</v>
      </c>
      <c r="M1266" s="12">
        <v>1</v>
      </c>
      <c r="N1266" s="12">
        <v>0</v>
      </c>
      <c r="O1266" s="12">
        <v>0</v>
      </c>
      <c r="P1266" s="12">
        <v>0</v>
      </c>
      <c r="Q1266" s="12">
        <v>0</v>
      </c>
      <c r="R1266" s="12">
        <v>0</v>
      </c>
      <c r="S1266" t="s">
        <v>319</v>
      </c>
    </row>
    <row r="1267" spans="1:19" x14ac:dyDescent="0.25">
      <c r="A1267" s="13">
        <v>46006.553819444445</v>
      </c>
      <c r="B1267" t="s">
        <v>351</v>
      </c>
      <c r="C1267" t="s">
        <v>363</v>
      </c>
      <c r="D1267" t="s">
        <v>10</v>
      </c>
      <c r="E1267" t="s">
        <v>11</v>
      </c>
      <c r="F1267" t="s">
        <v>14</v>
      </c>
      <c r="G1267">
        <v>0.5</v>
      </c>
      <c r="H1267" s="12">
        <v>0</v>
      </c>
      <c r="I1267" s="12">
        <v>0</v>
      </c>
      <c r="J1267" s="12">
        <v>0</v>
      </c>
      <c r="K1267" s="12">
        <v>0</v>
      </c>
      <c r="L1267" s="12">
        <v>0</v>
      </c>
      <c r="M1267" s="12">
        <v>0</v>
      </c>
      <c r="N1267" s="12">
        <v>0</v>
      </c>
      <c r="O1267" s="12">
        <v>0</v>
      </c>
      <c r="P1267" s="12">
        <v>0</v>
      </c>
      <c r="Q1267" s="12">
        <v>0</v>
      </c>
      <c r="R1267" s="12">
        <v>1</v>
      </c>
      <c r="S1267" t="s">
        <v>320</v>
      </c>
    </row>
    <row r="1268" spans="1:19" x14ac:dyDescent="0.25">
      <c r="A1268" s="13">
        <v>46006.553877314815</v>
      </c>
      <c r="B1268" t="s">
        <v>351</v>
      </c>
      <c r="C1268" t="s">
        <v>363</v>
      </c>
      <c r="D1268" t="s">
        <v>10</v>
      </c>
      <c r="E1268" t="s">
        <v>17</v>
      </c>
      <c r="F1268" t="s">
        <v>14</v>
      </c>
      <c r="G1268">
        <v>0.5</v>
      </c>
      <c r="H1268" s="12">
        <v>0</v>
      </c>
      <c r="I1268" s="12">
        <v>0</v>
      </c>
      <c r="J1268" s="12">
        <v>0</v>
      </c>
      <c r="K1268" s="12">
        <v>0</v>
      </c>
      <c r="L1268" s="12">
        <v>0</v>
      </c>
      <c r="M1268" s="12">
        <v>0</v>
      </c>
      <c r="N1268" s="12">
        <v>0</v>
      </c>
      <c r="O1268" s="12">
        <v>0</v>
      </c>
      <c r="P1268" s="12">
        <v>0</v>
      </c>
      <c r="Q1268" s="12">
        <v>1</v>
      </c>
      <c r="R1268" s="12">
        <v>0</v>
      </c>
    </row>
    <row r="1269" spans="1:19" x14ac:dyDescent="0.25">
      <c r="A1269" s="13">
        <v>46006.557106481479</v>
      </c>
      <c r="B1269" t="s">
        <v>351</v>
      </c>
      <c r="C1269" t="s">
        <v>363</v>
      </c>
      <c r="D1269" t="s">
        <v>10</v>
      </c>
      <c r="E1269" t="s">
        <v>11</v>
      </c>
      <c r="F1269" t="s">
        <v>14</v>
      </c>
      <c r="G1269">
        <v>0.5</v>
      </c>
      <c r="H1269" s="12">
        <v>0</v>
      </c>
      <c r="I1269" s="12">
        <v>0</v>
      </c>
      <c r="J1269" s="12">
        <v>0</v>
      </c>
      <c r="K1269" s="12">
        <v>0</v>
      </c>
      <c r="L1269" s="12">
        <v>0</v>
      </c>
      <c r="M1269" s="12">
        <v>0</v>
      </c>
      <c r="N1269" s="12">
        <v>0</v>
      </c>
      <c r="O1269" s="12">
        <v>0</v>
      </c>
      <c r="P1269" s="12">
        <v>0</v>
      </c>
      <c r="Q1269" s="12">
        <v>1</v>
      </c>
      <c r="R1269" s="12">
        <v>1</v>
      </c>
      <c r="S1269" t="s">
        <v>183</v>
      </c>
    </row>
    <row r="1270" spans="1:19" x14ac:dyDescent="0.25">
      <c r="A1270" s="13">
        <v>46006.567037037035</v>
      </c>
      <c r="B1270" t="s">
        <v>351</v>
      </c>
      <c r="C1270" t="s">
        <v>363</v>
      </c>
      <c r="D1270" t="s">
        <v>10</v>
      </c>
      <c r="E1270" t="s">
        <v>11</v>
      </c>
      <c r="F1270" t="s">
        <v>14</v>
      </c>
      <c r="G1270">
        <v>0.5</v>
      </c>
      <c r="H1270" s="12">
        <v>0</v>
      </c>
      <c r="I1270" s="12">
        <v>0</v>
      </c>
      <c r="J1270" s="12">
        <v>0</v>
      </c>
      <c r="K1270" s="12">
        <v>0</v>
      </c>
      <c r="L1270" s="12">
        <v>0</v>
      </c>
      <c r="M1270" s="12">
        <v>0</v>
      </c>
      <c r="N1270" s="12">
        <v>0</v>
      </c>
      <c r="O1270" s="12">
        <v>0</v>
      </c>
      <c r="P1270" s="12">
        <v>0</v>
      </c>
      <c r="Q1270" s="12">
        <v>1</v>
      </c>
      <c r="R1270" s="12">
        <v>0</v>
      </c>
    </row>
    <row r="1271" spans="1:19" x14ac:dyDescent="0.25">
      <c r="A1271" s="13">
        <v>46006.594293981485</v>
      </c>
      <c r="B1271" t="s">
        <v>348</v>
      </c>
      <c r="C1271" t="s">
        <v>363</v>
      </c>
      <c r="D1271" t="s">
        <v>10</v>
      </c>
      <c r="E1271" t="s">
        <v>11</v>
      </c>
      <c r="F1271" t="s">
        <v>15</v>
      </c>
      <c r="G1271">
        <v>3</v>
      </c>
      <c r="H1271" s="12">
        <v>1</v>
      </c>
      <c r="I1271" s="12">
        <v>0</v>
      </c>
      <c r="J1271" s="12">
        <v>0</v>
      </c>
      <c r="K1271" s="12">
        <v>0</v>
      </c>
      <c r="L1271" s="12">
        <v>0</v>
      </c>
      <c r="M1271" s="12">
        <v>0</v>
      </c>
      <c r="N1271" s="12">
        <v>0</v>
      </c>
      <c r="O1271" s="12">
        <v>0</v>
      </c>
      <c r="P1271" s="12">
        <v>0</v>
      </c>
      <c r="Q1271" s="12">
        <v>0</v>
      </c>
      <c r="R1271" s="12">
        <v>0</v>
      </c>
    </row>
    <row r="1272" spans="1:19" x14ac:dyDescent="0.25">
      <c r="A1272" s="13">
        <v>46006.603321759256</v>
      </c>
      <c r="B1272" t="s">
        <v>348</v>
      </c>
      <c r="C1272" t="s">
        <v>363</v>
      </c>
      <c r="D1272" t="s">
        <v>10</v>
      </c>
      <c r="E1272" t="s">
        <v>11</v>
      </c>
      <c r="F1272" t="s">
        <v>15</v>
      </c>
      <c r="G1272">
        <v>3</v>
      </c>
      <c r="H1272" s="12">
        <v>1</v>
      </c>
      <c r="I1272" s="12">
        <v>0</v>
      </c>
      <c r="J1272" s="12">
        <v>1</v>
      </c>
      <c r="K1272" s="12">
        <v>0</v>
      </c>
      <c r="L1272" s="12">
        <v>0</v>
      </c>
      <c r="M1272" s="12">
        <v>0</v>
      </c>
      <c r="N1272" s="12">
        <v>0</v>
      </c>
      <c r="O1272" s="12">
        <v>0</v>
      </c>
      <c r="P1272" s="12">
        <v>0</v>
      </c>
      <c r="Q1272" s="12">
        <v>0</v>
      </c>
      <c r="R1272" s="12">
        <v>0</v>
      </c>
    </row>
    <row r="1273" spans="1:19" x14ac:dyDescent="0.25">
      <c r="A1273" s="13">
        <v>46006.603414351855</v>
      </c>
      <c r="B1273" t="s">
        <v>348</v>
      </c>
      <c r="C1273" t="s">
        <v>363</v>
      </c>
      <c r="D1273" t="s">
        <v>10</v>
      </c>
      <c r="E1273" t="s">
        <v>11</v>
      </c>
      <c r="F1273" t="s">
        <v>15</v>
      </c>
      <c r="G1273">
        <v>3</v>
      </c>
      <c r="H1273" s="12">
        <v>0</v>
      </c>
      <c r="I1273" s="12">
        <v>0</v>
      </c>
      <c r="J1273" s="12">
        <v>0</v>
      </c>
      <c r="K1273" s="12">
        <v>0</v>
      </c>
      <c r="L1273" s="12">
        <v>0</v>
      </c>
      <c r="M1273" s="12">
        <v>0</v>
      </c>
      <c r="N1273" s="12">
        <v>0</v>
      </c>
      <c r="O1273" s="12">
        <v>1</v>
      </c>
      <c r="P1273" s="12">
        <v>0</v>
      </c>
      <c r="Q1273" s="12">
        <v>0</v>
      </c>
      <c r="R1273" s="12">
        <v>0</v>
      </c>
    </row>
    <row r="1274" spans="1:19" x14ac:dyDescent="0.25">
      <c r="A1274" s="13">
        <v>46006.651284722226</v>
      </c>
      <c r="B1274" t="s">
        <v>349</v>
      </c>
      <c r="C1274" t="s">
        <v>363</v>
      </c>
      <c r="D1274" t="s">
        <v>10</v>
      </c>
      <c r="E1274" t="s">
        <v>11</v>
      </c>
      <c r="F1274" t="s">
        <v>12</v>
      </c>
      <c r="G1274">
        <v>10.5</v>
      </c>
      <c r="H1274" s="12">
        <v>1</v>
      </c>
      <c r="I1274" s="12">
        <v>0</v>
      </c>
      <c r="J1274" s="12">
        <v>1</v>
      </c>
      <c r="K1274" s="12">
        <v>0</v>
      </c>
      <c r="L1274" s="12">
        <v>0</v>
      </c>
      <c r="M1274" s="12">
        <v>0</v>
      </c>
      <c r="N1274" s="12">
        <v>0</v>
      </c>
      <c r="O1274" s="12">
        <v>0</v>
      </c>
      <c r="P1274" s="12">
        <v>0</v>
      </c>
      <c r="Q1274" s="12">
        <v>0</v>
      </c>
      <c r="R1274" s="12">
        <v>0</v>
      </c>
    </row>
    <row r="1275" spans="1:19" x14ac:dyDescent="0.25">
      <c r="A1275" s="13">
        <v>46006.66065972222</v>
      </c>
      <c r="B1275" t="s">
        <v>349</v>
      </c>
      <c r="C1275" t="s">
        <v>363</v>
      </c>
      <c r="D1275" t="s">
        <v>10</v>
      </c>
      <c r="E1275" t="s">
        <v>11</v>
      </c>
      <c r="F1275" t="s">
        <v>12</v>
      </c>
      <c r="G1275">
        <v>10.5</v>
      </c>
      <c r="H1275" s="12">
        <v>1</v>
      </c>
      <c r="I1275" s="12">
        <v>0</v>
      </c>
      <c r="J1275" s="12">
        <v>1</v>
      </c>
      <c r="K1275" s="12">
        <v>0</v>
      </c>
      <c r="L1275" s="12">
        <v>1</v>
      </c>
      <c r="M1275" s="12">
        <v>0</v>
      </c>
      <c r="N1275" s="12">
        <v>0</v>
      </c>
      <c r="O1275" s="12">
        <v>0</v>
      </c>
      <c r="P1275" s="12">
        <v>0</v>
      </c>
      <c r="Q1275" s="12">
        <v>0</v>
      </c>
      <c r="R1275" s="12">
        <v>0</v>
      </c>
    </row>
    <row r="1276" spans="1:19" x14ac:dyDescent="0.25">
      <c r="A1276" s="13">
        <v>46006.660810185182</v>
      </c>
      <c r="B1276" t="s">
        <v>349</v>
      </c>
      <c r="C1276" t="s">
        <v>363</v>
      </c>
      <c r="D1276" t="s">
        <v>10</v>
      </c>
      <c r="E1276" t="s">
        <v>11</v>
      </c>
      <c r="F1276" t="s">
        <v>14</v>
      </c>
      <c r="G1276">
        <v>0.5</v>
      </c>
      <c r="H1276" s="12">
        <v>0</v>
      </c>
      <c r="I1276" s="12">
        <v>0</v>
      </c>
      <c r="J1276" s="12">
        <v>0</v>
      </c>
      <c r="K1276" s="12">
        <v>0</v>
      </c>
      <c r="L1276" s="12">
        <v>0</v>
      </c>
      <c r="M1276" s="12">
        <v>0</v>
      </c>
      <c r="N1276" s="12">
        <v>0</v>
      </c>
      <c r="O1276" s="12">
        <v>0</v>
      </c>
      <c r="P1276" s="12">
        <v>0</v>
      </c>
      <c r="Q1276" s="12">
        <v>1</v>
      </c>
      <c r="R1276" s="12">
        <v>0</v>
      </c>
    </row>
    <row r="1277" spans="1:19" x14ac:dyDescent="0.25">
      <c r="A1277" s="13">
        <v>46007.516053240739</v>
      </c>
      <c r="B1277" t="s">
        <v>350</v>
      </c>
      <c r="C1277" t="s">
        <v>358</v>
      </c>
      <c r="D1277" t="s">
        <v>10</v>
      </c>
      <c r="E1277" t="s">
        <v>11</v>
      </c>
      <c r="F1277" t="s">
        <v>15</v>
      </c>
      <c r="G1277">
        <v>3</v>
      </c>
      <c r="H1277" s="12">
        <v>0</v>
      </c>
      <c r="I1277" s="12">
        <v>0</v>
      </c>
      <c r="J1277" s="12">
        <v>0</v>
      </c>
      <c r="K1277" s="12">
        <v>0</v>
      </c>
      <c r="L1277" s="12">
        <v>0</v>
      </c>
      <c r="M1277" s="12">
        <v>0</v>
      </c>
      <c r="N1277" s="12">
        <v>0</v>
      </c>
      <c r="O1277" s="12">
        <v>0</v>
      </c>
      <c r="P1277" s="12">
        <v>0</v>
      </c>
      <c r="Q1277" s="12">
        <v>0</v>
      </c>
      <c r="R1277" s="12">
        <v>0</v>
      </c>
      <c r="S1277" t="s">
        <v>321</v>
      </c>
    </row>
    <row r="1278" spans="1:19" x14ac:dyDescent="0.25">
      <c r="A1278" s="13">
        <v>46007.517407407409</v>
      </c>
      <c r="B1278" t="s">
        <v>350</v>
      </c>
      <c r="C1278" t="s">
        <v>358</v>
      </c>
      <c r="D1278" t="s">
        <v>10</v>
      </c>
      <c r="E1278" t="s">
        <v>11</v>
      </c>
      <c r="F1278" t="s">
        <v>14</v>
      </c>
      <c r="G1278">
        <v>0.5</v>
      </c>
      <c r="H1278" s="12">
        <v>0</v>
      </c>
      <c r="I1278" s="12">
        <v>0</v>
      </c>
      <c r="J1278" s="12">
        <v>0</v>
      </c>
      <c r="K1278" s="12">
        <v>0</v>
      </c>
      <c r="L1278" s="12">
        <v>0</v>
      </c>
      <c r="M1278" s="12">
        <v>0</v>
      </c>
      <c r="N1278" s="12">
        <v>0</v>
      </c>
      <c r="O1278" s="12">
        <v>1</v>
      </c>
      <c r="P1278" s="12">
        <v>0</v>
      </c>
      <c r="Q1278" s="12">
        <v>0</v>
      </c>
      <c r="R1278" s="12">
        <v>0</v>
      </c>
    </row>
    <row r="1279" spans="1:19" x14ac:dyDescent="0.25">
      <c r="A1279" s="13">
        <v>46007.555081018516</v>
      </c>
      <c r="B1279" t="s">
        <v>351</v>
      </c>
      <c r="C1279" t="s">
        <v>358</v>
      </c>
      <c r="D1279" t="s">
        <v>10</v>
      </c>
      <c r="E1279" t="s">
        <v>11</v>
      </c>
      <c r="F1279" t="s">
        <v>14</v>
      </c>
      <c r="G1279">
        <v>0.5</v>
      </c>
      <c r="H1279" s="12">
        <v>0</v>
      </c>
      <c r="I1279" s="12">
        <v>0</v>
      </c>
      <c r="J1279" s="12">
        <v>0</v>
      </c>
      <c r="K1279" s="12">
        <v>0</v>
      </c>
      <c r="L1279" s="12">
        <v>0</v>
      </c>
      <c r="M1279" s="12">
        <v>0</v>
      </c>
      <c r="N1279" s="12">
        <v>0</v>
      </c>
      <c r="O1279" s="12">
        <v>0</v>
      </c>
      <c r="P1279" s="12">
        <v>0</v>
      </c>
      <c r="Q1279" s="12">
        <v>1</v>
      </c>
      <c r="R1279" s="12">
        <v>0</v>
      </c>
    </row>
    <row r="1280" spans="1:19" x14ac:dyDescent="0.25">
      <c r="A1280" s="13">
        <v>46007.555115740739</v>
      </c>
      <c r="B1280" t="s">
        <v>351</v>
      </c>
      <c r="C1280" t="s">
        <v>358</v>
      </c>
      <c r="D1280" t="s">
        <v>10</v>
      </c>
      <c r="E1280" t="s">
        <v>11</v>
      </c>
      <c r="F1280" t="s">
        <v>14</v>
      </c>
      <c r="G1280">
        <v>0.5</v>
      </c>
      <c r="H1280" s="12">
        <v>0</v>
      </c>
      <c r="I1280" s="12">
        <v>0</v>
      </c>
      <c r="J1280" s="12">
        <v>0</v>
      </c>
      <c r="K1280" s="12">
        <v>0</v>
      </c>
      <c r="L1280" s="12">
        <v>0</v>
      </c>
      <c r="M1280" s="12">
        <v>0</v>
      </c>
      <c r="N1280" s="12">
        <v>0</v>
      </c>
      <c r="O1280" s="12">
        <v>0</v>
      </c>
      <c r="P1280" s="12">
        <v>0</v>
      </c>
      <c r="Q1280" s="12">
        <v>1</v>
      </c>
      <c r="R1280" s="12">
        <v>0</v>
      </c>
    </row>
    <row r="1281" spans="1:19" x14ac:dyDescent="0.25">
      <c r="A1281" s="13">
        <v>46007.611435185187</v>
      </c>
      <c r="B1281" t="s">
        <v>348</v>
      </c>
      <c r="C1281" t="s">
        <v>358</v>
      </c>
      <c r="D1281" t="s">
        <v>10</v>
      </c>
      <c r="E1281" t="s">
        <v>11</v>
      </c>
      <c r="F1281" t="s">
        <v>14</v>
      </c>
      <c r="G1281">
        <v>0.5</v>
      </c>
      <c r="H1281" s="12">
        <v>0</v>
      </c>
      <c r="I1281" s="12">
        <v>0</v>
      </c>
      <c r="J1281" s="12">
        <v>0</v>
      </c>
      <c r="K1281" s="12">
        <v>0</v>
      </c>
      <c r="L1281" s="12">
        <v>0</v>
      </c>
      <c r="M1281" s="12">
        <v>0</v>
      </c>
      <c r="N1281" s="12">
        <v>0</v>
      </c>
      <c r="O1281" s="12">
        <v>0</v>
      </c>
      <c r="P1281" s="12">
        <v>0</v>
      </c>
      <c r="Q1281" s="12">
        <v>1</v>
      </c>
      <c r="R1281" s="12">
        <v>0</v>
      </c>
    </row>
    <row r="1282" spans="1:19" x14ac:dyDescent="0.25">
      <c r="A1282" s="13">
        <v>46007.611666666664</v>
      </c>
      <c r="B1282" t="s">
        <v>348</v>
      </c>
      <c r="C1282" t="s">
        <v>358</v>
      </c>
      <c r="D1282" t="s">
        <v>20</v>
      </c>
      <c r="E1282" t="s">
        <v>11</v>
      </c>
      <c r="F1282" t="s">
        <v>12</v>
      </c>
      <c r="G1282">
        <v>10.5</v>
      </c>
      <c r="H1282" s="12">
        <v>0</v>
      </c>
      <c r="I1282" s="12">
        <v>0</v>
      </c>
      <c r="J1282" s="12">
        <v>0</v>
      </c>
      <c r="K1282" s="12">
        <v>0</v>
      </c>
      <c r="L1282" s="12">
        <v>0</v>
      </c>
      <c r="M1282" s="12">
        <v>0</v>
      </c>
      <c r="N1282" s="12">
        <v>0</v>
      </c>
      <c r="O1282" s="12">
        <v>0</v>
      </c>
      <c r="P1282" s="12">
        <v>1</v>
      </c>
      <c r="Q1282" s="12">
        <v>0</v>
      </c>
      <c r="R1282" s="12">
        <v>0</v>
      </c>
      <c r="S1282" t="s">
        <v>322</v>
      </c>
    </row>
    <row r="1283" spans="1:19" x14ac:dyDescent="0.25">
      <c r="A1283" s="13">
        <v>46008.422453703701</v>
      </c>
      <c r="B1283" t="s">
        <v>347</v>
      </c>
      <c r="C1283" t="s">
        <v>359</v>
      </c>
      <c r="D1283" t="s">
        <v>10</v>
      </c>
      <c r="E1283" t="s">
        <v>11</v>
      </c>
      <c r="F1283" t="s">
        <v>15</v>
      </c>
      <c r="G1283">
        <v>3</v>
      </c>
      <c r="H1283" s="12">
        <v>1</v>
      </c>
      <c r="I1283" s="12">
        <v>0</v>
      </c>
      <c r="J1283" s="12">
        <v>0</v>
      </c>
      <c r="K1283" s="12">
        <v>0</v>
      </c>
      <c r="L1283" s="12">
        <v>0</v>
      </c>
      <c r="M1283" s="12">
        <v>0</v>
      </c>
      <c r="N1283" s="12">
        <v>0</v>
      </c>
      <c r="O1283" s="12">
        <v>0</v>
      </c>
      <c r="P1283" s="12">
        <v>1</v>
      </c>
      <c r="Q1283" s="12">
        <v>0</v>
      </c>
      <c r="R1283" s="12">
        <v>0</v>
      </c>
    </row>
    <row r="1284" spans="1:19" x14ac:dyDescent="0.25">
      <c r="A1284" s="13">
        <v>46008.442094907405</v>
      </c>
      <c r="B1284" t="s">
        <v>347</v>
      </c>
      <c r="C1284" t="s">
        <v>359</v>
      </c>
      <c r="D1284" t="s">
        <v>10</v>
      </c>
      <c r="E1284" t="s">
        <v>11</v>
      </c>
      <c r="F1284" t="s">
        <v>12</v>
      </c>
      <c r="G1284">
        <v>10.5</v>
      </c>
      <c r="H1284" s="12">
        <v>1</v>
      </c>
      <c r="I1284" s="12">
        <v>0</v>
      </c>
      <c r="J1284" s="12">
        <v>1</v>
      </c>
      <c r="K1284" s="12">
        <v>0</v>
      </c>
      <c r="L1284" s="12">
        <v>0</v>
      </c>
      <c r="M1284" s="12">
        <v>1</v>
      </c>
      <c r="N1284" s="12">
        <v>0</v>
      </c>
      <c r="O1284" s="12">
        <v>0</v>
      </c>
      <c r="P1284" s="12">
        <v>0</v>
      </c>
      <c r="Q1284" s="12">
        <v>1</v>
      </c>
      <c r="R1284" s="12">
        <v>0</v>
      </c>
    </row>
    <row r="1285" spans="1:19" x14ac:dyDescent="0.25">
      <c r="A1285" s="13">
        <v>46008.453923611109</v>
      </c>
      <c r="B1285" t="s">
        <v>347</v>
      </c>
      <c r="C1285" t="s">
        <v>359</v>
      </c>
      <c r="D1285" t="s">
        <v>10</v>
      </c>
      <c r="E1285" t="s">
        <v>11</v>
      </c>
      <c r="F1285" t="s">
        <v>15</v>
      </c>
      <c r="G1285">
        <v>3</v>
      </c>
      <c r="H1285" s="12">
        <v>0</v>
      </c>
      <c r="I1285" s="12">
        <v>1</v>
      </c>
      <c r="J1285" s="12">
        <v>1</v>
      </c>
      <c r="K1285" s="12">
        <v>0</v>
      </c>
      <c r="L1285" s="12">
        <v>0</v>
      </c>
      <c r="M1285" s="12">
        <v>0</v>
      </c>
      <c r="N1285" s="12">
        <v>0</v>
      </c>
      <c r="O1285" s="12">
        <v>0</v>
      </c>
      <c r="P1285" s="12">
        <v>0</v>
      </c>
      <c r="Q1285" s="12">
        <v>0</v>
      </c>
      <c r="R1285" s="12">
        <v>0</v>
      </c>
    </row>
    <row r="1286" spans="1:19" x14ac:dyDescent="0.25">
      <c r="A1286" s="13">
        <v>46008.583912037036</v>
      </c>
      <c r="B1286" t="s">
        <v>348</v>
      </c>
      <c r="C1286" t="s">
        <v>359</v>
      </c>
      <c r="D1286" t="s">
        <v>10</v>
      </c>
      <c r="E1286" t="s">
        <v>11</v>
      </c>
      <c r="F1286" t="s">
        <v>12</v>
      </c>
      <c r="G1286">
        <v>10.5</v>
      </c>
      <c r="H1286" s="12">
        <v>0</v>
      </c>
      <c r="I1286" s="12">
        <v>0</v>
      </c>
      <c r="J1286" s="12">
        <v>0</v>
      </c>
      <c r="K1286" s="12">
        <v>0</v>
      </c>
      <c r="L1286" s="12">
        <v>0</v>
      </c>
      <c r="M1286" s="12">
        <v>0</v>
      </c>
      <c r="N1286" s="12">
        <v>0</v>
      </c>
      <c r="O1286" s="12">
        <v>0</v>
      </c>
      <c r="P1286" s="12">
        <v>1</v>
      </c>
      <c r="Q1286" s="12">
        <v>0</v>
      </c>
      <c r="R1286" s="12">
        <v>0</v>
      </c>
    </row>
    <row r="1287" spans="1:19" x14ac:dyDescent="0.25">
      <c r="A1287" s="13">
        <v>46009.394606481481</v>
      </c>
      <c r="B1287" t="s">
        <v>352</v>
      </c>
      <c r="C1287" t="s">
        <v>360</v>
      </c>
      <c r="D1287" t="s">
        <v>20</v>
      </c>
      <c r="E1287" t="s">
        <v>11</v>
      </c>
      <c r="F1287" t="s">
        <v>15</v>
      </c>
      <c r="G1287">
        <v>3</v>
      </c>
      <c r="H1287" s="12">
        <v>0</v>
      </c>
      <c r="I1287" s="12">
        <v>1</v>
      </c>
      <c r="J1287" s="12">
        <v>1</v>
      </c>
      <c r="K1287" s="12">
        <v>0</v>
      </c>
      <c r="L1287" s="12">
        <v>0</v>
      </c>
      <c r="M1287" s="12">
        <v>0</v>
      </c>
      <c r="N1287" s="12">
        <v>0</v>
      </c>
      <c r="O1287" s="12">
        <v>0</v>
      </c>
      <c r="P1287" s="12">
        <v>0</v>
      </c>
      <c r="Q1287" s="12">
        <v>0</v>
      </c>
      <c r="R1287" s="12">
        <v>0</v>
      </c>
    </row>
    <row r="1288" spans="1:19" x14ac:dyDescent="0.25">
      <c r="A1288" s="13">
        <v>46009.534409722219</v>
      </c>
      <c r="B1288" t="s">
        <v>350</v>
      </c>
      <c r="C1288" t="s">
        <v>360</v>
      </c>
      <c r="D1288" t="s">
        <v>10</v>
      </c>
      <c r="E1288" t="s">
        <v>11</v>
      </c>
      <c r="F1288" t="s">
        <v>15</v>
      </c>
      <c r="G1288">
        <v>3</v>
      </c>
      <c r="H1288" s="12">
        <v>1</v>
      </c>
      <c r="I1288" s="12">
        <v>0</v>
      </c>
      <c r="J1288" s="12">
        <v>1</v>
      </c>
      <c r="K1288" s="12">
        <v>0</v>
      </c>
      <c r="L1288" s="12">
        <v>0</v>
      </c>
      <c r="M1288" s="12">
        <v>1</v>
      </c>
      <c r="N1288" s="12">
        <v>0</v>
      </c>
      <c r="O1288" s="12">
        <v>0</v>
      </c>
      <c r="P1288" s="12">
        <v>0</v>
      </c>
      <c r="Q1288" s="12">
        <v>0</v>
      </c>
      <c r="R1288" s="12">
        <v>0</v>
      </c>
    </row>
    <row r="1289" spans="1:19" x14ac:dyDescent="0.25">
      <c r="A1289" s="13">
        <v>46009.538159722222</v>
      </c>
      <c r="B1289" t="s">
        <v>350</v>
      </c>
      <c r="C1289" t="s">
        <v>360</v>
      </c>
      <c r="D1289" t="s">
        <v>10</v>
      </c>
      <c r="E1289" t="s">
        <v>11</v>
      </c>
      <c r="F1289" t="s">
        <v>14</v>
      </c>
      <c r="G1289">
        <v>0.5</v>
      </c>
      <c r="H1289" s="12">
        <v>0</v>
      </c>
      <c r="I1289" s="12">
        <v>0</v>
      </c>
      <c r="J1289" s="12">
        <v>0</v>
      </c>
      <c r="K1289" s="12">
        <v>0</v>
      </c>
      <c r="L1289" s="12">
        <v>0</v>
      </c>
      <c r="M1289" s="12">
        <v>0</v>
      </c>
      <c r="N1289" s="12">
        <v>0</v>
      </c>
      <c r="O1289" s="12">
        <v>0</v>
      </c>
      <c r="P1289" s="12">
        <v>1</v>
      </c>
      <c r="Q1289" s="12">
        <v>0</v>
      </c>
      <c r="R1289" s="12">
        <v>0</v>
      </c>
    </row>
    <row r="1290" spans="1:19" x14ac:dyDescent="0.25">
      <c r="A1290" s="13">
        <v>46009.538564814815</v>
      </c>
      <c r="B1290" t="s">
        <v>350</v>
      </c>
      <c r="C1290" t="s">
        <v>360</v>
      </c>
      <c r="D1290" t="s">
        <v>10</v>
      </c>
      <c r="E1290" t="s">
        <v>11</v>
      </c>
      <c r="F1290" t="s">
        <v>14</v>
      </c>
      <c r="G1290">
        <v>0.5</v>
      </c>
      <c r="H1290" s="12">
        <v>0</v>
      </c>
      <c r="I1290" s="12">
        <v>0</v>
      </c>
      <c r="J1290" s="12">
        <v>0</v>
      </c>
      <c r="K1290" s="12">
        <v>0</v>
      </c>
      <c r="L1290" s="12">
        <v>0</v>
      </c>
      <c r="M1290" s="12">
        <v>0</v>
      </c>
      <c r="N1290" s="12">
        <v>0</v>
      </c>
      <c r="O1290" s="12">
        <v>0</v>
      </c>
      <c r="P1290" s="12">
        <v>0</v>
      </c>
      <c r="Q1290" s="12">
        <v>0</v>
      </c>
      <c r="R1290" s="12">
        <v>1</v>
      </c>
      <c r="S1290" t="s">
        <v>323</v>
      </c>
    </row>
    <row r="1291" spans="1:19" x14ac:dyDescent="0.25">
      <c r="A1291" s="13">
        <v>46009.582858796297</v>
      </c>
      <c r="B1291" t="s">
        <v>351</v>
      </c>
      <c r="C1291" t="s">
        <v>360</v>
      </c>
      <c r="D1291" t="s">
        <v>10</v>
      </c>
      <c r="E1291" t="s">
        <v>11</v>
      </c>
      <c r="F1291" t="s">
        <v>12</v>
      </c>
      <c r="G1291">
        <v>10.5</v>
      </c>
      <c r="H1291" s="12">
        <v>1</v>
      </c>
      <c r="I1291" s="12">
        <v>0</v>
      </c>
      <c r="J1291" s="12">
        <v>1</v>
      </c>
      <c r="K1291" s="12">
        <v>0</v>
      </c>
      <c r="L1291" s="12">
        <v>0</v>
      </c>
      <c r="M1291" s="12">
        <v>0</v>
      </c>
      <c r="N1291" s="12">
        <v>0</v>
      </c>
      <c r="O1291" s="12">
        <v>0</v>
      </c>
      <c r="P1291" s="12">
        <v>1</v>
      </c>
      <c r="Q1291" s="12">
        <v>0</v>
      </c>
      <c r="R1291" s="12">
        <v>0</v>
      </c>
    </row>
    <row r="1292" spans="1:19" x14ac:dyDescent="0.25">
      <c r="A1292" s="13">
        <v>46009.625219907408</v>
      </c>
      <c r="B1292" t="s">
        <v>349</v>
      </c>
      <c r="C1292" t="s">
        <v>360</v>
      </c>
      <c r="D1292" t="s">
        <v>10</v>
      </c>
      <c r="E1292" t="s">
        <v>11</v>
      </c>
      <c r="F1292" t="s">
        <v>15</v>
      </c>
      <c r="G1292">
        <v>3</v>
      </c>
      <c r="H1292" s="12">
        <v>0</v>
      </c>
      <c r="I1292" s="12">
        <v>0</v>
      </c>
      <c r="J1292" s="12">
        <v>0</v>
      </c>
      <c r="K1292" s="12">
        <v>0</v>
      </c>
      <c r="L1292" s="12">
        <v>0</v>
      </c>
      <c r="M1292" s="12">
        <v>0</v>
      </c>
      <c r="N1292" s="12">
        <v>1</v>
      </c>
      <c r="O1292" s="12">
        <v>0</v>
      </c>
      <c r="P1292" s="12">
        <v>0</v>
      </c>
      <c r="Q1292" s="12">
        <v>0</v>
      </c>
      <c r="R1292" s="12">
        <v>0</v>
      </c>
    </row>
    <row r="1293" spans="1:19" x14ac:dyDescent="0.25">
      <c r="A1293" s="13">
        <v>46010.623761574076</v>
      </c>
      <c r="B1293" t="s">
        <v>348</v>
      </c>
      <c r="C1293" t="s">
        <v>361</v>
      </c>
      <c r="D1293" t="s">
        <v>10</v>
      </c>
      <c r="E1293" t="s">
        <v>17</v>
      </c>
      <c r="F1293" t="s">
        <v>18</v>
      </c>
      <c r="G1293">
        <v>20</v>
      </c>
      <c r="H1293" s="12">
        <v>0</v>
      </c>
      <c r="I1293" s="12">
        <v>0</v>
      </c>
      <c r="J1293" s="12">
        <v>0</v>
      </c>
      <c r="K1293" s="12">
        <v>0</v>
      </c>
      <c r="L1293" s="12">
        <v>0</v>
      </c>
      <c r="M1293" s="12">
        <v>1</v>
      </c>
      <c r="N1293" s="12">
        <v>0</v>
      </c>
      <c r="O1293" s="12">
        <v>0</v>
      </c>
      <c r="P1293" s="12">
        <v>0</v>
      </c>
      <c r="Q1293" s="12">
        <v>0</v>
      </c>
      <c r="R1293" s="12">
        <v>0</v>
      </c>
      <c r="S1293" t="s">
        <v>324</v>
      </c>
    </row>
    <row r="1294" spans="1:19" x14ac:dyDescent="0.25">
      <c r="A1294" s="13">
        <v>46010.62394675926</v>
      </c>
      <c r="B1294" t="s">
        <v>348</v>
      </c>
      <c r="C1294" t="s">
        <v>361</v>
      </c>
      <c r="D1294" t="s">
        <v>10</v>
      </c>
      <c r="E1294" t="s">
        <v>11</v>
      </c>
      <c r="F1294" t="s">
        <v>12</v>
      </c>
      <c r="G1294">
        <v>10.5</v>
      </c>
      <c r="H1294" s="12">
        <v>1</v>
      </c>
      <c r="I1294" s="12">
        <v>0</v>
      </c>
      <c r="J1294" s="12">
        <v>1</v>
      </c>
      <c r="K1294" s="12">
        <v>0</v>
      </c>
      <c r="L1294" s="12">
        <v>0</v>
      </c>
      <c r="M1294" s="12">
        <v>1</v>
      </c>
      <c r="N1294" s="12">
        <v>0</v>
      </c>
      <c r="O1294" s="12">
        <v>0</v>
      </c>
      <c r="P1294" s="12">
        <v>1</v>
      </c>
      <c r="Q1294" s="12">
        <v>0</v>
      </c>
      <c r="R1294" s="12">
        <v>0</v>
      </c>
    </row>
    <row r="1295" spans="1:19" x14ac:dyDescent="0.25">
      <c r="A1295" s="13">
        <v>46010.624085648145</v>
      </c>
      <c r="B1295" t="s">
        <v>348</v>
      </c>
      <c r="C1295" t="s">
        <v>361</v>
      </c>
      <c r="D1295" t="s">
        <v>10</v>
      </c>
      <c r="E1295" t="s">
        <v>11</v>
      </c>
      <c r="F1295" t="s">
        <v>14</v>
      </c>
      <c r="G1295">
        <v>0.5</v>
      </c>
      <c r="H1295" s="12">
        <v>1</v>
      </c>
      <c r="I1295" s="12">
        <v>0</v>
      </c>
      <c r="J1295" s="12">
        <v>1</v>
      </c>
      <c r="K1295" s="12">
        <v>0</v>
      </c>
      <c r="L1295" s="12">
        <v>0</v>
      </c>
      <c r="M1295" s="12">
        <v>0</v>
      </c>
      <c r="N1295" s="12">
        <v>0</v>
      </c>
      <c r="O1295" s="12">
        <v>0</v>
      </c>
      <c r="P1295" s="12">
        <v>0</v>
      </c>
      <c r="Q1295" s="12">
        <v>0</v>
      </c>
      <c r="R1295" s="12">
        <v>0</v>
      </c>
    </row>
    <row r="1296" spans="1:19" x14ac:dyDescent="0.25">
      <c r="A1296" s="13">
        <v>46010.624340277776</v>
      </c>
      <c r="B1296" t="s">
        <v>348</v>
      </c>
      <c r="C1296" t="s">
        <v>361</v>
      </c>
      <c r="D1296" t="s">
        <v>10</v>
      </c>
      <c r="E1296" t="s">
        <v>11</v>
      </c>
      <c r="F1296" t="s">
        <v>15</v>
      </c>
      <c r="G1296">
        <v>3</v>
      </c>
      <c r="H1296" s="12">
        <v>0</v>
      </c>
      <c r="I1296" s="12">
        <v>0</v>
      </c>
      <c r="J1296" s="12">
        <v>0</v>
      </c>
      <c r="K1296" s="12">
        <v>0</v>
      </c>
      <c r="L1296" s="12">
        <v>0</v>
      </c>
      <c r="M1296" s="12">
        <v>0</v>
      </c>
      <c r="N1296" s="12">
        <v>0</v>
      </c>
      <c r="O1296" s="12">
        <v>0</v>
      </c>
      <c r="P1296" s="12">
        <v>0</v>
      </c>
      <c r="Q1296" s="12">
        <v>0</v>
      </c>
      <c r="R1296" s="12">
        <v>1</v>
      </c>
      <c r="S1296" t="s">
        <v>325</v>
      </c>
    </row>
    <row r="1297" spans="1:19" x14ac:dyDescent="0.25">
      <c r="A1297" s="13">
        <v>46010.624571759261</v>
      </c>
      <c r="B1297" t="s">
        <v>348</v>
      </c>
      <c r="C1297" t="s">
        <v>361</v>
      </c>
      <c r="D1297" t="s">
        <v>10</v>
      </c>
      <c r="E1297" t="s">
        <v>11</v>
      </c>
      <c r="F1297" t="s">
        <v>15</v>
      </c>
      <c r="G1297">
        <v>3</v>
      </c>
      <c r="H1297" s="12">
        <v>0</v>
      </c>
      <c r="I1297" s="12">
        <v>0</v>
      </c>
      <c r="J1297" s="12">
        <v>0</v>
      </c>
      <c r="K1297" s="12">
        <v>0</v>
      </c>
      <c r="L1297" s="12">
        <v>0</v>
      </c>
      <c r="M1297" s="12">
        <v>0</v>
      </c>
      <c r="N1297" s="12">
        <v>0</v>
      </c>
      <c r="O1297" s="12">
        <v>0</v>
      </c>
      <c r="P1297" s="12">
        <v>1</v>
      </c>
      <c r="Q1297" s="12">
        <v>0</v>
      </c>
      <c r="R1297" s="12">
        <v>0</v>
      </c>
      <c r="S1297" t="s">
        <v>300</v>
      </c>
    </row>
    <row r="1298" spans="1:19" x14ac:dyDescent="0.25">
      <c r="A1298" s="13">
        <v>46010.624722222223</v>
      </c>
      <c r="B1298" t="s">
        <v>348</v>
      </c>
      <c r="C1298" t="s">
        <v>361</v>
      </c>
      <c r="D1298" t="s">
        <v>10</v>
      </c>
      <c r="E1298" t="s">
        <v>11</v>
      </c>
      <c r="F1298" t="s">
        <v>15</v>
      </c>
      <c r="G1298">
        <v>3</v>
      </c>
      <c r="H1298" s="12">
        <v>0</v>
      </c>
      <c r="I1298" s="12">
        <v>0</v>
      </c>
      <c r="J1298" s="12">
        <v>0</v>
      </c>
      <c r="K1298" s="12">
        <v>0</v>
      </c>
      <c r="L1298" s="12">
        <v>0</v>
      </c>
      <c r="M1298" s="12">
        <v>0</v>
      </c>
      <c r="N1298" s="12">
        <v>0</v>
      </c>
      <c r="O1298" s="12">
        <v>0</v>
      </c>
      <c r="P1298" s="12">
        <v>0</v>
      </c>
      <c r="Q1298" s="12">
        <v>0</v>
      </c>
      <c r="R1298" s="12">
        <v>1</v>
      </c>
      <c r="S1298" t="s">
        <v>326</v>
      </c>
    </row>
    <row r="1299" spans="1:19" x14ac:dyDescent="0.25">
      <c r="A1299" s="13">
        <v>46010.638136574074</v>
      </c>
      <c r="B1299" t="s">
        <v>349</v>
      </c>
      <c r="C1299" t="s">
        <v>361</v>
      </c>
      <c r="D1299" t="s">
        <v>20</v>
      </c>
      <c r="E1299" t="s">
        <v>11</v>
      </c>
      <c r="F1299" t="s">
        <v>12</v>
      </c>
      <c r="G1299">
        <v>10.5</v>
      </c>
      <c r="H1299" s="12">
        <v>0</v>
      </c>
      <c r="I1299" s="12">
        <v>1</v>
      </c>
      <c r="J1299" s="12">
        <v>0</v>
      </c>
      <c r="K1299" s="12">
        <v>1</v>
      </c>
      <c r="L1299" s="12">
        <v>0</v>
      </c>
      <c r="M1299" s="12">
        <v>0</v>
      </c>
      <c r="N1299" s="12">
        <v>0</v>
      </c>
      <c r="O1299" s="12">
        <v>0</v>
      </c>
      <c r="P1299" s="12">
        <v>0</v>
      </c>
      <c r="Q1299" s="12">
        <v>0</v>
      </c>
      <c r="R1299" s="12">
        <v>0</v>
      </c>
      <c r="S1299" t="s">
        <v>327</v>
      </c>
    </row>
    <row r="1300" spans="1:19" x14ac:dyDescent="0.25">
      <c r="A1300" s="13">
        <v>46010.65388888889</v>
      </c>
      <c r="B1300" t="s">
        <v>349</v>
      </c>
      <c r="C1300" t="s">
        <v>361</v>
      </c>
      <c r="D1300" t="s">
        <v>10</v>
      </c>
      <c r="E1300" t="s">
        <v>11</v>
      </c>
      <c r="F1300" t="s">
        <v>12</v>
      </c>
      <c r="G1300">
        <v>10.5</v>
      </c>
      <c r="H1300" s="12">
        <v>1</v>
      </c>
      <c r="I1300" s="12">
        <v>0</v>
      </c>
      <c r="J1300" s="12">
        <v>1</v>
      </c>
      <c r="K1300" s="12">
        <v>0</v>
      </c>
      <c r="L1300" s="12">
        <v>0</v>
      </c>
      <c r="M1300" s="12">
        <v>0</v>
      </c>
      <c r="N1300" s="12">
        <v>0</v>
      </c>
      <c r="O1300" s="12">
        <v>0</v>
      </c>
      <c r="P1300" s="12">
        <v>0</v>
      </c>
      <c r="Q1300" s="12">
        <v>0</v>
      </c>
      <c r="R1300" s="12">
        <v>0</v>
      </c>
    </row>
    <row r="1301" spans="1:19" x14ac:dyDescent="0.25">
      <c r="A1301" s="13">
        <v>46010.654166666667</v>
      </c>
      <c r="B1301" t="s">
        <v>349</v>
      </c>
      <c r="C1301" t="s">
        <v>361</v>
      </c>
      <c r="D1301" t="s">
        <v>10</v>
      </c>
      <c r="E1301" t="s">
        <v>11</v>
      </c>
      <c r="F1301" t="s">
        <v>14</v>
      </c>
      <c r="G1301">
        <v>0.5</v>
      </c>
      <c r="H1301" s="12">
        <v>0</v>
      </c>
      <c r="I1301" s="12">
        <v>0</v>
      </c>
      <c r="J1301" s="12">
        <v>0</v>
      </c>
      <c r="K1301" s="12">
        <v>0</v>
      </c>
      <c r="L1301" s="12">
        <v>0</v>
      </c>
      <c r="M1301" s="12">
        <v>0</v>
      </c>
      <c r="N1301" s="12">
        <v>0</v>
      </c>
      <c r="O1301" s="12">
        <v>0</v>
      </c>
      <c r="P1301" s="12">
        <v>0</v>
      </c>
      <c r="Q1301" s="12">
        <v>1</v>
      </c>
      <c r="R1301" s="12">
        <v>0</v>
      </c>
      <c r="S1301" t="s">
        <v>35</v>
      </c>
    </row>
    <row r="1302" spans="1:19" x14ac:dyDescent="0.25">
      <c r="A1302" s="13">
        <v>46013.51835648148</v>
      </c>
      <c r="B1302" t="s">
        <v>350</v>
      </c>
      <c r="C1302" t="s">
        <v>363</v>
      </c>
      <c r="D1302" t="s">
        <v>10</v>
      </c>
      <c r="E1302" t="s">
        <v>11</v>
      </c>
      <c r="F1302" t="s">
        <v>15</v>
      </c>
      <c r="G1302">
        <v>3</v>
      </c>
      <c r="H1302" s="12">
        <v>0</v>
      </c>
      <c r="I1302" s="12">
        <v>0</v>
      </c>
      <c r="J1302" s="12">
        <v>0</v>
      </c>
      <c r="K1302" s="12">
        <v>0</v>
      </c>
      <c r="L1302" s="12">
        <v>0</v>
      </c>
      <c r="M1302" s="12">
        <v>0</v>
      </c>
      <c r="N1302" s="12">
        <v>0</v>
      </c>
      <c r="O1302" s="12">
        <v>0</v>
      </c>
      <c r="P1302" s="12">
        <v>1</v>
      </c>
      <c r="Q1302" s="12">
        <v>0</v>
      </c>
      <c r="R1302" s="12">
        <v>0</v>
      </c>
    </row>
    <row r="1303" spans="1:19" x14ac:dyDescent="0.25">
      <c r="A1303" s="13">
        <v>46013.584166666667</v>
      </c>
      <c r="B1303" t="s">
        <v>348</v>
      </c>
      <c r="C1303" t="s">
        <v>363</v>
      </c>
      <c r="D1303" t="s">
        <v>10</v>
      </c>
      <c r="E1303" t="s">
        <v>11</v>
      </c>
      <c r="F1303" t="s">
        <v>15</v>
      </c>
      <c r="G1303">
        <v>3</v>
      </c>
      <c r="H1303" s="12">
        <v>1</v>
      </c>
      <c r="I1303" s="12">
        <v>0</v>
      </c>
      <c r="J1303" s="12">
        <v>1</v>
      </c>
      <c r="K1303" s="12">
        <v>0</v>
      </c>
      <c r="L1303" s="12">
        <v>0</v>
      </c>
      <c r="M1303" s="12">
        <v>0</v>
      </c>
      <c r="N1303" s="12">
        <v>0</v>
      </c>
      <c r="O1303" s="12">
        <v>0</v>
      </c>
      <c r="P1303" s="12">
        <v>0</v>
      </c>
      <c r="Q1303" s="12">
        <v>0</v>
      </c>
      <c r="R1303" s="12">
        <v>0</v>
      </c>
    </row>
    <row r="1304" spans="1:19" x14ac:dyDescent="0.25">
      <c r="A1304" s="13">
        <v>46013.655011574076</v>
      </c>
      <c r="B1304" t="s">
        <v>349</v>
      </c>
      <c r="C1304" t="s">
        <v>363</v>
      </c>
      <c r="D1304" t="s">
        <v>10</v>
      </c>
      <c r="E1304" t="s">
        <v>11</v>
      </c>
      <c r="F1304" t="s">
        <v>15</v>
      </c>
      <c r="G1304">
        <v>3</v>
      </c>
      <c r="H1304" s="12">
        <v>0</v>
      </c>
      <c r="I1304" s="12">
        <v>0</v>
      </c>
      <c r="J1304" s="12">
        <v>0</v>
      </c>
      <c r="K1304" s="12">
        <v>0</v>
      </c>
      <c r="L1304" s="12">
        <v>0</v>
      </c>
      <c r="M1304" s="12">
        <v>0</v>
      </c>
      <c r="N1304" s="12">
        <v>0</v>
      </c>
      <c r="O1304" s="12">
        <v>1</v>
      </c>
      <c r="P1304" s="12">
        <v>0</v>
      </c>
      <c r="Q1304" s="12">
        <v>0</v>
      </c>
      <c r="R1304" s="12">
        <v>0</v>
      </c>
    </row>
    <row r="1305" spans="1:19" x14ac:dyDescent="0.25">
      <c r="A1305" s="13">
        <v>46013.655115740738</v>
      </c>
      <c r="B1305" t="s">
        <v>349</v>
      </c>
      <c r="C1305" t="s">
        <v>363</v>
      </c>
      <c r="D1305" t="s">
        <v>10</v>
      </c>
      <c r="E1305" t="s">
        <v>11</v>
      </c>
      <c r="F1305" t="s">
        <v>15</v>
      </c>
      <c r="G1305">
        <v>3</v>
      </c>
      <c r="H1305" s="12">
        <v>0</v>
      </c>
      <c r="I1305" s="12">
        <v>0</v>
      </c>
      <c r="J1305" s="12">
        <v>0</v>
      </c>
      <c r="K1305" s="12">
        <v>0</v>
      </c>
      <c r="L1305" s="12">
        <v>0</v>
      </c>
      <c r="M1305" s="12">
        <v>0</v>
      </c>
      <c r="N1305" s="12">
        <v>0</v>
      </c>
      <c r="O1305" s="12">
        <v>0</v>
      </c>
      <c r="P1305" s="12">
        <v>1</v>
      </c>
      <c r="Q1305" s="12">
        <v>0</v>
      </c>
      <c r="R1305" s="12">
        <v>1</v>
      </c>
    </row>
    <row r="1306" spans="1:19" x14ac:dyDescent="0.25">
      <c r="A1306" s="13">
        <v>46013.683506944442</v>
      </c>
      <c r="B1306" t="s">
        <v>353</v>
      </c>
      <c r="C1306" t="s">
        <v>363</v>
      </c>
      <c r="D1306" t="s">
        <v>10</v>
      </c>
      <c r="E1306" t="s">
        <v>11</v>
      </c>
      <c r="F1306" t="s">
        <v>12</v>
      </c>
      <c r="G1306">
        <v>10.5</v>
      </c>
      <c r="H1306" s="12">
        <v>0</v>
      </c>
      <c r="I1306" s="12">
        <v>0</v>
      </c>
      <c r="J1306" s="12">
        <v>0</v>
      </c>
      <c r="K1306" s="12">
        <v>0</v>
      </c>
      <c r="L1306" s="12">
        <v>0</v>
      </c>
      <c r="M1306" s="12">
        <v>0</v>
      </c>
      <c r="N1306" s="12">
        <v>0</v>
      </c>
      <c r="O1306" s="12">
        <v>0</v>
      </c>
      <c r="P1306" s="12">
        <v>0</v>
      </c>
      <c r="Q1306" s="12">
        <v>0</v>
      </c>
      <c r="R1306" s="12">
        <v>1</v>
      </c>
      <c r="S1306" t="s">
        <v>328</v>
      </c>
    </row>
    <row r="1307" spans="1:19" x14ac:dyDescent="0.25">
      <c r="A1307" s="13">
        <v>46013.683796296296</v>
      </c>
      <c r="B1307" t="s">
        <v>353</v>
      </c>
      <c r="C1307" t="s">
        <v>363</v>
      </c>
      <c r="D1307" t="s">
        <v>10</v>
      </c>
      <c r="E1307" t="s">
        <v>11</v>
      </c>
      <c r="F1307" t="s">
        <v>15</v>
      </c>
      <c r="G1307">
        <v>3</v>
      </c>
      <c r="H1307" s="12">
        <v>0</v>
      </c>
      <c r="I1307" s="12">
        <v>0</v>
      </c>
      <c r="J1307" s="12">
        <v>0</v>
      </c>
      <c r="K1307" s="12">
        <v>0</v>
      </c>
      <c r="L1307" s="12">
        <v>0</v>
      </c>
      <c r="M1307" s="12">
        <v>0</v>
      </c>
      <c r="N1307" s="12">
        <v>0</v>
      </c>
      <c r="O1307" s="12">
        <v>0</v>
      </c>
      <c r="P1307" s="12">
        <v>0</v>
      </c>
      <c r="Q1307" s="12">
        <v>0</v>
      </c>
      <c r="R1307" s="12">
        <v>1</v>
      </c>
      <c r="S1307" t="s">
        <v>329</v>
      </c>
    </row>
    <row r="1308" spans="1:19" x14ac:dyDescent="0.25">
      <c r="A1308" s="13">
        <v>46013.700312499997</v>
      </c>
      <c r="B1308" t="s">
        <v>353</v>
      </c>
      <c r="C1308" t="s">
        <v>363</v>
      </c>
      <c r="D1308" t="s">
        <v>10</v>
      </c>
      <c r="E1308" t="s">
        <v>11</v>
      </c>
      <c r="F1308" t="s">
        <v>18</v>
      </c>
      <c r="G1308">
        <v>20</v>
      </c>
      <c r="H1308" s="12">
        <v>1</v>
      </c>
      <c r="I1308" s="12">
        <v>0</v>
      </c>
      <c r="J1308" s="12">
        <v>0</v>
      </c>
      <c r="K1308" s="12">
        <v>0</v>
      </c>
      <c r="L1308" s="12">
        <v>0</v>
      </c>
      <c r="M1308" s="12">
        <v>0</v>
      </c>
      <c r="N1308" s="12">
        <v>0</v>
      </c>
      <c r="O1308" s="12">
        <v>0</v>
      </c>
      <c r="P1308" s="12">
        <v>0</v>
      </c>
      <c r="Q1308" s="12">
        <v>0</v>
      </c>
      <c r="R1308" s="12">
        <v>0</v>
      </c>
      <c r="S1308" t="s">
        <v>330</v>
      </c>
    </row>
    <row r="1309" spans="1:19" x14ac:dyDescent="0.25">
      <c r="A1309" s="13">
        <v>46014.558217592596</v>
      </c>
      <c r="B1309" t="s">
        <v>351</v>
      </c>
      <c r="C1309" t="s">
        <v>358</v>
      </c>
      <c r="D1309" t="s">
        <v>10</v>
      </c>
      <c r="E1309" t="s">
        <v>11</v>
      </c>
      <c r="F1309" t="s">
        <v>14</v>
      </c>
      <c r="G1309">
        <v>0.5</v>
      </c>
      <c r="H1309" s="12">
        <v>0</v>
      </c>
      <c r="I1309" s="12">
        <v>0</v>
      </c>
      <c r="J1309" s="12">
        <v>0</v>
      </c>
      <c r="K1309" s="12">
        <v>0</v>
      </c>
      <c r="L1309" s="12">
        <v>0</v>
      </c>
      <c r="M1309" s="12">
        <v>0</v>
      </c>
      <c r="N1309" s="12">
        <v>0</v>
      </c>
      <c r="O1309" s="12">
        <v>0</v>
      </c>
      <c r="P1309" s="12">
        <v>0</v>
      </c>
      <c r="Q1309" s="12">
        <v>1</v>
      </c>
      <c r="R1309" s="12">
        <v>0</v>
      </c>
    </row>
    <row r="1310" spans="1:19" x14ac:dyDescent="0.25">
      <c r="A1310" s="13">
        <v>46014.569988425923</v>
      </c>
      <c r="B1310" t="s">
        <v>351</v>
      </c>
      <c r="C1310" t="s">
        <v>358</v>
      </c>
      <c r="D1310" t="s">
        <v>10</v>
      </c>
      <c r="E1310" t="s">
        <v>11</v>
      </c>
      <c r="F1310" t="s">
        <v>15</v>
      </c>
      <c r="G1310">
        <v>3</v>
      </c>
      <c r="H1310" s="12">
        <v>0</v>
      </c>
      <c r="I1310" s="12">
        <v>0</v>
      </c>
      <c r="J1310" s="12">
        <v>0</v>
      </c>
      <c r="K1310" s="12">
        <v>0</v>
      </c>
      <c r="L1310" s="12">
        <v>0</v>
      </c>
      <c r="M1310" s="12">
        <v>0</v>
      </c>
      <c r="N1310" s="12">
        <v>0</v>
      </c>
      <c r="O1310" s="12">
        <v>1</v>
      </c>
      <c r="P1310" s="12">
        <v>0</v>
      </c>
      <c r="Q1310" s="12">
        <v>0</v>
      </c>
      <c r="R1310" s="12">
        <v>0</v>
      </c>
    </row>
    <row r="1311" spans="1:19" x14ac:dyDescent="0.25">
      <c r="A1311" s="13">
        <v>46014.61241898148</v>
      </c>
      <c r="B1311" t="s">
        <v>348</v>
      </c>
      <c r="C1311" t="s">
        <v>358</v>
      </c>
      <c r="D1311" t="s">
        <v>10</v>
      </c>
      <c r="E1311" t="s">
        <v>11</v>
      </c>
      <c r="F1311" t="s">
        <v>14</v>
      </c>
      <c r="G1311">
        <v>0.5</v>
      </c>
      <c r="H1311" s="12">
        <v>0</v>
      </c>
      <c r="I1311" s="12">
        <v>0</v>
      </c>
      <c r="J1311" s="12">
        <v>0</v>
      </c>
      <c r="K1311" s="12">
        <v>0</v>
      </c>
      <c r="L1311" s="12">
        <v>0</v>
      </c>
      <c r="M1311" s="12">
        <v>0</v>
      </c>
      <c r="N1311" s="12">
        <v>0</v>
      </c>
      <c r="O1311" s="12">
        <v>0</v>
      </c>
      <c r="P1311" s="12">
        <v>0</v>
      </c>
      <c r="Q1311" s="12">
        <v>1</v>
      </c>
      <c r="R1311" s="12">
        <v>0</v>
      </c>
    </row>
    <row r="1312" spans="1:19" x14ac:dyDescent="0.25">
      <c r="A1312" s="13">
        <v>46014.623124999998</v>
      </c>
      <c r="B1312" t="s">
        <v>348</v>
      </c>
      <c r="C1312" t="s">
        <v>358</v>
      </c>
      <c r="D1312" t="s">
        <v>10</v>
      </c>
      <c r="E1312" t="s">
        <v>11</v>
      </c>
      <c r="F1312" t="s">
        <v>14</v>
      </c>
      <c r="G1312">
        <v>0.5</v>
      </c>
      <c r="H1312" s="12">
        <v>0</v>
      </c>
      <c r="I1312" s="12">
        <v>0</v>
      </c>
      <c r="J1312" s="12">
        <v>0</v>
      </c>
      <c r="K1312" s="12">
        <v>0</v>
      </c>
      <c r="L1312" s="12">
        <v>0</v>
      </c>
      <c r="M1312" s="12">
        <v>0</v>
      </c>
      <c r="N1312" s="12">
        <v>0</v>
      </c>
      <c r="O1312" s="12">
        <v>0</v>
      </c>
      <c r="P1312" s="12">
        <v>0</v>
      </c>
      <c r="Q1312" s="12">
        <v>1</v>
      </c>
      <c r="R1312" s="12">
        <v>0</v>
      </c>
    </row>
    <row r="1313" spans="1:19" x14ac:dyDescent="0.25">
      <c r="A1313" s="13">
        <v>46015.379803240743</v>
      </c>
      <c r="B1313" t="s">
        <v>352</v>
      </c>
      <c r="C1313" t="s">
        <v>359</v>
      </c>
      <c r="D1313" t="s">
        <v>10</v>
      </c>
      <c r="E1313" t="s">
        <v>11</v>
      </c>
      <c r="F1313" t="s">
        <v>14</v>
      </c>
      <c r="G1313">
        <v>0.5</v>
      </c>
      <c r="H1313" s="12">
        <v>0</v>
      </c>
      <c r="I1313" s="12">
        <v>0</v>
      </c>
      <c r="J1313" s="12">
        <v>0</v>
      </c>
      <c r="K1313" s="12">
        <v>0</v>
      </c>
      <c r="L1313" s="12">
        <v>0</v>
      </c>
      <c r="M1313" s="12">
        <v>0</v>
      </c>
      <c r="N1313" s="12">
        <v>0</v>
      </c>
      <c r="O1313" s="12">
        <v>0</v>
      </c>
      <c r="P1313" s="12">
        <v>0</v>
      </c>
      <c r="Q1313" s="12">
        <v>1</v>
      </c>
      <c r="R1313" s="12">
        <v>0</v>
      </c>
    </row>
    <row r="1314" spans="1:19" x14ac:dyDescent="0.25">
      <c r="A1314" s="13">
        <v>46015.385069444441</v>
      </c>
      <c r="B1314" t="s">
        <v>352</v>
      </c>
      <c r="C1314" t="s">
        <v>359</v>
      </c>
      <c r="D1314" t="s">
        <v>10</v>
      </c>
      <c r="E1314" t="s">
        <v>11</v>
      </c>
      <c r="F1314" t="s">
        <v>14</v>
      </c>
      <c r="G1314">
        <v>0.5</v>
      </c>
      <c r="H1314" s="12">
        <v>0</v>
      </c>
      <c r="I1314" s="12">
        <v>0</v>
      </c>
      <c r="J1314" s="12">
        <v>0</v>
      </c>
      <c r="K1314" s="12">
        <v>0</v>
      </c>
      <c r="L1314" s="12">
        <v>0</v>
      </c>
      <c r="M1314" s="12">
        <v>0</v>
      </c>
      <c r="N1314" s="12">
        <v>0</v>
      </c>
      <c r="O1314" s="12">
        <v>0</v>
      </c>
      <c r="P1314" s="12">
        <v>0</v>
      </c>
      <c r="Q1314" s="12">
        <v>1</v>
      </c>
      <c r="R1314" s="12">
        <v>0</v>
      </c>
    </row>
    <row r="1315" spans="1:19" x14ac:dyDescent="0.25">
      <c r="A1315" s="13">
        <v>46015.415138888886</v>
      </c>
      <c r="B1315" t="s">
        <v>352</v>
      </c>
      <c r="C1315" t="s">
        <v>359</v>
      </c>
      <c r="D1315" t="s">
        <v>10</v>
      </c>
      <c r="E1315" t="s">
        <v>11</v>
      </c>
      <c r="F1315" t="s">
        <v>15</v>
      </c>
      <c r="G1315">
        <v>3</v>
      </c>
      <c r="H1315" s="12">
        <v>0</v>
      </c>
      <c r="I1315" s="12">
        <v>0</v>
      </c>
      <c r="J1315" s="12">
        <v>0</v>
      </c>
      <c r="K1315" s="12">
        <v>0</v>
      </c>
      <c r="L1315" s="12">
        <v>0</v>
      </c>
      <c r="M1315" s="12">
        <v>0</v>
      </c>
      <c r="N1315" s="12">
        <v>0</v>
      </c>
      <c r="O1315" s="12">
        <v>0</v>
      </c>
      <c r="P1315" s="12">
        <v>1</v>
      </c>
      <c r="Q1315" s="12">
        <v>0</v>
      </c>
      <c r="R1315" s="12">
        <v>0</v>
      </c>
    </row>
    <row r="1316" spans="1:19" x14ac:dyDescent="0.25">
      <c r="A1316" s="13">
        <v>46015.514421296299</v>
      </c>
      <c r="B1316" t="s">
        <v>350</v>
      </c>
      <c r="C1316" t="s">
        <v>359</v>
      </c>
      <c r="D1316" t="s">
        <v>10</v>
      </c>
      <c r="E1316" t="s">
        <v>11</v>
      </c>
      <c r="F1316" t="s">
        <v>14</v>
      </c>
      <c r="G1316">
        <v>0.5</v>
      </c>
      <c r="H1316" s="12">
        <v>0</v>
      </c>
      <c r="I1316" s="12">
        <v>0</v>
      </c>
      <c r="J1316" s="12">
        <v>0</v>
      </c>
      <c r="K1316" s="12">
        <v>0</v>
      </c>
      <c r="L1316" s="12">
        <v>0</v>
      </c>
      <c r="M1316" s="12">
        <v>0</v>
      </c>
      <c r="N1316" s="12">
        <v>0</v>
      </c>
      <c r="O1316" s="12">
        <v>0</v>
      </c>
      <c r="P1316" s="12">
        <v>0</v>
      </c>
      <c r="Q1316" s="12">
        <v>1</v>
      </c>
      <c r="R1316" s="12">
        <v>0</v>
      </c>
    </row>
    <row r="1317" spans="1:19" x14ac:dyDescent="0.25">
      <c r="A1317" s="13">
        <v>46015.540081018517</v>
      </c>
      <c r="B1317" t="s">
        <v>350</v>
      </c>
      <c r="C1317" t="s">
        <v>359</v>
      </c>
      <c r="D1317" t="s">
        <v>10</v>
      </c>
      <c r="E1317" t="s">
        <v>11</v>
      </c>
      <c r="F1317" t="s">
        <v>14</v>
      </c>
      <c r="G1317">
        <v>0.5</v>
      </c>
      <c r="H1317" s="12">
        <v>0</v>
      </c>
      <c r="I1317" s="12">
        <v>0</v>
      </c>
      <c r="J1317" s="12">
        <v>0</v>
      </c>
      <c r="K1317" s="12">
        <v>0</v>
      </c>
      <c r="L1317" s="12">
        <v>0</v>
      </c>
      <c r="M1317" s="12">
        <v>0</v>
      </c>
      <c r="N1317" s="12">
        <v>1</v>
      </c>
      <c r="O1317" s="12">
        <v>0</v>
      </c>
      <c r="P1317" s="12">
        <v>0</v>
      </c>
      <c r="Q1317" s="12">
        <v>0</v>
      </c>
      <c r="R1317" s="12">
        <v>0</v>
      </c>
    </row>
    <row r="1318" spans="1:19" x14ac:dyDescent="0.25">
      <c r="A1318" s="13">
        <v>46015.587187500001</v>
      </c>
      <c r="B1318" t="s">
        <v>348</v>
      </c>
      <c r="C1318" t="s">
        <v>359</v>
      </c>
      <c r="D1318" t="s">
        <v>10</v>
      </c>
      <c r="E1318" t="s">
        <v>11</v>
      </c>
      <c r="F1318" t="s">
        <v>14</v>
      </c>
      <c r="G1318">
        <v>0.5</v>
      </c>
      <c r="H1318" s="12">
        <v>0</v>
      </c>
      <c r="I1318" s="12">
        <v>0</v>
      </c>
      <c r="J1318" s="12">
        <v>0</v>
      </c>
      <c r="K1318" s="12">
        <v>0</v>
      </c>
      <c r="L1318" s="12">
        <v>0</v>
      </c>
      <c r="M1318" s="12">
        <v>0</v>
      </c>
      <c r="N1318" s="12">
        <v>0</v>
      </c>
      <c r="O1318" s="12">
        <v>0</v>
      </c>
      <c r="P1318" s="12">
        <v>1</v>
      </c>
      <c r="Q1318" s="12">
        <v>0</v>
      </c>
      <c r="R1318" s="12">
        <v>0</v>
      </c>
    </row>
    <row r="1319" spans="1:19" x14ac:dyDescent="0.25">
      <c r="A1319" s="13">
        <v>46015.606944444444</v>
      </c>
      <c r="B1319" t="s">
        <v>348</v>
      </c>
      <c r="C1319" t="s">
        <v>359</v>
      </c>
      <c r="D1319" t="s">
        <v>20</v>
      </c>
      <c r="E1319" t="s">
        <v>11</v>
      </c>
      <c r="F1319" t="s">
        <v>15</v>
      </c>
      <c r="G1319">
        <v>3</v>
      </c>
      <c r="H1319" s="12">
        <v>0</v>
      </c>
      <c r="I1319" s="12">
        <v>0</v>
      </c>
      <c r="J1319" s="12">
        <v>0</v>
      </c>
      <c r="K1319" s="12">
        <v>0</v>
      </c>
      <c r="L1319" s="12">
        <v>0</v>
      </c>
      <c r="M1319" s="12">
        <v>0</v>
      </c>
      <c r="N1319" s="12">
        <v>0</v>
      </c>
      <c r="O1319" s="12">
        <v>0</v>
      </c>
      <c r="P1319" s="12">
        <v>0</v>
      </c>
      <c r="Q1319" s="12">
        <v>0</v>
      </c>
      <c r="R1319" s="12">
        <v>0</v>
      </c>
      <c r="S1319" t="s">
        <v>331</v>
      </c>
    </row>
    <row r="1320" spans="1:19" x14ac:dyDescent="0.25">
      <c r="A1320" s="13">
        <v>46015.618171296293</v>
      </c>
      <c r="B1320" t="s">
        <v>348</v>
      </c>
      <c r="C1320" t="s">
        <v>359</v>
      </c>
      <c r="D1320" t="s">
        <v>10</v>
      </c>
      <c r="E1320" t="s">
        <v>11</v>
      </c>
      <c r="F1320" t="s">
        <v>14</v>
      </c>
      <c r="G1320">
        <v>0.5</v>
      </c>
      <c r="H1320" s="12">
        <v>0</v>
      </c>
      <c r="I1320" s="12">
        <v>0</v>
      </c>
      <c r="J1320" s="12">
        <v>0</v>
      </c>
      <c r="K1320" s="12">
        <v>0</v>
      </c>
      <c r="L1320" s="12">
        <v>0</v>
      </c>
      <c r="M1320" s="12">
        <v>0</v>
      </c>
      <c r="N1320" s="12">
        <v>0</v>
      </c>
      <c r="O1320" s="12">
        <v>0</v>
      </c>
      <c r="P1320" s="12">
        <v>1</v>
      </c>
      <c r="Q1320" s="12">
        <v>0</v>
      </c>
      <c r="R1320" s="12">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7CD2C-E184-4AB5-B61C-F7B04A4A40DA}">
  <sheetPr codeName="Feuil5">
    <tabColor rgb="FF0070C0"/>
  </sheetPr>
  <dimension ref="B1:AF154"/>
  <sheetViews>
    <sheetView workbookViewId="0">
      <selection activeCell="Q141" sqref="Q141"/>
    </sheetView>
  </sheetViews>
  <sheetFormatPr baseColWidth="10" defaultColWidth="15.140625" defaultRowHeight="15" x14ac:dyDescent="0.25"/>
  <cols>
    <col min="3" max="3" width="24.140625" bestFit="1" customWidth="1"/>
    <col min="4" max="4" width="15.42578125" bestFit="1" customWidth="1"/>
    <col min="5" max="5" width="13" bestFit="1" customWidth="1"/>
    <col min="6" max="6" width="12.5703125" bestFit="1" customWidth="1"/>
    <col min="7" max="7" width="13.42578125" bestFit="1" customWidth="1"/>
    <col min="8" max="8" width="8.85546875" bestFit="1" customWidth="1"/>
    <col min="9" max="9" width="24.140625" bestFit="1" customWidth="1"/>
    <col min="10" max="10" width="20.140625" bestFit="1" customWidth="1"/>
    <col min="11" max="11" width="12.5703125" bestFit="1" customWidth="1"/>
    <col min="12" max="12" width="10.7109375" bestFit="1" customWidth="1"/>
    <col min="13" max="13" width="13.42578125" bestFit="1" customWidth="1"/>
    <col min="14" max="14" width="12.85546875" bestFit="1" customWidth="1"/>
    <col min="15" max="15" width="13" bestFit="1" customWidth="1"/>
    <col min="16" max="16" width="12.5703125" bestFit="1" customWidth="1"/>
    <col min="17" max="17" width="24.5703125" bestFit="1" customWidth="1"/>
    <col min="18" max="18" width="23.28515625" bestFit="1" customWidth="1"/>
    <col min="19" max="19" width="15.42578125" bestFit="1" customWidth="1"/>
    <col min="23" max="23" width="24.140625" bestFit="1" customWidth="1"/>
    <col min="24" max="24" width="50.28515625" bestFit="1" customWidth="1"/>
    <col min="25" max="25" width="13" bestFit="1" customWidth="1"/>
    <col min="26" max="26" width="12.5703125" bestFit="1" customWidth="1"/>
    <col min="30" max="30" width="21.85546875" bestFit="1" customWidth="1"/>
    <col min="32" max="32" width="21.85546875" bestFit="1" customWidth="1"/>
  </cols>
  <sheetData>
    <row r="1" spans="2:32" ht="24" customHeight="1" x14ac:dyDescent="0.25">
      <c r="D1" s="128" t="s">
        <v>366</v>
      </c>
      <c r="E1" s="129"/>
      <c r="G1" s="128" t="s">
        <v>367</v>
      </c>
      <c r="H1" s="129"/>
      <c r="J1" s="128" t="s">
        <v>368</v>
      </c>
      <c r="K1" s="129"/>
    </row>
    <row r="2" spans="2:32" ht="24" customHeight="1" thickBot="1" x14ac:dyDescent="0.3">
      <c r="D2" s="130"/>
      <c r="E2" s="131"/>
      <c r="G2" s="130"/>
      <c r="H2" s="131"/>
      <c r="J2" s="130"/>
      <c r="K2" s="131"/>
    </row>
    <row r="3" spans="2:32" x14ac:dyDescent="0.25">
      <c r="D3" s="132">
        <f>GETPIVOTDATA("horodatage",$AD$3)</f>
        <v>1319</v>
      </c>
      <c r="E3" s="133"/>
      <c r="G3" s="136">
        <f>$D$3/252</f>
        <v>5.2341269841269842</v>
      </c>
      <c r="H3" s="137"/>
      <c r="J3" s="132">
        <f>GETPIVOTDATA("horodatage",$AF$3)</f>
        <v>1471</v>
      </c>
      <c r="K3" s="133"/>
      <c r="AD3" t="s">
        <v>369</v>
      </c>
      <c r="AF3" t="s">
        <v>369</v>
      </c>
    </row>
    <row r="4" spans="2:32" ht="15.75" thickBot="1" x14ac:dyDescent="0.3">
      <c r="D4" s="134"/>
      <c r="E4" s="135"/>
      <c r="G4" s="138"/>
      <c r="H4" s="139"/>
      <c r="J4" s="134"/>
      <c r="K4" s="135"/>
      <c r="AD4" s="1">
        <v>1319</v>
      </c>
      <c r="AF4" s="1">
        <v>1471</v>
      </c>
    </row>
    <row r="6" spans="2:32" ht="15.75" thickBot="1" x14ac:dyDescent="0.3"/>
    <row r="7" spans="2:32" ht="15.75" thickBot="1" x14ac:dyDescent="0.3">
      <c r="B7" s="14"/>
      <c r="C7" s="15"/>
      <c r="D7" s="15"/>
      <c r="E7" s="15"/>
      <c r="F7" s="15"/>
      <c r="G7" s="15"/>
      <c r="H7" s="15"/>
      <c r="I7" s="15"/>
      <c r="J7" s="15"/>
      <c r="K7" s="15"/>
      <c r="L7" s="15"/>
      <c r="M7" s="15"/>
      <c r="N7" s="15"/>
      <c r="O7" s="15"/>
      <c r="P7" s="15"/>
      <c r="Q7" s="15"/>
      <c r="R7" s="15"/>
      <c r="S7" s="15"/>
      <c r="T7" s="16"/>
    </row>
    <row r="8" spans="2:32" x14ac:dyDescent="0.25">
      <c r="B8" s="17"/>
      <c r="C8" s="112" t="s">
        <v>370</v>
      </c>
      <c r="D8" s="113"/>
      <c r="E8" s="114"/>
      <c r="F8" s="23"/>
      <c r="G8" s="23"/>
      <c r="H8" s="23"/>
      <c r="I8" s="23"/>
      <c r="J8" s="23"/>
      <c r="K8" s="23"/>
      <c r="L8" s="23"/>
      <c r="M8" s="23"/>
      <c r="N8" s="23"/>
      <c r="O8" s="23"/>
      <c r="P8" s="23"/>
      <c r="Q8" s="23"/>
      <c r="R8" s="23"/>
      <c r="S8" s="23"/>
      <c r="T8" s="18"/>
    </row>
    <row r="9" spans="2:32" ht="15.75" thickBot="1" x14ac:dyDescent="0.3">
      <c r="B9" s="17"/>
      <c r="C9" s="115"/>
      <c r="D9" s="116"/>
      <c r="E9" s="117"/>
      <c r="F9" s="23"/>
      <c r="G9" s="23"/>
      <c r="H9" s="23"/>
      <c r="I9" s="23"/>
      <c r="J9" s="23"/>
      <c r="K9" s="23"/>
      <c r="L9" s="23"/>
      <c r="M9" s="23"/>
      <c r="N9" s="23"/>
      <c r="O9" s="23"/>
      <c r="P9" s="23"/>
      <c r="Q9" s="23"/>
      <c r="R9" s="23"/>
      <c r="S9" s="23"/>
      <c r="T9" s="18"/>
    </row>
    <row r="10" spans="2:32" ht="21" x14ac:dyDescent="0.25">
      <c r="B10" s="17"/>
      <c r="C10" s="24"/>
      <c r="D10" s="24"/>
      <c r="E10" s="24"/>
      <c r="F10" s="23"/>
      <c r="G10" s="23"/>
      <c r="H10" s="23"/>
      <c r="I10" s="23"/>
      <c r="J10" s="23"/>
      <c r="K10" s="23"/>
      <c r="L10" s="23"/>
      <c r="M10" s="23"/>
      <c r="N10" s="23"/>
      <c r="O10" s="23"/>
      <c r="P10" s="23"/>
      <c r="Q10" s="23"/>
      <c r="R10" s="23"/>
      <c r="S10" s="23"/>
      <c r="T10" s="18"/>
    </row>
    <row r="11" spans="2:32" ht="15.75" thickBot="1" x14ac:dyDescent="0.3">
      <c r="B11" s="17"/>
      <c r="C11" s="23"/>
      <c r="D11" s="23"/>
      <c r="E11" s="23"/>
      <c r="F11" s="23"/>
      <c r="G11" s="23"/>
      <c r="H11" s="23"/>
      <c r="I11" s="23"/>
      <c r="J11" s="23"/>
      <c r="K11" s="23"/>
      <c r="L11" s="23"/>
      <c r="M11" s="23"/>
      <c r="N11" s="23"/>
      <c r="O11" s="23"/>
      <c r="P11" s="23"/>
      <c r="Q11" s="23"/>
      <c r="R11" s="23"/>
      <c r="S11" s="23"/>
      <c r="T11" s="18"/>
    </row>
    <row r="12" spans="2:32" ht="24.75" customHeight="1" x14ac:dyDescent="0.25">
      <c r="B12" s="17"/>
      <c r="C12" s="118" t="s">
        <v>371</v>
      </c>
      <c r="D12" s="119"/>
      <c r="E12" s="23"/>
      <c r="F12" s="23"/>
      <c r="G12" s="23"/>
      <c r="H12" s="23"/>
      <c r="I12" s="23"/>
      <c r="J12" s="23"/>
      <c r="K12" s="23"/>
      <c r="L12" s="23"/>
      <c r="M12" s="23"/>
      <c r="N12" s="23"/>
      <c r="O12" s="23"/>
      <c r="P12" s="23"/>
      <c r="Q12" s="23"/>
      <c r="R12" s="23"/>
      <c r="S12" s="23"/>
      <c r="T12" s="18"/>
    </row>
    <row r="13" spans="2:32" ht="24.75" customHeight="1" thickBot="1" x14ac:dyDescent="0.3">
      <c r="B13" s="17"/>
      <c r="C13" s="120"/>
      <c r="D13" s="121"/>
      <c r="E13" s="23"/>
      <c r="F13" s="23"/>
      <c r="G13" s="23"/>
      <c r="H13" s="23"/>
      <c r="I13" s="23"/>
      <c r="J13" s="23"/>
      <c r="K13" s="23"/>
      <c r="L13" s="23"/>
      <c r="M13" s="23"/>
      <c r="N13" s="23"/>
      <c r="O13" s="23"/>
      <c r="P13" s="23"/>
      <c r="Q13" s="23"/>
      <c r="R13" s="23"/>
      <c r="S13" s="23"/>
      <c r="T13" s="18"/>
    </row>
    <row r="14" spans="2:32" x14ac:dyDescent="0.25">
      <c r="B14" s="17"/>
      <c r="C14" s="23"/>
      <c r="D14" s="23"/>
      <c r="E14" s="23"/>
      <c r="F14" s="23"/>
      <c r="G14" s="23"/>
      <c r="H14" s="23"/>
      <c r="I14" s="23"/>
      <c r="J14" s="23"/>
      <c r="K14" s="23"/>
      <c r="L14" s="23"/>
      <c r="M14" s="23"/>
      <c r="N14" s="23"/>
      <c r="O14" s="23"/>
      <c r="P14" s="23"/>
      <c r="Q14" s="23"/>
      <c r="R14" s="23"/>
      <c r="S14" s="23"/>
      <c r="T14" s="18"/>
    </row>
    <row r="15" spans="2:32" ht="15.75" thickBot="1" x14ac:dyDescent="0.3">
      <c r="B15" s="17"/>
      <c r="C15" s="29" t="s">
        <v>372</v>
      </c>
      <c r="D15" s="29" t="s">
        <v>373</v>
      </c>
      <c r="E15" s="30"/>
      <c r="F15" s="30"/>
      <c r="G15" s="30"/>
      <c r="H15" s="30"/>
      <c r="I15" s="31"/>
      <c r="P15" s="23"/>
      <c r="Q15" s="23"/>
      <c r="R15" s="23"/>
      <c r="S15" s="23"/>
      <c r="T15" s="18"/>
    </row>
    <row r="16" spans="2:32" ht="15.75" thickBot="1" x14ac:dyDescent="0.3">
      <c r="B16" s="17"/>
      <c r="C16" s="29" t="s">
        <v>374</v>
      </c>
      <c r="D16" s="30" t="s">
        <v>375</v>
      </c>
      <c r="E16" s="30" t="s">
        <v>376</v>
      </c>
      <c r="F16" s="30" t="s">
        <v>377</v>
      </c>
      <c r="G16" s="30" t="s">
        <v>378</v>
      </c>
      <c r="H16" s="30" t="s">
        <v>379</v>
      </c>
      <c r="I16" s="31" t="s">
        <v>380</v>
      </c>
      <c r="P16" s="23"/>
      <c r="Q16" s="23"/>
      <c r="R16" s="23"/>
      <c r="S16" s="23"/>
      <c r="T16" s="18"/>
    </row>
    <row r="17" spans="2:20" x14ac:dyDescent="0.25">
      <c r="B17" s="17"/>
      <c r="C17" s="32" t="s">
        <v>345</v>
      </c>
      <c r="D17" s="19">
        <v>0.13372093023255813</v>
      </c>
      <c r="E17" s="19">
        <v>0.19767441860465115</v>
      </c>
      <c r="F17" s="19">
        <v>0.11046511627906977</v>
      </c>
      <c r="G17" s="19">
        <v>0.19186046511627908</v>
      </c>
      <c r="H17" s="19">
        <v>0.18604651162790697</v>
      </c>
      <c r="I17" s="26">
        <v>0.18023255813953487</v>
      </c>
      <c r="P17" s="23"/>
      <c r="Q17" s="23"/>
      <c r="R17" s="23"/>
      <c r="S17" s="23"/>
      <c r="T17" s="18"/>
    </row>
    <row r="18" spans="2:20" x14ac:dyDescent="0.25">
      <c r="B18" s="17"/>
      <c r="C18" s="32" t="s">
        <v>342</v>
      </c>
      <c r="D18" s="19">
        <v>0.12179487179487179</v>
      </c>
      <c r="E18" s="19">
        <v>0.17948717948717949</v>
      </c>
      <c r="F18" s="19">
        <v>0.27564102564102566</v>
      </c>
      <c r="G18" s="19">
        <v>0.16666666666666666</v>
      </c>
      <c r="H18" s="19">
        <v>0.12820512820512819</v>
      </c>
      <c r="I18" s="26">
        <v>0.12820512820512819</v>
      </c>
      <c r="P18" s="23"/>
      <c r="Q18" s="23"/>
      <c r="R18" s="23"/>
      <c r="S18" s="23"/>
      <c r="T18" s="18"/>
    </row>
    <row r="19" spans="2:20" x14ac:dyDescent="0.25">
      <c r="B19" s="17"/>
      <c r="C19" s="32" t="s">
        <v>340</v>
      </c>
      <c r="D19" s="19">
        <v>0.12616822429906541</v>
      </c>
      <c r="E19" s="19">
        <v>0.22897196261682243</v>
      </c>
      <c r="F19" s="19">
        <v>0.1542056074766355</v>
      </c>
      <c r="G19" s="19">
        <v>0.22897196261682243</v>
      </c>
      <c r="H19" s="19">
        <v>0.14953271028037382</v>
      </c>
      <c r="I19" s="26">
        <v>0.11214953271028037</v>
      </c>
      <c r="P19" s="23"/>
      <c r="Q19" s="23"/>
      <c r="R19" s="23"/>
      <c r="S19" s="23"/>
      <c r="T19" s="18"/>
    </row>
    <row r="20" spans="2:20" x14ac:dyDescent="0.25">
      <c r="B20" s="17"/>
      <c r="C20" s="32" t="s">
        <v>343</v>
      </c>
      <c r="D20" s="19">
        <v>0.15246636771300448</v>
      </c>
      <c r="E20" s="19">
        <v>0.14798206278026907</v>
      </c>
      <c r="F20" s="19">
        <v>0.14798206278026907</v>
      </c>
      <c r="G20" s="19">
        <v>0.19282511210762332</v>
      </c>
      <c r="H20" s="19">
        <v>0.17937219730941703</v>
      </c>
      <c r="I20" s="26">
        <v>0.17937219730941703</v>
      </c>
      <c r="P20" s="23"/>
      <c r="Q20" s="23"/>
      <c r="R20" s="23"/>
      <c r="S20" s="23"/>
      <c r="T20" s="18"/>
    </row>
    <row r="21" spans="2:20" x14ac:dyDescent="0.25">
      <c r="B21" s="17"/>
      <c r="C21" s="32" t="s">
        <v>341</v>
      </c>
      <c r="D21" s="19">
        <v>0.19672131147540983</v>
      </c>
      <c r="E21" s="19">
        <v>0.22950819672131148</v>
      </c>
      <c r="F21" s="19">
        <v>0.22131147540983606</v>
      </c>
      <c r="G21" s="19">
        <v>0.18852459016393441</v>
      </c>
      <c r="H21" s="19">
        <v>0.10655737704918032</v>
      </c>
      <c r="I21" s="26">
        <v>5.737704918032787E-2</v>
      </c>
      <c r="P21" s="23"/>
      <c r="Q21" s="23"/>
      <c r="R21" s="23"/>
      <c r="S21" s="23"/>
      <c r="T21" s="18"/>
    </row>
    <row r="22" spans="2:20" x14ac:dyDescent="0.25">
      <c r="B22" s="17"/>
      <c r="C22" s="32" t="s">
        <v>344</v>
      </c>
      <c r="D22" s="19">
        <v>0.15104166666666666</v>
      </c>
      <c r="E22" s="19">
        <v>0.19270833333333334</v>
      </c>
      <c r="F22" s="19">
        <v>0.140625</v>
      </c>
      <c r="G22" s="19">
        <v>0.22395833333333334</v>
      </c>
      <c r="H22" s="19">
        <v>0.140625</v>
      </c>
      <c r="I22" s="26">
        <v>0.15104166666666666</v>
      </c>
      <c r="P22" s="23"/>
      <c r="Q22" s="23"/>
      <c r="R22" s="23"/>
      <c r="S22" s="23"/>
      <c r="T22" s="18"/>
    </row>
    <row r="23" spans="2:20" x14ac:dyDescent="0.25">
      <c r="B23" s="17"/>
      <c r="C23" s="32" t="s">
        <v>106</v>
      </c>
      <c r="D23" s="19">
        <v>0.19178082191780821</v>
      </c>
      <c r="E23" s="19">
        <v>5.4794520547945202E-2</v>
      </c>
      <c r="F23" s="19">
        <v>0.15068493150684931</v>
      </c>
      <c r="G23" s="19">
        <v>0.21917808219178081</v>
      </c>
      <c r="H23" s="19">
        <v>0.17808219178082191</v>
      </c>
      <c r="I23" s="26">
        <v>0.20547945205479451</v>
      </c>
      <c r="P23" s="23"/>
      <c r="Q23" s="23"/>
      <c r="R23" s="23"/>
      <c r="S23" s="23"/>
      <c r="T23" s="18"/>
    </row>
    <row r="24" spans="2:20" x14ac:dyDescent="0.25">
      <c r="B24" s="17"/>
      <c r="C24" s="32" t="s">
        <v>336</v>
      </c>
      <c r="D24" s="19">
        <v>0.124</v>
      </c>
      <c r="E24" s="19">
        <v>0.14399999999999999</v>
      </c>
      <c r="F24" s="19">
        <v>0.188</v>
      </c>
      <c r="G24" s="19">
        <v>0.192</v>
      </c>
      <c r="H24" s="19">
        <v>0.192</v>
      </c>
      <c r="I24" s="26">
        <v>0.16</v>
      </c>
      <c r="P24" s="23"/>
      <c r="Q24" s="23"/>
      <c r="R24" s="23"/>
      <c r="S24" s="23"/>
      <c r="T24" s="18"/>
    </row>
    <row r="25" spans="2:20" ht="15.75" thickBot="1" x14ac:dyDescent="0.3">
      <c r="B25" s="17"/>
      <c r="C25" s="33" t="s">
        <v>337</v>
      </c>
      <c r="D25" s="19">
        <v>0.21739130434782608</v>
      </c>
      <c r="E25" s="19">
        <v>0.20289855072463769</v>
      </c>
      <c r="F25" s="19">
        <v>0.15942028985507245</v>
      </c>
      <c r="G25" s="19">
        <v>0.18840579710144928</v>
      </c>
      <c r="H25" s="19">
        <v>0.13043478260869565</v>
      </c>
      <c r="I25" s="26">
        <v>0.10144927536231885</v>
      </c>
      <c r="P25" s="23"/>
      <c r="Q25" s="23"/>
      <c r="R25" s="23"/>
      <c r="S25" s="23"/>
      <c r="T25" s="18"/>
    </row>
    <row r="26" spans="2:20" ht="15.75" thickBot="1" x14ac:dyDescent="0.3">
      <c r="B26" s="17"/>
      <c r="C26" s="33" t="s">
        <v>381</v>
      </c>
      <c r="D26" s="27">
        <v>0.14683888511216858</v>
      </c>
      <c r="E26" s="27">
        <v>0.17878993881713121</v>
      </c>
      <c r="F26" s="27">
        <v>0.17063222297756628</v>
      </c>
      <c r="G26" s="27">
        <v>0.19986403806934058</v>
      </c>
      <c r="H26" s="27">
        <v>0.15907545887151597</v>
      </c>
      <c r="I26" s="28">
        <v>0.14479945615227735</v>
      </c>
      <c r="P26" s="23"/>
      <c r="Q26" s="23"/>
      <c r="R26" s="23"/>
      <c r="S26" s="23"/>
      <c r="T26" s="18"/>
    </row>
    <row r="27" spans="2:20" x14ac:dyDescent="0.25">
      <c r="B27" s="17"/>
      <c r="C27" s="23"/>
      <c r="D27" s="23"/>
      <c r="E27" s="23"/>
      <c r="F27" s="23"/>
      <c r="G27" s="23"/>
      <c r="H27" s="23"/>
      <c r="I27" s="23"/>
      <c r="J27" s="23"/>
      <c r="K27" s="23"/>
      <c r="L27" s="23"/>
      <c r="M27" s="23"/>
      <c r="N27" s="23"/>
      <c r="O27" s="23"/>
      <c r="P27" s="23"/>
      <c r="Q27" s="23"/>
      <c r="R27" s="23"/>
      <c r="S27" s="23"/>
      <c r="T27" s="18"/>
    </row>
    <row r="28" spans="2:20" ht="15.75" thickBot="1" x14ac:dyDescent="0.3">
      <c r="B28" s="17"/>
      <c r="C28" s="23"/>
      <c r="D28" s="23"/>
      <c r="E28" s="23"/>
      <c r="F28" s="23"/>
      <c r="G28" s="23"/>
      <c r="H28" s="23"/>
      <c r="I28" s="23"/>
      <c r="J28" s="23"/>
      <c r="K28" s="23"/>
      <c r="L28" s="23"/>
      <c r="M28" s="23"/>
      <c r="N28" s="23"/>
      <c r="O28" s="23"/>
      <c r="P28" s="23"/>
      <c r="Q28" s="23"/>
      <c r="R28" s="23"/>
      <c r="S28" s="23"/>
      <c r="T28" s="18"/>
    </row>
    <row r="29" spans="2:20" ht="21" customHeight="1" x14ac:dyDescent="0.25">
      <c r="B29" s="17"/>
      <c r="C29" s="118" t="s">
        <v>382</v>
      </c>
      <c r="D29" s="119"/>
      <c r="E29" s="23"/>
      <c r="F29" s="23"/>
      <c r="G29" s="23"/>
      <c r="H29" s="23"/>
      <c r="I29" s="118" t="s">
        <v>383</v>
      </c>
      <c r="J29" s="119"/>
      <c r="K29" s="23"/>
      <c r="L29" s="23"/>
      <c r="M29" s="23"/>
      <c r="N29" s="23"/>
      <c r="O29" s="23"/>
      <c r="P29" s="23"/>
      <c r="Q29" s="23"/>
      <c r="R29" s="23"/>
      <c r="S29" s="23"/>
      <c r="T29" s="18"/>
    </row>
    <row r="30" spans="2:20" ht="21" customHeight="1" thickBot="1" x14ac:dyDescent="0.3">
      <c r="B30" s="17"/>
      <c r="C30" s="120"/>
      <c r="D30" s="121"/>
      <c r="E30" s="23"/>
      <c r="F30" s="23"/>
      <c r="G30" s="23"/>
      <c r="H30" s="23"/>
      <c r="I30" s="120"/>
      <c r="J30" s="121"/>
      <c r="K30" s="23"/>
      <c r="L30" s="23"/>
      <c r="M30" s="23"/>
      <c r="N30" s="23"/>
      <c r="O30" s="23"/>
      <c r="P30" s="23"/>
      <c r="Q30" s="23"/>
      <c r="R30" s="23"/>
      <c r="S30" s="23"/>
      <c r="T30" s="18"/>
    </row>
    <row r="31" spans="2:20" ht="15.75" thickBot="1" x14ac:dyDescent="0.3">
      <c r="B31" s="17"/>
      <c r="C31" s="23"/>
      <c r="D31" s="23"/>
      <c r="E31" s="23"/>
      <c r="F31" s="23"/>
      <c r="G31" s="23"/>
      <c r="H31" s="23"/>
      <c r="I31" s="23"/>
      <c r="J31" s="23"/>
      <c r="K31" s="23"/>
      <c r="L31" s="23"/>
      <c r="M31" s="23"/>
      <c r="N31" s="23"/>
      <c r="O31" s="23"/>
      <c r="P31" s="23"/>
      <c r="Q31" s="23"/>
      <c r="R31" s="23"/>
      <c r="S31" s="23"/>
      <c r="T31" s="18"/>
    </row>
    <row r="32" spans="2:20" x14ac:dyDescent="0.25">
      <c r="B32" s="17"/>
      <c r="C32" s="46" t="s">
        <v>372</v>
      </c>
      <c r="D32" s="47" t="s">
        <v>384</v>
      </c>
      <c r="E32" s="15"/>
      <c r="F32" s="15"/>
      <c r="G32" s="16"/>
      <c r="H32" s="23"/>
      <c r="I32" s="46" t="s">
        <v>372</v>
      </c>
      <c r="J32" s="47" t="s">
        <v>374</v>
      </c>
      <c r="K32" s="15"/>
      <c r="L32" s="15"/>
      <c r="M32" s="15"/>
      <c r="N32" s="15"/>
      <c r="O32" s="15"/>
      <c r="P32" s="15"/>
      <c r="Q32" s="15"/>
      <c r="R32" s="15"/>
      <c r="S32" s="16"/>
      <c r="T32" s="18"/>
    </row>
    <row r="33" spans="2:20" x14ac:dyDescent="0.25">
      <c r="B33" s="17"/>
      <c r="C33" s="48" t="s">
        <v>374</v>
      </c>
      <c r="D33" s="23" t="s">
        <v>14</v>
      </c>
      <c r="E33" s="23" t="s">
        <v>15</v>
      </c>
      <c r="F33" s="23" t="s">
        <v>12</v>
      </c>
      <c r="G33" s="18" t="s">
        <v>18</v>
      </c>
      <c r="H33" s="23"/>
      <c r="I33" s="48" t="s">
        <v>397</v>
      </c>
      <c r="J33" s="23" t="s">
        <v>345</v>
      </c>
      <c r="K33" s="23" t="s">
        <v>342</v>
      </c>
      <c r="L33" s="23" t="s">
        <v>340</v>
      </c>
      <c r="M33" s="23" t="s">
        <v>343</v>
      </c>
      <c r="N33" s="23" t="s">
        <v>341</v>
      </c>
      <c r="O33" s="23" t="s">
        <v>344</v>
      </c>
      <c r="P33" s="23" t="s">
        <v>106</v>
      </c>
      <c r="Q33" s="23" t="s">
        <v>336</v>
      </c>
      <c r="R33" s="23" t="s">
        <v>337</v>
      </c>
      <c r="S33" s="18" t="s">
        <v>381</v>
      </c>
      <c r="T33" s="18"/>
    </row>
    <row r="34" spans="2:20" x14ac:dyDescent="0.25">
      <c r="B34" s="17"/>
      <c r="C34" s="49" t="s">
        <v>345</v>
      </c>
      <c r="D34" s="25">
        <v>0.40697674418604651</v>
      </c>
      <c r="E34" s="25">
        <v>0.38953488372093026</v>
      </c>
      <c r="F34" s="25">
        <v>0.1744186046511628</v>
      </c>
      <c r="G34" s="53">
        <v>2.9069767441860465E-2</v>
      </c>
      <c r="H34" s="23"/>
      <c r="I34" s="49" t="s">
        <v>363</v>
      </c>
      <c r="J34" s="25">
        <v>0.27325581395348836</v>
      </c>
      <c r="K34" s="25">
        <v>0.35256410256410259</v>
      </c>
      <c r="L34" s="25">
        <v>0.21495327102803738</v>
      </c>
      <c r="M34" s="25">
        <v>0.16591928251121077</v>
      </c>
      <c r="N34" s="25">
        <v>0.23770491803278687</v>
      </c>
      <c r="O34" s="25">
        <v>0.23958333333333334</v>
      </c>
      <c r="P34" s="25">
        <v>0.15068493150684931</v>
      </c>
      <c r="Q34" s="25">
        <v>0.24399999999999999</v>
      </c>
      <c r="R34" s="25">
        <v>0.30434782608695654</v>
      </c>
      <c r="S34" s="53">
        <v>0.23997280761386811</v>
      </c>
      <c r="T34" s="18"/>
    </row>
    <row r="35" spans="2:20" x14ac:dyDescent="0.25">
      <c r="B35" s="17"/>
      <c r="C35" s="49" t="s">
        <v>342</v>
      </c>
      <c r="D35" s="25">
        <v>0.32051282051282054</v>
      </c>
      <c r="E35" s="25">
        <v>0.50641025641025639</v>
      </c>
      <c r="F35" s="25">
        <v>0.14743589743589744</v>
      </c>
      <c r="G35" s="53">
        <v>2.564102564102564E-2</v>
      </c>
      <c r="H35" s="23"/>
      <c r="I35" s="49" t="s">
        <v>358</v>
      </c>
      <c r="J35" s="25">
        <v>0.19767441860465115</v>
      </c>
      <c r="K35" s="25">
        <v>0.16025641025641027</v>
      </c>
      <c r="L35" s="25">
        <v>0.20093457943925233</v>
      </c>
      <c r="M35" s="25">
        <v>9.8654708520179366E-2</v>
      </c>
      <c r="N35" s="25">
        <v>0.15573770491803279</v>
      </c>
      <c r="O35" s="25">
        <v>0.18229166666666666</v>
      </c>
      <c r="P35" s="25">
        <v>0.12328767123287671</v>
      </c>
      <c r="Q35" s="25">
        <v>0.16</v>
      </c>
      <c r="R35" s="25">
        <v>8.6956521739130432E-2</v>
      </c>
      <c r="S35" s="53">
        <v>0.15839564921821889</v>
      </c>
      <c r="T35" s="18"/>
    </row>
    <row r="36" spans="2:20" x14ac:dyDescent="0.25">
      <c r="B36" s="17"/>
      <c r="C36" s="49" t="s">
        <v>340</v>
      </c>
      <c r="D36" s="25">
        <v>4.6728971962616819E-3</v>
      </c>
      <c r="E36" s="25">
        <v>0.26168224299065418</v>
      </c>
      <c r="F36" s="25">
        <v>0.49065420560747663</v>
      </c>
      <c r="G36" s="53">
        <v>0.24299065420560748</v>
      </c>
      <c r="H36" s="23"/>
      <c r="I36" s="49" t="s">
        <v>359</v>
      </c>
      <c r="J36" s="25">
        <v>0.13372093023255813</v>
      </c>
      <c r="K36" s="25">
        <v>0.16025641025641027</v>
      </c>
      <c r="L36" s="25">
        <v>0.15887850467289719</v>
      </c>
      <c r="M36" s="25">
        <v>0.28251121076233182</v>
      </c>
      <c r="N36" s="25">
        <v>0.20491803278688525</v>
      </c>
      <c r="O36" s="25">
        <v>0.16666666666666666</v>
      </c>
      <c r="P36" s="25">
        <v>0.32876712328767121</v>
      </c>
      <c r="Q36" s="25">
        <v>0.16</v>
      </c>
      <c r="R36" s="25">
        <v>0.24637681159420291</v>
      </c>
      <c r="S36" s="53">
        <v>0.19238613188307274</v>
      </c>
      <c r="T36" s="18"/>
    </row>
    <row r="37" spans="2:20" x14ac:dyDescent="0.25">
      <c r="B37" s="17"/>
      <c r="C37" s="49" t="s">
        <v>343</v>
      </c>
      <c r="D37" s="25">
        <v>0.30493273542600896</v>
      </c>
      <c r="E37" s="25">
        <v>0.40358744394618834</v>
      </c>
      <c r="F37" s="25">
        <v>0.20627802690582961</v>
      </c>
      <c r="G37" s="53">
        <v>8.520179372197309E-2</v>
      </c>
      <c r="H37" s="23"/>
      <c r="I37" s="49" t="s">
        <v>360</v>
      </c>
      <c r="J37" s="25">
        <v>0.15116279069767441</v>
      </c>
      <c r="K37" s="25">
        <v>0.11538461538461539</v>
      </c>
      <c r="L37" s="25">
        <v>0.14485981308411214</v>
      </c>
      <c r="M37" s="25">
        <v>0.14349775784753363</v>
      </c>
      <c r="N37" s="25">
        <v>0.12295081967213115</v>
      </c>
      <c r="O37" s="25">
        <v>0.16666666666666666</v>
      </c>
      <c r="P37" s="25">
        <v>0.17808219178082191</v>
      </c>
      <c r="Q37" s="25">
        <v>0.184</v>
      </c>
      <c r="R37" s="25">
        <v>0.14492753623188406</v>
      </c>
      <c r="S37" s="53">
        <v>0.15159755268524813</v>
      </c>
      <c r="T37" s="18"/>
    </row>
    <row r="38" spans="2:20" x14ac:dyDescent="0.25">
      <c r="B38" s="17"/>
      <c r="C38" s="49" t="s">
        <v>341</v>
      </c>
      <c r="D38" s="25">
        <v>0.10655737704918032</v>
      </c>
      <c r="E38" s="25">
        <v>0.73770491803278693</v>
      </c>
      <c r="F38" s="25">
        <v>0.10655737704918032</v>
      </c>
      <c r="G38" s="53">
        <v>4.9180327868852458E-2</v>
      </c>
      <c r="H38" s="23"/>
      <c r="I38" s="49" t="s">
        <v>361</v>
      </c>
      <c r="J38" s="25">
        <v>0.20930232558139536</v>
      </c>
      <c r="K38" s="25">
        <v>0.14102564102564102</v>
      </c>
      <c r="L38" s="25">
        <v>0.23364485981308411</v>
      </c>
      <c r="M38" s="25">
        <v>0.22869955156950672</v>
      </c>
      <c r="N38" s="25">
        <v>0.22950819672131148</v>
      </c>
      <c r="O38" s="25">
        <v>0.20833333333333334</v>
      </c>
      <c r="P38" s="25">
        <v>0.16438356164383561</v>
      </c>
      <c r="Q38" s="25">
        <v>0.22</v>
      </c>
      <c r="R38" s="25">
        <v>0.13043478260869565</v>
      </c>
      <c r="S38" s="53">
        <v>0.20598232494901428</v>
      </c>
      <c r="T38" s="18"/>
    </row>
    <row r="39" spans="2:20" ht="15.75" thickBot="1" x14ac:dyDescent="0.3">
      <c r="B39" s="17"/>
      <c r="C39" s="49" t="s">
        <v>344</v>
      </c>
      <c r="D39" s="25">
        <v>0.77083333333333337</v>
      </c>
      <c r="E39" s="25">
        <v>0.14583333333333334</v>
      </c>
      <c r="F39" s="25">
        <v>5.7291666666666664E-2</v>
      </c>
      <c r="G39" s="53">
        <v>2.6041666666666668E-2</v>
      </c>
      <c r="H39" s="23"/>
      <c r="I39" s="51" t="s">
        <v>362</v>
      </c>
      <c r="J39" s="54">
        <v>3.4883720930232558E-2</v>
      </c>
      <c r="K39" s="54">
        <v>7.0512820512820512E-2</v>
      </c>
      <c r="L39" s="54">
        <v>4.6728971962616821E-2</v>
      </c>
      <c r="M39" s="54">
        <v>8.0717488789237665E-2</v>
      </c>
      <c r="N39" s="54">
        <v>4.9180327868852458E-2</v>
      </c>
      <c r="O39" s="54">
        <v>3.6458333333333336E-2</v>
      </c>
      <c r="P39" s="54">
        <v>5.4794520547945202E-2</v>
      </c>
      <c r="Q39" s="54">
        <v>3.2000000000000001E-2</v>
      </c>
      <c r="R39" s="54">
        <v>8.6956521739130432E-2</v>
      </c>
      <c r="S39" s="55">
        <v>5.1665533650577841E-2</v>
      </c>
      <c r="T39" s="18"/>
    </row>
    <row r="40" spans="2:20" ht="15.75" thickBot="1" x14ac:dyDescent="0.3">
      <c r="B40" s="17"/>
      <c r="C40" s="49" t="s">
        <v>106</v>
      </c>
      <c r="D40" s="25">
        <v>8.2191780821917804E-2</v>
      </c>
      <c r="E40" s="25">
        <v>0.41095890410958902</v>
      </c>
      <c r="F40" s="25">
        <v>0.35616438356164382</v>
      </c>
      <c r="G40" s="53">
        <v>0.15068493150684931</v>
      </c>
      <c r="H40" s="23"/>
      <c r="I40" s="23"/>
      <c r="J40" s="23"/>
      <c r="K40" s="23"/>
      <c r="L40" s="23"/>
      <c r="M40" s="23"/>
      <c r="N40" s="23"/>
      <c r="O40" s="23"/>
      <c r="P40" s="23"/>
      <c r="Q40" s="23"/>
      <c r="R40" s="23"/>
      <c r="S40" s="23"/>
      <c r="T40" s="18"/>
    </row>
    <row r="41" spans="2:20" ht="23.25" customHeight="1" x14ac:dyDescent="0.25">
      <c r="B41" s="17"/>
      <c r="C41" s="49" t="s">
        <v>336</v>
      </c>
      <c r="D41" s="25">
        <v>4.3999999999999997E-2</v>
      </c>
      <c r="E41" s="25">
        <v>0.51600000000000001</v>
      </c>
      <c r="F41" s="25">
        <v>0.35199999999999998</v>
      </c>
      <c r="G41" s="53">
        <v>8.7999999999999995E-2</v>
      </c>
      <c r="H41" s="23"/>
      <c r="I41" s="118" t="s">
        <v>385</v>
      </c>
      <c r="J41" s="119"/>
      <c r="K41" s="23"/>
      <c r="L41" s="23"/>
      <c r="M41" s="23"/>
      <c r="N41" s="23"/>
      <c r="O41" s="23"/>
      <c r="P41" s="23"/>
      <c r="Q41" s="23"/>
      <c r="R41" s="23"/>
      <c r="S41" s="23"/>
      <c r="T41" s="18"/>
    </row>
    <row r="42" spans="2:20" ht="23.25" customHeight="1" thickBot="1" x14ac:dyDescent="0.3">
      <c r="B42" s="17"/>
      <c r="C42" s="49" t="s">
        <v>337</v>
      </c>
      <c r="D42" s="25">
        <v>2.8985507246376812E-2</v>
      </c>
      <c r="E42" s="25">
        <v>0.37681159420289856</v>
      </c>
      <c r="F42" s="25">
        <v>0.47826086956521741</v>
      </c>
      <c r="G42" s="53">
        <v>0.11594202898550725</v>
      </c>
      <c r="H42" s="23"/>
      <c r="I42" s="120"/>
      <c r="J42" s="121"/>
      <c r="K42" s="23"/>
      <c r="L42" s="23"/>
      <c r="M42" s="23"/>
      <c r="N42" s="23"/>
      <c r="O42" s="23"/>
      <c r="P42" s="23"/>
      <c r="Q42" s="23"/>
      <c r="R42" s="23"/>
      <c r="S42" s="23"/>
      <c r="T42" s="18"/>
    </row>
    <row r="43" spans="2:20" ht="15.75" thickBot="1" x14ac:dyDescent="0.3">
      <c r="B43" s="17"/>
      <c r="C43" s="51" t="s">
        <v>381</v>
      </c>
      <c r="D43" s="54">
        <v>0.25084976206662135</v>
      </c>
      <c r="E43" s="54">
        <v>0.40448674371176069</v>
      </c>
      <c r="F43" s="54">
        <v>0.25492861998640381</v>
      </c>
      <c r="G43" s="55">
        <v>8.9734874235214146E-2</v>
      </c>
      <c r="H43" s="23"/>
      <c r="I43" s="23"/>
      <c r="J43" s="23"/>
      <c r="K43" s="23"/>
      <c r="L43" s="23"/>
      <c r="M43" s="23"/>
      <c r="N43" s="23"/>
      <c r="O43" s="23"/>
      <c r="P43" s="23"/>
      <c r="Q43" s="23"/>
      <c r="R43" s="23"/>
      <c r="S43" s="23"/>
      <c r="T43" s="18"/>
    </row>
    <row r="44" spans="2:20" x14ac:dyDescent="0.25">
      <c r="B44" s="17"/>
      <c r="C44" s="23"/>
      <c r="D44" s="23"/>
      <c r="E44" s="23"/>
      <c r="F44" s="23"/>
      <c r="G44" s="23"/>
      <c r="H44" s="23"/>
      <c r="I44" s="46" t="s">
        <v>372</v>
      </c>
      <c r="J44" s="47" t="s">
        <v>374</v>
      </c>
      <c r="K44" s="15"/>
      <c r="L44" s="15"/>
      <c r="M44" s="15"/>
      <c r="N44" s="15"/>
      <c r="O44" s="15"/>
      <c r="P44" s="15"/>
      <c r="Q44" s="15"/>
      <c r="R44" s="15"/>
      <c r="S44" s="16"/>
      <c r="T44" s="18"/>
    </row>
    <row r="45" spans="2:20" x14ac:dyDescent="0.25">
      <c r="B45" s="17"/>
      <c r="C45" s="23"/>
      <c r="D45" s="23"/>
      <c r="E45" s="23"/>
      <c r="F45" s="23"/>
      <c r="G45" s="23"/>
      <c r="H45" s="23"/>
      <c r="I45" s="48" t="s">
        <v>396</v>
      </c>
      <c r="J45" s="23" t="s">
        <v>345</v>
      </c>
      <c r="K45" s="23" t="s">
        <v>342</v>
      </c>
      <c r="L45" s="23" t="s">
        <v>340</v>
      </c>
      <c r="M45" s="23" t="s">
        <v>343</v>
      </c>
      <c r="N45" s="23" t="s">
        <v>341</v>
      </c>
      <c r="O45" s="23" t="s">
        <v>344</v>
      </c>
      <c r="P45" s="23" t="s">
        <v>106</v>
      </c>
      <c r="Q45" s="23" t="s">
        <v>336</v>
      </c>
      <c r="R45" s="23" t="s">
        <v>337</v>
      </c>
      <c r="S45" s="18" t="s">
        <v>381</v>
      </c>
      <c r="T45" s="18"/>
    </row>
    <row r="46" spans="2:20" x14ac:dyDescent="0.25">
      <c r="B46" s="17"/>
      <c r="C46" s="23"/>
      <c r="D46" s="23"/>
      <c r="E46" s="23"/>
      <c r="F46" s="23"/>
      <c r="G46" s="23"/>
      <c r="H46" s="23"/>
      <c r="I46" s="49" t="s">
        <v>347</v>
      </c>
      <c r="J46" s="25">
        <v>7.5581395348837205E-2</v>
      </c>
      <c r="K46" s="25">
        <v>0.11538461538461539</v>
      </c>
      <c r="L46" s="25">
        <v>7.476635514018691E-2</v>
      </c>
      <c r="M46" s="25">
        <v>0.13004484304932734</v>
      </c>
      <c r="N46" s="25">
        <v>6.5573770491803282E-2</v>
      </c>
      <c r="O46" s="25">
        <v>5.7291666666666664E-2</v>
      </c>
      <c r="P46" s="25">
        <v>0.13698630136986301</v>
      </c>
      <c r="Q46" s="25">
        <v>0.08</v>
      </c>
      <c r="R46" s="25">
        <v>0.13043478260869565</v>
      </c>
      <c r="S46" s="53">
        <v>9.1094493541808291E-2</v>
      </c>
      <c r="T46" s="18"/>
    </row>
    <row r="47" spans="2:20" x14ac:dyDescent="0.25">
      <c r="B47" s="17"/>
      <c r="C47" s="23"/>
      <c r="D47" s="23"/>
      <c r="E47" s="23"/>
      <c r="F47" s="23"/>
      <c r="G47" s="23"/>
      <c r="H47" s="23"/>
      <c r="I47" s="49" t="s">
        <v>354</v>
      </c>
      <c r="J47" s="25">
        <v>6.9767441860465115E-2</v>
      </c>
      <c r="K47" s="25">
        <v>0.16666666666666666</v>
      </c>
      <c r="L47" s="25">
        <v>9.3457943925233641E-2</v>
      </c>
      <c r="M47" s="25">
        <v>0.11659192825112108</v>
      </c>
      <c r="N47" s="25">
        <v>7.3770491803278687E-2</v>
      </c>
      <c r="O47" s="25">
        <v>0.109375</v>
      </c>
      <c r="P47" s="25">
        <v>0.12328767123287671</v>
      </c>
      <c r="Q47" s="25">
        <v>0.1</v>
      </c>
      <c r="R47" s="25">
        <v>4.3478260869565216E-2</v>
      </c>
      <c r="S47" s="53">
        <v>0.1026512576478586</v>
      </c>
      <c r="T47" s="18"/>
    </row>
    <row r="48" spans="2:20" x14ac:dyDescent="0.25">
      <c r="B48" s="17"/>
      <c r="C48" s="23"/>
      <c r="D48" s="23"/>
      <c r="E48" s="23"/>
      <c r="F48" s="23"/>
      <c r="G48" s="23"/>
      <c r="H48" s="23"/>
      <c r="I48" s="49" t="s">
        <v>350</v>
      </c>
      <c r="J48" s="25">
        <v>9.8837209302325577E-2</v>
      </c>
      <c r="K48" s="25">
        <v>0.12179487179487179</v>
      </c>
      <c r="L48" s="25">
        <v>0.16355140186915887</v>
      </c>
      <c r="M48" s="25">
        <v>0.14798206278026907</v>
      </c>
      <c r="N48" s="25">
        <v>0.19672131147540983</v>
      </c>
      <c r="O48" s="25">
        <v>0.11458333333333333</v>
      </c>
      <c r="P48" s="25">
        <v>8.2191780821917804E-2</v>
      </c>
      <c r="Q48" s="25">
        <v>0.1</v>
      </c>
      <c r="R48" s="25">
        <v>0.17391304347826086</v>
      </c>
      <c r="S48" s="53">
        <v>0.13120326308633581</v>
      </c>
      <c r="T48" s="18"/>
    </row>
    <row r="49" spans="2:27" x14ac:dyDescent="0.25">
      <c r="B49" s="17"/>
      <c r="C49" s="23"/>
      <c r="D49" s="23"/>
      <c r="E49" s="23"/>
      <c r="F49" s="23"/>
      <c r="G49" s="23"/>
      <c r="H49" s="23"/>
      <c r="I49" s="49" t="s">
        <v>351</v>
      </c>
      <c r="J49" s="25">
        <v>0.11627906976744186</v>
      </c>
      <c r="K49" s="25">
        <v>0.12179487179487179</v>
      </c>
      <c r="L49" s="25">
        <v>0.11214953271028037</v>
      </c>
      <c r="M49" s="25">
        <v>5.3811659192825115E-2</v>
      </c>
      <c r="N49" s="25">
        <v>9.8360655737704916E-2</v>
      </c>
      <c r="O49" s="25">
        <v>0.11979166666666667</v>
      </c>
      <c r="P49" s="25">
        <v>4.1095890410958902E-2</v>
      </c>
      <c r="Q49" s="25">
        <v>9.1999999999999998E-2</v>
      </c>
      <c r="R49" s="25">
        <v>0.11594202898550725</v>
      </c>
      <c r="S49" s="53">
        <v>9.7892590074779059E-2</v>
      </c>
      <c r="T49" s="18"/>
    </row>
    <row r="50" spans="2:27" x14ac:dyDescent="0.25">
      <c r="B50" s="17"/>
      <c r="C50" s="23"/>
      <c r="D50" s="23"/>
      <c r="E50" s="23"/>
      <c r="F50" s="23"/>
      <c r="G50" s="23"/>
      <c r="H50" s="23"/>
      <c r="I50" s="49" t="s">
        <v>348</v>
      </c>
      <c r="J50" s="25">
        <v>0.2558139534883721</v>
      </c>
      <c r="K50" s="25">
        <v>0.12179487179487179</v>
      </c>
      <c r="L50" s="25">
        <v>0.16355140186915887</v>
      </c>
      <c r="M50" s="25">
        <v>0.17488789237668162</v>
      </c>
      <c r="N50" s="25">
        <v>0.13934426229508196</v>
      </c>
      <c r="O50" s="25">
        <v>0.171875</v>
      </c>
      <c r="P50" s="25">
        <v>0.31506849315068491</v>
      </c>
      <c r="Q50" s="25">
        <v>0.23200000000000001</v>
      </c>
      <c r="R50" s="25">
        <v>0.2318840579710145</v>
      </c>
      <c r="S50" s="53">
        <v>0.19306594153636983</v>
      </c>
      <c r="T50" s="18"/>
    </row>
    <row r="51" spans="2:27" x14ac:dyDescent="0.25">
      <c r="B51" s="17"/>
      <c r="C51" s="23"/>
      <c r="D51" s="23"/>
      <c r="E51" s="23"/>
      <c r="F51" s="23"/>
      <c r="G51" s="23"/>
      <c r="H51" s="23"/>
      <c r="I51" s="49" t="s">
        <v>349</v>
      </c>
      <c r="J51" s="25">
        <v>0.14534883720930233</v>
      </c>
      <c r="K51" s="25">
        <v>0.12179487179487179</v>
      </c>
      <c r="L51" s="25">
        <v>0.12616822429906541</v>
      </c>
      <c r="M51" s="25">
        <v>7.1748878923766815E-2</v>
      </c>
      <c r="N51" s="25">
        <v>0.15573770491803279</v>
      </c>
      <c r="O51" s="25">
        <v>9.375E-2</v>
      </c>
      <c r="P51" s="25">
        <v>8.2191780821917804E-2</v>
      </c>
      <c r="Q51" s="25">
        <v>0.14000000000000001</v>
      </c>
      <c r="R51" s="25">
        <v>0.14492753623188406</v>
      </c>
      <c r="S51" s="53">
        <v>0.11896668932698844</v>
      </c>
      <c r="T51" s="18"/>
    </row>
    <row r="52" spans="2:27" x14ac:dyDescent="0.25">
      <c r="B52" s="17"/>
      <c r="C52" s="23"/>
      <c r="D52" s="23"/>
      <c r="E52" s="23"/>
      <c r="F52" s="23"/>
      <c r="G52" s="23"/>
      <c r="H52" s="23"/>
      <c r="I52" s="49" t="s">
        <v>353</v>
      </c>
      <c r="J52" s="25">
        <v>7.5581395348837205E-2</v>
      </c>
      <c r="K52" s="25">
        <v>3.2051282051282048E-2</v>
      </c>
      <c r="L52" s="25">
        <v>6.0747663551401869E-2</v>
      </c>
      <c r="M52" s="25">
        <v>6.726457399103139E-2</v>
      </c>
      <c r="N52" s="25">
        <v>5.737704918032787E-2</v>
      </c>
      <c r="O52" s="25">
        <v>3.6458333333333336E-2</v>
      </c>
      <c r="P52" s="25">
        <v>4.1095890410958902E-2</v>
      </c>
      <c r="Q52" s="25">
        <v>5.6000000000000001E-2</v>
      </c>
      <c r="R52" s="25">
        <v>7.2463768115942032E-2</v>
      </c>
      <c r="S52" s="53">
        <v>5.5744391570360298E-2</v>
      </c>
      <c r="T52" s="18"/>
    </row>
    <row r="53" spans="2:27" x14ac:dyDescent="0.25">
      <c r="B53" s="17"/>
      <c r="C53" s="23"/>
      <c r="D53" s="23"/>
      <c r="E53" s="23"/>
      <c r="F53" s="23"/>
      <c r="G53" s="23"/>
      <c r="H53" s="23"/>
      <c r="I53" s="49" t="s">
        <v>355</v>
      </c>
      <c r="J53" s="25">
        <v>0.11046511627906977</v>
      </c>
      <c r="K53" s="25">
        <v>0.16025641025641027</v>
      </c>
      <c r="L53" s="25">
        <v>0.1822429906542056</v>
      </c>
      <c r="M53" s="25">
        <v>0.17040358744394618</v>
      </c>
      <c r="N53" s="25">
        <v>0.13114754098360656</v>
      </c>
      <c r="O53" s="25">
        <v>0.203125</v>
      </c>
      <c r="P53" s="25">
        <v>9.5890410958904104E-2</v>
      </c>
      <c r="Q53" s="25">
        <v>0.14000000000000001</v>
      </c>
      <c r="R53" s="25">
        <v>4.3478260869565216E-2</v>
      </c>
      <c r="S53" s="53">
        <v>0.15023793337865399</v>
      </c>
      <c r="T53" s="18"/>
    </row>
    <row r="54" spans="2:27" ht="15.75" thickBot="1" x14ac:dyDescent="0.3">
      <c r="B54" s="17"/>
      <c r="C54" s="23"/>
      <c r="D54" s="23"/>
      <c r="E54" s="23"/>
      <c r="F54" s="23"/>
      <c r="G54" s="23"/>
      <c r="H54" s="23"/>
      <c r="I54" s="51" t="s">
        <v>352</v>
      </c>
      <c r="J54" s="54">
        <v>5.232558139534884E-2</v>
      </c>
      <c r="K54" s="54">
        <v>3.8461538461538464E-2</v>
      </c>
      <c r="L54" s="54">
        <v>2.336448598130841E-2</v>
      </c>
      <c r="M54" s="54">
        <v>6.726457399103139E-2</v>
      </c>
      <c r="N54" s="54">
        <v>8.1967213114754092E-2</v>
      </c>
      <c r="O54" s="54">
        <v>9.375E-2</v>
      </c>
      <c r="P54" s="54">
        <v>8.2191780821917804E-2</v>
      </c>
      <c r="Q54" s="54">
        <v>0.06</v>
      </c>
      <c r="R54" s="54">
        <v>4.3478260869565216E-2</v>
      </c>
      <c r="S54" s="55">
        <v>5.9143439836845682E-2</v>
      </c>
      <c r="T54" s="18"/>
    </row>
    <row r="55" spans="2:27" x14ac:dyDescent="0.25">
      <c r="B55" s="17"/>
      <c r="C55" s="23"/>
      <c r="D55" s="23"/>
      <c r="E55" s="23"/>
      <c r="F55" s="23"/>
      <c r="G55" s="23"/>
      <c r="H55" s="23"/>
      <c r="I55" s="23"/>
      <c r="J55" s="23"/>
      <c r="K55" s="23"/>
      <c r="L55" s="23"/>
      <c r="M55" s="23"/>
      <c r="N55" s="23"/>
      <c r="O55" s="23"/>
      <c r="P55" s="23"/>
      <c r="Q55" s="23"/>
      <c r="R55" s="23"/>
      <c r="S55" s="23"/>
      <c r="T55" s="18"/>
    </row>
    <row r="56" spans="2:27" ht="15.75" thickBot="1" x14ac:dyDescent="0.3">
      <c r="B56" s="20"/>
      <c r="C56" s="21"/>
      <c r="D56" s="21"/>
      <c r="E56" s="21"/>
      <c r="F56" s="21"/>
      <c r="G56" s="21"/>
      <c r="H56" s="21"/>
      <c r="I56" s="21"/>
      <c r="J56" s="21"/>
      <c r="K56" s="21"/>
      <c r="L56" s="21"/>
      <c r="M56" s="21"/>
      <c r="N56" s="21"/>
      <c r="O56" s="21"/>
      <c r="P56" s="21"/>
      <c r="Q56" s="21"/>
      <c r="R56" s="21"/>
      <c r="S56" s="21"/>
      <c r="T56" s="22"/>
    </row>
    <row r="59" spans="2:27" ht="15.75" thickBot="1" x14ac:dyDescent="0.3"/>
    <row r="60" spans="2:27" ht="15.75" thickBot="1" x14ac:dyDescent="0.3">
      <c r="B60" s="14"/>
      <c r="C60" s="15"/>
      <c r="D60" s="15"/>
      <c r="E60" s="15"/>
      <c r="F60" s="15"/>
      <c r="G60" s="15"/>
      <c r="H60" s="15"/>
      <c r="I60" s="15"/>
      <c r="J60" s="15"/>
      <c r="K60" s="15"/>
      <c r="L60" s="15"/>
      <c r="M60" s="15"/>
      <c r="N60" s="15"/>
      <c r="O60" s="15"/>
      <c r="P60" s="15"/>
      <c r="Q60" s="15"/>
      <c r="R60" s="15"/>
      <c r="S60" s="15"/>
      <c r="T60" s="15"/>
      <c r="U60" s="15"/>
      <c r="V60" s="15"/>
      <c r="W60" s="15"/>
      <c r="X60" s="15"/>
      <c r="Y60" s="15"/>
      <c r="Z60" s="15"/>
      <c r="AA60" s="16"/>
    </row>
    <row r="61" spans="2:27" x14ac:dyDescent="0.25">
      <c r="B61" s="17"/>
      <c r="C61" s="122" t="s">
        <v>387</v>
      </c>
      <c r="D61" s="123"/>
      <c r="E61" s="124"/>
      <c r="F61" s="23"/>
      <c r="G61" s="23"/>
      <c r="H61" s="23"/>
      <c r="I61" s="23"/>
      <c r="J61" s="23"/>
      <c r="K61" s="23"/>
      <c r="L61" s="23"/>
      <c r="M61" s="23"/>
      <c r="N61" s="23"/>
      <c r="O61" s="23"/>
      <c r="P61" s="23"/>
      <c r="Q61" s="23"/>
      <c r="R61" s="23"/>
      <c r="S61" s="23"/>
      <c r="T61" s="23"/>
      <c r="U61" s="23"/>
      <c r="V61" s="23"/>
      <c r="W61" s="23"/>
      <c r="X61" s="23"/>
      <c r="Y61" s="23"/>
      <c r="Z61" s="23"/>
      <c r="AA61" s="18"/>
    </row>
    <row r="62" spans="2:27" ht="15.75" thickBot="1" x14ac:dyDescent="0.3">
      <c r="B62" s="17"/>
      <c r="C62" s="125"/>
      <c r="D62" s="126"/>
      <c r="E62" s="127"/>
      <c r="F62" s="23"/>
      <c r="G62" s="23"/>
      <c r="H62" s="23"/>
      <c r="I62" s="23"/>
      <c r="J62" s="23"/>
      <c r="K62" s="23"/>
      <c r="L62" s="23"/>
      <c r="M62" s="23"/>
      <c r="N62" s="23"/>
      <c r="O62" s="23"/>
      <c r="P62" s="23"/>
      <c r="Q62" s="23"/>
      <c r="R62" s="23"/>
      <c r="S62" s="23"/>
      <c r="T62" s="23"/>
      <c r="U62" s="23"/>
      <c r="V62" s="23"/>
      <c r="W62" s="23"/>
      <c r="X62" s="23"/>
      <c r="Y62" s="23"/>
      <c r="Z62" s="23"/>
      <c r="AA62" s="18"/>
    </row>
    <row r="63" spans="2:27" ht="21" x14ac:dyDescent="0.25">
      <c r="B63" s="17"/>
      <c r="C63" s="9"/>
      <c r="D63" s="9"/>
      <c r="E63" s="23"/>
      <c r="F63" s="23"/>
      <c r="G63" s="23"/>
      <c r="H63" s="23"/>
      <c r="I63" s="23"/>
      <c r="J63" s="23"/>
      <c r="K63" s="23"/>
      <c r="L63" s="23"/>
      <c r="M63" s="23"/>
      <c r="N63" s="23"/>
      <c r="O63" s="23"/>
      <c r="P63" s="23"/>
      <c r="Q63" s="23"/>
      <c r="R63" s="23"/>
      <c r="S63" s="23"/>
      <c r="T63" s="23"/>
      <c r="U63" s="23"/>
      <c r="V63" s="23"/>
      <c r="W63" s="23"/>
      <c r="X63" s="23" t="s">
        <v>388</v>
      </c>
      <c r="Y63" s="23"/>
      <c r="Z63" s="23"/>
      <c r="AA63" s="18"/>
    </row>
    <row r="64" spans="2:27" ht="21.75" thickBot="1" x14ac:dyDescent="0.3">
      <c r="B64" s="17"/>
      <c r="C64" s="9"/>
      <c r="D64" s="9"/>
      <c r="E64" s="23"/>
      <c r="F64" s="23"/>
      <c r="G64" s="23"/>
      <c r="H64" s="23"/>
      <c r="I64" s="23"/>
      <c r="J64" s="23"/>
      <c r="K64" s="23"/>
      <c r="L64" s="23"/>
      <c r="M64" s="23"/>
      <c r="N64" s="23"/>
      <c r="O64" s="23"/>
      <c r="P64" s="23"/>
      <c r="Q64" s="23"/>
      <c r="R64" s="23"/>
      <c r="S64" s="23"/>
      <c r="T64" s="23"/>
      <c r="U64" s="23"/>
      <c r="V64" s="23"/>
      <c r="W64" s="23"/>
      <c r="X64" s="23"/>
      <c r="Y64" s="23"/>
      <c r="Z64" s="23"/>
      <c r="AA64" s="18"/>
    </row>
    <row r="65" spans="2:27" ht="24.75" customHeight="1" x14ac:dyDescent="0.25">
      <c r="B65" s="17"/>
      <c r="C65" s="102" t="s">
        <v>389</v>
      </c>
      <c r="D65" s="103"/>
      <c r="E65" s="23"/>
      <c r="F65" s="23"/>
      <c r="G65" s="23"/>
      <c r="H65" s="102" t="s">
        <v>390</v>
      </c>
      <c r="I65" s="103"/>
      <c r="J65" s="23"/>
      <c r="K65" s="23"/>
      <c r="L65" s="23"/>
      <c r="M65" s="102" t="s">
        <v>391</v>
      </c>
      <c r="N65" s="103"/>
      <c r="O65" s="23"/>
      <c r="P65" s="23"/>
      <c r="Q65" s="23"/>
      <c r="R65" s="102" t="s">
        <v>392</v>
      </c>
      <c r="S65" s="103"/>
      <c r="T65" s="23"/>
      <c r="U65" s="23"/>
      <c r="V65" s="23"/>
      <c r="W65" s="102" t="s">
        <v>393</v>
      </c>
      <c r="X65" s="103"/>
      <c r="Y65" s="23"/>
      <c r="Z65" s="23"/>
      <c r="AA65" s="18"/>
    </row>
    <row r="66" spans="2:27" ht="24.75" customHeight="1" thickBot="1" x14ac:dyDescent="0.3">
      <c r="B66" s="17"/>
      <c r="C66" s="104"/>
      <c r="D66" s="105"/>
      <c r="E66" s="23"/>
      <c r="F66" s="23"/>
      <c r="G66" s="23"/>
      <c r="H66" s="104"/>
      <c r="I66" s="105"/>
      <c r="J66" s="23"/>
      <c r="K66" s="23"/>
      <c r="L66" s="23"/>
      <c r="M66" s="104"/>
      <c r="N66" s="105"/>
      <c r="O66" s="23"/>
      <c r="P66" s="23"/>
      <c r="Q66" s="23"/>
      <c r="R66" s="104"/>
      <c r="S66" s="105"/>
      <c r="T66" s="23"/>
      <c r="U66" s="23"/>
      <c r="V66" s="23"/>
      <c r="W66" s="104"/>
      <c r="X66" s="105"/>
      <c r="Y66" s="23"/>
      <c r="Z66" s="23"/>
      <c r="AA66" s="18"/>
    </row>
    <row r="67" spans="2:27" ht="15.75" thickBot="1" x14ac:dyDescent="0.3">
      <c r="B67" s="17"/>
      <c r="C67" s="23"/>
      <c r="D67" s="23"/>
      <c r="E67" s="23"/>
      <c r="F67" s="23"/>
      <c r="G67" s="23"/>
      <c r="H67" s="23"/>
      <c r="I67" s="23"/>
      <c r="J67" s="23"/>
      <c r="K67" s="23"/>
      <c r="L67" s="23"/>
      <c r="M67" s="23"/>
      <c r="N67" s="23"/>
      <c r="O67" s="23"/>
      <c r="P67" s="23"/>
      <c r="Q67" s="23"/>
      <c r="R67" s="23"/>
      <c r="S67" s="23"/>
      <c r="T67" s="23"/>
      <c r="U67" s="23"/>
      <c r="V67" s="23"/>
      <c r="W67" s="23"/>
      <c r="X67" s="23"/>
      <c r="Y67" s="23"/>
      <c r="Z67" s="23"/>
      <c r="AA67" s="18"/>
    </row>
    <row r="68" spans="2:27" ht="15.75" thickBot="1" x14ac:dyDescent="0.3">
      <c r="B68" s="17"/>
      <c r="C68" s="46" t="s">
        <v>372</v>
      </c>
      <c r="D68" s="47" t="s">
        <v>394</v>
      </c>
      <c r="E68" s="15"/>
      <c r="F68" s="16"/>
      <c r="G68" s="23"/>
      <c r="H68" s="64" t="s">
        <v>372</v>
      </c>
      <c r="I68" s="65" t="s">
        <v>394</v>
      </c>
      <c r="J68" s="36"/>
      <c r="K68" s="37"/>
      <c r="L68" s="23"/>
      <c r="M68" s="46" t="s">
        <v>372</v>
      </c>
      <c r="N68" s="47" t="s">
        <v>394</v>
      </c>
      <c r="O68" s="15"/>
      <c r="P68" s="16"/>
      <c r="Q68" s="23"/>
      <c r="R68" s="59" t="s">
        <v>394</v>
      </c>
      <c r="S68" s="63" t="s">
        <v>395</v>
      </c>
      <c r="T68" s="23"/>
      <c r="U68" s="23"/>
      <c r="V68" s="23"/>
      <c r="W68" s="64" t="s">
        <v>372</v>
      </c>
      <c r="X68" s="65" t="s">
        <v>394</v>
      </c>
      <c r="Y68" s="15"/>
      <c r="Z68" s="16"/>
      <c r="AA68" s="18"/>
    </row>
    <row r="69" spans="2:27" ht="15.75" thickBot="1" x14ac:dyDescent="0.3">
      <c r="B69" s="17"/>
      <c r="C69" s="48" t="s">
        <v>373</v>
      </c>
      <c r="D69" s="23" t="s">
        <v>20</v>
      </c>
      <c r="E69" s="23" t="s">
        <v>10</v>
      </c>
      <c r="F69" s="18" t="s">
        <v>381</v>
      </c>
      <c r="G69" s="23"/>
      <c r="H69" s="66" t="s">
        <v>397</v>
      </c>
      <c r="I69" s="21" t="s">
        <v>20</v>
      </c>
      <c r="J69" s="21" t="s">
        <v>10</v>
      </c>
      <c r="K69" s="22" t="s">
        <v>381</v>
      </c>
      <c r="L69" s="23"/>
      <c r="M69" s="48" t="s">
        <v>396</v>
      </c>
      <c r="N69" s="23" t="s">
        <v>20</v>
      </c>
      <c r="O69" s="23" t="s">
        <v>10</v>
      </c>
      <c r="P69" s="18" t="s">
        <v>381</v>
      </c>
      <c r="Q69" s="23"/>
      <c r="R69" s="60" t="s">
        <v>20</v>
      </c>
      <c r="S69" s="56">
        <v>5.6037735849056602</v>
      </c>
      <c r="T69" s="23"/>
      <c r="U69" s="23"/>
      <c r="V69" s="23"/>
      <c r="W69" s="66" t="s">
        <v>365</v>
      </c>
      <c r="X69" s="21" t="s">
        <v>20</v>
      </c>
      <c r="Y69" s="21" t="s">
        <v>10</v>
      </c>
      <c r="Z69" s="22" t="s">
        <v>381</v>
      </c>
      <c r="AA69" s="18"/>
    </row>
    <row r="70" spans="2:27" ht="15.75" thickBot="1" x14ac:dyDescent="0.3">
      <c r="B70" s="17"/>
      <c r="C70" s="49" t="s">
        <v>375</v>
      </c>
      <c r="D70" s="34">
        <v>12</v>
      </c>
      <c r="E70" s="34">
        <v>180</v>
      </c>
      <c r="F70" s="50">
        <v>192</v>
      </c>
      <c r="G70" s="23"/>
      <c r="H70" s="49" t="s">
        <v>363</v>
      </c>
      <c r="I70" s="25">
        <v>0.28301886792452829</v>
      </c>
      <c r="J70" s="25">
        <v>0.23907666941467437</v>
      </c>
      <c r="K70" s="53">
        <v>0.24260803639120546</v>
      </c>
      <c r="L70" s="23"/>
      <c r="M70" s="49" t="s">
        <v>347</v>
      </c>
      <c r="N70" s="34">
        <v>12</v>
      </c>
      <c r="O70" s="34">
        <v>95</v>
      </c>
      <c r="P70" s="50">
        <v>107</v>
      </c>
      <c r="Q70" s="23"/>
      <c r="R70" s="61" t="s">
        <v>10</v>
      </c>
      <c r="S70" s="57">
        <v>5.0169002473206925</v>
      </c>
      <c r="T70" s="23"/>
      <c r="U70" s="23"/>
      <c r="V70" s="23"/>
      <c r="W70" s="49" t="s">
        <v>345</v>
      </c>
      <c r="X70" s="25">
        <v>0.27927927927927926</v>
      </c>
      <c r="Y70" s="25">
        <v>0.1036764705882353</v>
      </c>
      <c r="Z70" s="53">
        <v>0.11692726036709722</v>
      </c>
      <c r="AA70" s="18"/>
    </row>
    <row r="71" spans="2:27" ht="15.75" thickBot="1" x14ac:dyDescent="0.3">
      <c r="B71" s="17"/>
      <c r="C71" s="49" t="s">
        <v>376</v>
      </c>
      <c r="D71" s="34">
        <v>21</v>
      </c>
      <c r="E71" s="34">
        <v>213</v>
      </c>
      <c r="F71" s="50">
        <v>234</v>
      </c>
      <c r="G71" s="23"/>
      <c r="H71" s="49" t="s">
        <v>358</v>
      </c>
      <c r="I71" s="25">
        <v>0.12264150943396226</v>
      </c>
      <c r="J71" s="25">
        <v>0.16817807089859851</v>
      </c>
      <c r="K71" s="53">
        <v>0.16451857467778619</v>
      </c>
      <c r="L71" s="23"/>
      <c r="M71" s="49" t="s">
        <v>354</v>
      </c>
      <c r="N71" s="34">
        <v>12</v>
      </c>
      <c r="O71" s="34">
        <v>124</v>
      </c>
      <c r="P71" s="50">
        <v>136</v>
      </c>
      <c r="Q71" s="23"/>
      <c r="R71" s="62" t="s">
        <v>381</v>
      </c>
      <c r="S71" s="58">
        <v>5.064063684609553</v>
      </c>
      <c r="T71" s="23"/>
      <c r="U71" s="23"/>
      <c r="V71" s="23"/>
      <c r="W71" s="49" t="s">
        <v>342</v>
      </c>
      <c r="X71" s="25">
        <v>0</v>
      </c>
      <c r="Y71" s="25">
        <v>0.11470588235294117</v>
      </c>
      <c r="Z71" s="53">
        <v>0.10605030591434399</v>
      </c>
      <c r="AA71" s="18"/>
    </row>
    <row r="72" spans="2:27" x14ac:dyDescent="0.25">
      <c r="B72" s="17"/>
      <c r="C72" s="49" t="s">
        <v>377</v>
      </c>
      <c r="D72" s="34">
        <v>15</v>
      </c>
      <c r="E72" s="34">
        <v>217</v>
      </c>
      <c r="F72" s="50">
        <v>232</v>
      </c>
      <c r="G72" s="23"/>
      <c r="H72" s="49" t="s">
        <v>359</v>
      </c>
      <c r="I72" s="25">
        <v>0.20754716981132076</v>
      </c>
      <c r="J72" s="25">
        <v>0.179719703215169</v>
      </c>
      <c r="K72" s="53">
        <v>0.1819560272934041</v>
      </c>
      <c r="L72" s="23"/>
      <c r="M72" s="49" t="s">
        <v>350</v>
      </c>
      <c r="N72" s="34">
        <v>12</v>
      </c>
      <c r="O72" s="34">
        <v>160</v>
      </c>
      <c r="P72" s="50">
        <v>172</v>
      </c>
      <c r="Q72" s="23"/>
      <c r="R72" s="23"/>
      <c r="S72" s="23"/>
      <c r="T72" s="23"/>
      <c r="U72" s="23"/>
      <c r="V72" s="23"/>
      <c r="W72" s="49" t="s">
        <v>340</v>
      </c>
      <c r="X72" s="25">
        <v>5.4054054054054057E-2</v>
      </c>
      <c r="Y72" s="25">
        <v>0.15294117647058825</v>
      </c>
      <c r="Z72" s="53">
        <v>0.14547926580557444</v>
      </c>
      <c r="AA72" s="18"/>
    </row>
    <row r="73" spans="2:27" x14ac:dyDescent="0.25">
      <c r="B73" s="17"/>
      <c r="C73" s="49" t="s">
        <v>378</v>
      </c>
      <c r="D73" s="34">
        <v>25</v>
      </c>
      <c r="E73" s="34">
        <v>232</v>
      </c>
      <c r="F73" s="50">
        <v>257</v>
      </c>
      <c r="G73" s="23"/>
      <c r="H73" s="49" t="s">
        <v>360</v>
      </c>
      <c r="I73" s="25">
        <v>0.18867924528301888</v>
      </c>
      <c r="J73" s="25">
        <v>0.14839241549876339</v>
      </c>
      <c r="K73" s="53">
        <v>0.15163002274450341</v>
      </c>
      <c r="L73" s="23"/>
      <c r="M73" s="49" t="s">
        <v>351</v>
      </c>
      <c r="N73" s="34">
        <v>7</v>
      </c>
      <c r="O73" s="34">
        <v>121</v>
      </c>
      <c r="P73" s="50">
        <v>128</v>
      </c>
      <c r="Q73" s="23"/>
      <c r="R73" s="23"/>
      <c r="S73" s="23"/>
      <c r="T73" s="23"/>
      <c r="U73" s="23"/>
      <c r="V73" s="23"/>
      <c r="W73" s="49" t="s">
        <v>343</v>
      </c>
      <c r="X73" s="25">
        <v>0.14414414414414414</v>
      </c>
      <c r="Y73" s="25">
        <v>0.15220588235294116</v>
      </c>
      <c r="Z73" s="53">
        <v>0.15159755268524813</v>
      </c>
      <c r="AA73" s="18"/>
    </row>
    <row r="74" spans="2:27" x14ac:dyDescent="0.25">
      <c r="B74" s="17"/>
      <c r="C74" s="49" t="s">
        <v>379</v>
      </c>
      <c r="D74" s="34">
        <v>16</v>
      </c>
      <c r="E74" s="34">
        <v>201</v>
      </c>
      <c r="F74" s="50">
        <v>217</v>
      </c>
      <c r="G74" s="23"/>
      <c r="H74" s="49" t="s">
        <v>361</v>
      </c>
      <c r="I74" s="25">
        <v>0.17924528301886791</v>
      </c>
      <c r="J74" s="25">
        <v>0.21187139323990106</v>
      </c>
      <c r="K74" s="53">
        <v>0.2092494313874147</v>
      </c>
      <c r="L74" s="23"/>
      <c r="M74" s="49" t="s">
        <v>348</v>
      </c>
      <c r="N74" s="34">
        <v>18</v>
      </c>
      <c r="O74" s="34">
        <v>229</v>
      </c>
      <c r="P74" s="50">
        <v>247</v>
      </c>
      <c r="Q74" s="23"/>
      <c r="R74" s="23"/>
      <c r="S74" s="23"/>
      <c r="T74" s="23"/>
      <c r="U74" s="23"/>
      <c r="V74" s="23"/>
      <c r="W74" s="49" t="s">
        <v>341</v>
      </c>
      <c r="X74" s="25">
        <v>9.0090090090090089E-3</v>
      </c>
      <c r="Y74" s="25">
        <v>8.8970588235294121E-2</v>
      </c>
      <c r="Z74" s="53">
        <v>8.2936777702243378E-2</v>
      </c>
      <c r="AA74" s="18"/>
    </row>
    <row r="75" spans="2:27" ht="15.75" thickBot="1" x14ac:dyDescent="0.3">
      <c r="B75" s="17"/>
      <c r="C75" s="49" t="s">
        <v>380</v>
      </c>
      <c r="D75" s="34">
        <v>17</v>
      </c>
      <c r="E75" s="34">
        <v>170</v>
      </c>
      <c r="F75" s="50">
        <v>187</v>
      </c>
      <c r="G75" s="23"/>
      <c r="H75" s="51" t="s">
        <v>362</v>
      </c>
      <c r="I75" s="54">
        <v>1.8867924528301886E-2</v>
      </c>
      <c r="J75" s="54">
        <v>5.2761747732893653E-2</v>
      </c>
      <c r="K75" s="55">
        <v>5.0037907505686124E-2</v>
      </c>
      <c r="L75" s="23"/>
      <c r="M75" s="49" t="s">
        <v>349</v>
      </c>
      <c r="N75" s="34">
        <v>9</v>
      </c>
      <c r="O75" s="34">
        <v>151</v>
      </c>
      <c r="P75" s="50">
        <v>160</v>
      </c>
      <c r="Q75" s="23"/>
      <c r="R75" s="23"/>
      <c r="S75" s="23"/>
      <c r="T75" s="23"/>
      <c r="U75" s="23"/>
      <c r="V75" s="23"/>
      <c r="W75" s="49" t="s">
        <v>344</v>
      </c>
      <c r="X75" s="25">
        <v>0.14414414414414414</v>
      </c>
      <c r="Y75" s="25">
        <v>0.12941176470588237</v>
      </c>
      <c r="Z75" s="53">
        <v>0.13052345343303876</v>
      </c>
      <c r="AA75" s="18"/>
    </row>
    <row r="76" spans="2:27" ht="15.75" thickBot="1" x14ac:dyDescent="0.3">
      <c r="B76" s="17"/>
      <c r="C76" s="51" t="s">
        <v>381</v>
      </c>
      <c r="D76" s="35">
        <v>106</v>
      </c>
      <c r="E76" s="35">
        <v>1213</v>
      </c>
      <c r="F76" s="52">
        <v>1319</v>
      </c>
      <c r="G76" s="23"/>
      <c r="L76" s="23"/>
      <c r="M76" s="49" t="s">
        <v>353</v>
      </c>
      <c r="N76" s="34">
        <v>8</v>
      </c>
      <c r="O76" s="34">
        <v>65</v>
      </c>
      <c r="P76" s="50">
        <v>73</v>
      </c>
      <c r="Q76" s="23"/>
      <c r="R76" s="23"/>
      <c r="S76" s="23"/>
      <c r="T76" s="23"/>
      <c r="U76" s="23"/>
      <c r="V76" s="23"/>
      <c r="W76" s="49" t="s">
        <v>106</v>
      </c>
      <c r="X76" s="25">
        <v>2.7027027027027029E-2</v>
      </c>
      <c r="Y76" s="25">
        <v>5.1470588235294115E-2</v>
      </c>
      <c r="Z76" s="53">
        <v>4.9626104690686609E-2</v>
      </c>
      <c r="AA76" s="18"/>
    </row>
    <row r="77" spans="2:27" x14ac:dyDescent="0.25">
      <c r="B77" s="17"/>
      <c r="G77" s="23"/>
      <c r="H77" s="23"/>
      <c r="I77" s="23"/>
      <c r="J77" s="23"/>
      <c r="K77" s="23"/>
      <c r="L77" s="23"/>
      <c r="M77" s="49" t="s">
        <v>355</v>
      </c>
      <c r="N77" s="34">
        <v>10</v>
      </c>
      <c r="O77" s="34">
        <v>206</v>
      </c>
      <c r="P77" s="50">
        <v>216</v>
      </c>
      <c r="Q77" s="23"/>
      <c r="R77" s="23"/>
      <c r="S77" s="23"/>
      <c r="T77" s="23"/>
      <c r="U77" s="23"/>
      <c r="V77" s="23"/>
      <c r="W77" s="49" t="s">
        <v>336</v>
      </c>
      <c r="X77" s="25">
        <v>0.26126126126126126</v>
      </c>
      <c r="Y77" s="25">
        <v>0.16250000000000001</v>
      </c>
      <c r="Z77" s="53">
        <v>0.16995241332426919</v>
      </c>
      <c r="AA77" s="18"/>
    </row>
    <row r="78" spans="2:27" ht="15.75" thickBot="1" x14ac:dyDescent="0.3">
      <c r="B78" s="17"/>
      <c r="G78" s="23"/>
      <c r="H78" s="23"/>
      <c r="I78" s="23"/>
      <c r="J78" s="23"/>
      <c r="K78" s="23"/>
      <c r="L78" s="23"/>
      <c r="M78" s="49" t="s">
        <v>352</v>
      </c>
      <c r="N78" s="34">
        <v>18</v>
      </c>
      <c r="O78" s="34">
        <v>62</v>
      </c>
      <c r="P78" s="50">
        <v>80</v>
      </c>
      <c r="Q78" s="23"/>
      <c r="R78" s="23"/>
      <c r="S78" s="23"/>
      <c r="T78" s="23"/>
      <c r="U78" s="23"/>
      <c r="V78" s="23"/>
      <c r="W78" s="51" t="s">
        <v>337</v>
      </c>
      <c r="X78" s="54">
        <v>8.1081081081081086E-2</v>
      </c>
      <c r="Y78" s="54">
        <v>4.4117647058823532E-2</v>
      </c>
      <c r="Z78" s="55">
        <v>4.6906866077498298E-2</v>
      </c>
      <c r="AA78" s="18"/>
    </row>
    <row r="79" spans="2:27" ht="15.75" thickBot="1" x14ac:dyDescent="0.3">
      <c r="B79" s="17"/>
      <c r="G79" s="23"/>
      <c r="H79" s="23"/>
      <c r="I79" s="23"/>
      <c r="J79" s="23"/>
      <c r="K79" s="23"/>
      <c r="L79" s="23"/>
      <c r="M79" s="51" t="s">
        <v>381</v>
      </c>
      <c r="N79" s="35">
        <v>106</v>
      </c>
      <c r="O79" s="35">
        <v>1213</v>
      </c>
      <c r="P79" s="52">
        <v>1319</v>
      </c>
      <c r="Q79" s="23"/>
      <c r="R79" s="23"/>
      <c r="S79" s="23"/>
      <c r="T79" s="23"/>
      <c r="U79" s="23"/>
      <c r="V79" s="23"/>
      <c r="AA79" s="18"/>
    </row>
    <row r="80" spans="2:27" x14ac:dyDescent="0.25">
      <c r="B80" s="17"/>
      <c r="G80" s="23"/>
      <c r="H80" s="23"/>
      <c r="I80" s="23"/>
      <c r="J80" s="23"/>
      <c r="K80" s="23"/>
      <c r="L80" s="23"/>
      <c r="M80" s="23"/>
      <c r="N80" s="23"/>
      <c r="O80" s="23"/>
      <c r="P80" s="23"/>
      <c r="Q80" s="23"/>
      <c r="R80" s="23"/>
      <c r="S80" s="23"/>
      <c r="T80" s="23"/>
      <c r="U80" s="23"/>
      <c r="V80" s="23"/>
      <c r="W80" s="23"/>
      <c r="X80" s="23"/>
      <c r="Y80" s="23"/>
      <c r="Z80" s="23"/>
      <c r="AA80" s="18"/>
    </row>
    <row r="81" spans="2:27" x14ac:dyDescent="0.25">
      <c r="B81" s="17"/>
      <c r="G81" s="23"/>
      <c r="H81" s="23"/>
      <c r="I81" s="23"/>
      <c r="J81" s="23"/>
      <c r="K81" s="23"/>
      <c r="L81" s="23"/>
      <c r="M81" s="23"/>
      <c r="N81" s="23"/>
      <c r="O81" s="23"/>
      <c r="P81" s="23"/>
      <c r="Q81" s="23"/>
      <c r="R81" s="23"/>
      <c r="S81" s="23"/>
      <c r="T81" s="23"/>
      <c r="U81" s="23"/>
      <c r="V81" s="23"/>
      <c r="W81" s="23"/>
      <c r="X81" s="23"/>
      <c r="Y81" s="23"/>
      <c r="Z81" s="23"/>
      <c r="AA81" s="18"/>
    </row>
    <row r="82" spans="2:27" ht="15.75" thickBot="1" x14ac:dyDescent="0.3">
      <c r="B82" s="17"/>
      <c r="G82" s="23"/>
      <c r="H82" s="23"/>
      <c r="I82" s="23"/>
      <c r="J82" s="23"/>
      <c r="K82" s="23"/>
      <c r="L82" s="23"/>
      <c r="M82" s="23"/>
      <c r="N82" s="23"/>
      <c r="O82" s="23"/>
      <c r="P82" s="23"/>
      <c r="Q82" s="23"/>
      <c r="R82" s="23"/>
      <c r="S82" s="23"/>
      <c r="T82" s="23"/>
      <c r="U82" s="23"/>
      <c r="V82" s="23"/>
      <c r="W82" s="23"/>
      <c r="X82" s="23"/>
      <c r="Y82" s="23"/>
      <c r="Z82" s="23"/>
      <c r="AA82" s="18"/>
    </row>
    <row r="83" spans="2:27" ht="15.75" thickBot="1" x14ac:dyDescent="0.3">
      <c r="B83" s="20"/>
      <c r="C83" s="21"/>
      <c r="D83" s="21"/>
      <c r="E83" s="21"/>
      <c r="F83" s="21"/>
      <c r="G83" s="21"/>
      <c r="H83" s="21"/>
      <c r="I83" s="21"/>
      <c r="J83" s="21"/>
      <c r="K83" s="21"/>
      <c r="L83" s="21"/>
      <c r="M83" s="21"/>
      <c r="N83" s="21"/>
      <c r="O83" s="21"/>
      <c r="P83" s="21"/>
      <c r="Q83" s="21"/>
      <c r="R83" s="21"/>
      <c r="S83" s="21"/>
      <c r="T83" s="21"/>
      <c r="U83" s="21"/>
      <c r="V83" s="21"/>
      <c r="W83" s="21"/>
      <c r="X83" s="21"/>
      <c r="Y83" s="21"/>
      <c r="Z83" s="21"/>
      <c r="AA83" s="22"/>
    </row>
    <row r="86" spans="2:27" ht="15.75" thickBot="1" x14ac:dyDescent="0.3"/>
    <row r="87" spans="2:27" ht="15.75" thickBot="1" x14ac:dyDescent="0.3">
      <c r="B87" s="14"/>
      <c r="C87" s="15"/>
      <c r="D87" s="15"/>
      <c r="E87" s="15"/>
      <c r="F87" s="38"/>
      <c r="G87" s="38"/>
      <c r="H87" s="38"/>
      <c r="I87" s="38"/>
      <c r="J87" s="38"/>
      <c r="K87" s="38"/>
      <c r="L87" s="38"/>
      <c r="M87" s="15"/>
      <c r="N87" s="16"/>
    </row>
    <row r="88" spans="2:27" x14ac:dyDescent="0.25">
      <c r="B88" s="17"/>
      <c r="C88" s="106" t="s">
        <v>398</v>
      </c>
      <c r="D88" s="107"/>
      <c r="E88" s="108"/>
      <c r="F88" s="39"/>
      <c r="G88" s="39"/>
      <c r="H88" s="39"/>
      <c r="I88" s="39"/>
      <c r="J88" s="39"/>
      <c r="K88" s="39"/>
      <c r="L88" s="39"/>
      <c r="M88" s="23"/>
      <c r="N88" s="18"/>
    </row>
    <row r="89" spans="2:27" ht="15.75" thickBot="1" x14ac:dyDescent="0.3">
      <c r="B89" s="17"/>
      <c r="C89" s="109"/>
      <c r="D89" s="110"/>
      <c r="E89" s="111"/>
      <c r="F89" s="39"/>
      <c r="G89" s="39"/>
      <c r="H89" s="39"/>
      <c r="I89" s="39"/>
      <c r="J89" s="39"/>
      <c r="K89" s="39"/>
      <c r="L89" s="39"/>
      <c r="M89" s="23"/>
      <c r="N89" s="18"/>
    </row>
    <row r="90" spans="2:27" x14ac:dyDescent="0.25">
      <c r="B90" s="17"/>
      <c r="C90" s="23"/>
      <c r="D90" s="23"/>
      <c r="E90" s="23"/>
      <c r="F90" s="39"/>
      <c r="G90" s="39"/>
      <c r="H90" s="39"/>
      <c r="I90" s="39"/>
      <c r="J90" s="39"/>
      <c r="K90" s="39"/>
      <c r="L90" s="39"/>
      <c r="M90" s="23"/>
      <c r="N90" s="18"/>
    </row>
    <row r="91" spans="2:27" ht="15.75" thickBot="1" x14ac:dyDescent="0.3">
      <c r="B91" s="17"/>
      <c r="C91" s="23"/>
      <c r="D91" s="23"/>
      <c r="E91" s="23"/>
      <c r="F91" s="39"/>
      <c r="G91" s="39"/>
      <c r="H91" s="39"/>
      <c r="I91" s="39"/>
      <c r="J91" s="39"/>
      <c r="K91" s="39"/>
      <c r="L91" s="39"/>
      <c r="M91" s="23"/>
      <c r="N91" s="18"/>
    </row>
    <row r="92" spans="2:27" x14ac:dyDescent="0.25">
      <c r="B92" s="17"/>
      <c r="C92" s="82" t="s">
        <v>399</v>
      </c>
      <c r="D92" s="83"/>
      <c r="E92" s="83"/>
      <c r="F92" s="83"/>
      <c r="G92" s="84"/>
      <c r="H92" s="23"/>
      <c r="I92" s="82" t="s">
        <v>400</v>
      </c>
      <c r="J92" s="83"/>
      <c r="K92" s="83"/>
      <c r="L92" s="83"/>
      <c r="M92" s="84"/>
      <c r="N92" s="18"/>
    </row>
    <row r="93" spans="2:27" ht="15.75" thickBot="1" x14ac:dyDescent="0.3">
      <c r="B93" s="17"/>
      <c r="C93" s="85"/>
      <c r="D93" s="86"/>
      <c r="E93" s="86"/>
      <c r="F93" s="86"/>
      <c r="G93" s="87"/>
      <c r="H93" s="23"/>
      <c r="I93" s="85"/>
      <c r="J93" s="86"/>
      <c r="K93" s="86"/>
      <c r="L93" s="86"/>
      <c r="M93" s="87"/>
      <c r="N93" s="18"/>
    </row>
    <row r="94" spans="2:27" ht="15.75" thickBot="1" x14ac:dyDescent="0.3">
      <c r="B94" s="17"/>
      <c r="C94" s="23"/>
      <c r="D94" s="23"/>
      <c r="E94" s="23"/>
      <c r="F94" s="23"/>
      <c r="G94" s="23"/>
      <c r="H94" s="23"/>
      <c r="I94" s="23"/>
      <c r="J94" s="23"/>
      <c r="K94" s="23"/>
      <c r="L94" s="23"/>
      <c r="M94" s="23"/>
      <c r="N94" s="18"/>
    </row>
    <row r="95" spans="2:27" x14ac:dyDescent="0.25">
      <c r="B95" s="17"/>
      <c r="C95" s="46" t="s">
        <v>372</v>
      </c>
      <c r="D95" s="47" t="s">
        <v>384</v>
      </c>
      <c r="E95" s="15"/>
      <c r="F95" s="15"/>
      <c r="G95" s="16"/>
      <c r="H95" s="23"/>
      <c r="I95" s="46" t="s">
        <v>372</v>
      </c>
      <c r="J95" s="47" t="s">
        <v>384</v>
      </c>
      <c r="K95" s="15"/>
      <c r="L95" s="15"/>
      <c r="M95" s="16"/>
      <c r="N95" s="18"/>
    </row>
    <row r="96" spans="2:27" x14ac:dyDescent="0.25">
      <c r="B96" s="17"/>
      <c r="C96" s="48" t="s">
        <v>396</v>
      </c>
      <c r="D96" s="23" t="s">
        <v>14</v>
      </c>
      <c r="E96" s="23" t="s">
        <v>15</v>
      </c>
      <c r="F96" s="23" t="s">
        <v>12</v>
      </c>
      <c r="G96" s="18" t="s">
        <v>18</v>
      </c>
      <c r="H96" s="23"/>
      <c r="I96" s="48" t="s">
        <v>374</v>
      </c>
      <c r="J96" s="23" t="s">
        <v>14</v>
      </c>
      <c r="K96" s="23" t="s">
        <v>15</v>
      </c>
      <c r="L96" s="23" t="s">
        <v>12</v>
      </c>
      <c r="M96" s="18" t="s">
        <v>18</v>
      </c>
      <c r="N96" s="18"/>
    </row>
    <row r="97" spans="2:14" x14ac:dyDescent="0.25">
      <c r="B97" s="17"/>
      <c r="C97" s="49" t="s">
        <v>347</v>
      </c>
      <c r="D97" s="25">
        <v>0.18691588785046728</v>
      </c>
      <c r="E97" s="25">
        <v>0.37383177570093457</v>
      </c>
      <c r="F97" s="25">
        <v>0.3925233644859813</v>
      </c>
      <c r="G97" s="53">
        <v>4.6728971962616821E-2</v>
      </c>
      <c r="H97" s="23"/>
      <c r="I97" s="49" t="s">
        <v>345</v>
      </c>
      <c r="J97" s="25">
        <v>0.40697674418604651</v>
      </c>
      <c r="K97" s="25">
        <v>0.38953488372093026</v>
      </c>
      <c r="L97" s="25">
        <v>0.1744186046511628</v>
      </c>
      <c r="M97" s="53">
        <v>2.9069767441860465E-2</v>
      </c>
      <c r="N97" s="18"/>
    </row>
    <row r="98" spans="2:14" x14ac:dyDescent="0.25">
      <c r="B98" s="17"/>
      <c r="C98" s="49" t="s">
        <v>354</v>
      </c>
      <c r="D98" s="25">
        <v>0.3235294117647059</v>
      </c>
      <c r="E98" s="25">
        <v>0.35294117647058826</v>
      </c>
      <c r="F98" s="25">
        <v>0.25</v>
      </c>
      <c r="G98" s="53">
        <v>7.3529411764705885E-2</v>
      </c>
      <c r="H98" s="23"/>
      <c r="I98" s="49" t="s">
        <v>342</v>
      </c>
      <c r="J98" s="25">
        <v>0.32051282051282054</v>
      </c>
      <c r="K98" s="25">
        <v>0.50641025641025639</v>
      </c>
      <c r="L98" s="25">
        <v>0.14743589743589744</v>
      </c>
      <c r="M98" s="53">
        <v>2.564102564102564E-2</v>
      </c>
      <c r="N98" s="18"/>
    </row>
    <row r="99" spans="2:14" x14ac:dyDescent="0.25">
      <c r="B99" s="17"/>
      <c r="C99" s="49" t="s">
        <v>350</v>
      </c>
      <c r="D99" s="25">
        <v>0.22674418604651161</v>
      </c>
      <c r="E99" s="25">
        <v>0.34883720930232559</v>
      </c>
      <c r="F99" s="25">
        <v>0.31395348837209303</v>
      </c>
      <c r="G99" s="53">
        <v>0.11046511627906977</v>
      </c>
      <c r="H99" s="23"/>
      <c r="I99" s="49" t="s">
        <v>340</v>
      </c>
      <c r="J99" s="25">
        <v>4.6728971962616819E-3</v>
      </c>
      <c r="K99" s="25">
        <v>0.26168224299065418</v>
      </c>
      <c r="L99" s="25">
        <v>0.49065420560747663</v>
      </c>
      <c r="M99" s="53">
        <v>0.24299065420560748</v>
      </c>
      <c r="N99" s="18"/>
    </row>
    <row r="100" spans="2:14" x14ac:dyDescent="0.25">
      <c r="B100" s="17"/>
      <c r="C100" s="49" t="s">
        <v>351</v>
      </c>
      <c r="D100" s="25">
        <v>0.3828125</v>
      </c>
      <c r="E100" s="25">
        <v>0.3046875</v>
      </c>
      <c r="F100" s="25">
        <v>0.2265625</v>
      </c>
      <c r="G100" s="53">
        <v>8.59375E-2</v>
      </c>
      <c r="H100" s="23"/>
      <c r="I100" s="49" t="s">
        <v>343</v>
      </c>
      <c r="J100" s="25">
        <v>0.30493273542600896</v>
      </c>
      <c r="K100" s="25">
        <v>0.40358744394618834</v>
      </c>
      <c r="L100" s="25">
        <v>0.20627802690582961</v>
      </c>
      <c r="M100" s="53">
        <v>8.520179372197309E-2</v>
      </c>
      <c r="N100" s="18"/>
    </row>
    <row r="101" spans="2:14" x14ac:dyDescent="0.25">
      <c r="B101" s="17"/>
      <c r="C101" s="49" t="s">
        <v>348</v>
      </c>
      <c r="D101" s="25">
        <v>0.25101214574898784</v>
      </c>
      <c r="E101" s="25">
        <v>0.4331983805668016</v>
      </c>
      <c r="F101" s="25">
        <v>0.23886639676113361</v>
      </c>
      <c r="G101" s="53">
        <v>7.6923076923076927E-2</v>
      </c>
      <c r="H101" s="23"/>
      <c r="I101" s="49" t="s">
        <v>341</v>
      </c>
      <c r="J101" s="25">
        <v>0.10655737704918032</v>
      </c>
      <c r="K101" s="25">
        <v>0.73770491803278693</v>
      </c>
      <c r="L101" s="25">
        <v>0.10655737704918032</v>
      </c>
      <c r="M101" s="53">
        <v>4.9180327868852458E-2</v>
      </c>
      <c r="N101" s="18"/>
    </row>
    <row r="102" spans="2:14" x14ac:dyDescent="0.25">
      <c r="B102" s="17"/>
      <c r="C102" s="49" t="s">
        <v>349</v>
      </c>
      <c r="D102" s="25">
        <v>0.23125000000000001</v>
      </c>
      <c r="E102" s="25">
        <v>0.51875000000000004</v>
      </c>
      <c r="F102" s="25">
        <v>0.21875</v>
      </c>
      <c r="G102" s="53">
        <v>3.125E-2</v>
      </c>
      <c r="H102" s="23"/>
      <c r="I102" s="49" t="s">
        <v>344</v>
      </c>
      <c r="J102" s="25">
        <v>0.77083333333333337</v>
      </c>
      <c r="K102" s="25">
        <v>0.14583333333333334</v>
      </c>
      <c r="L102" s="25">
        <v>5.7291666666666664E-2</v>
      </c>
      <c r="M102" s="53">
        <v>2.6041666666666668E-2</v>
      </c>
      <c r="N102" s="18"/>
    </row>
    <row r="103" spans="2:14" x14ac:dyDescent="0.25">
      <c r="B103" s="17"/>
      <c r="C103" s="49" t="s">
        <v>353</v>
      </c>
      <c r="D103" s="25">
        <v>0.23287671232876711</v>
      </c>
      <c r="E103" s="25">
        <v>0.50684931506849318</v>
      </c>
      <c r="F103" s="25">
        <v>0.19178082191780821</v>
      </c>
      <c r="G103" s="53">
        <v>6.8493150684931503E-2</v>
      </c>
      <c r="H103" s="23"/>
      <c r="I103" s="49" t="s">
        <v>106</v>
      </c>
      <c r="J103" s="25">
        <v>8.2191780821917804E-2</v>
      </c>
      <c r="K103" s="25">
        <v>0.41095890410958902</v>
      </c>
      <c r="L103" s="25">
        <v>0.35616438356164382</v>
      </c>
      <c r="M103" s="53">
        <v>0.15068493150684931</v>
      </c>
      <c r="N103" s="18"/>
    </row>
    <row r="104" spans="2:14" x14ac:dyDescent="0.25">
      <c r="B104" s="17"/>
      <c r="C104" s="49" t="s">
        <v>355</v>
      </c>
      <c r="D104" s="25">
        <v>0.35185185185185186</v>
      </c>
      <c r="E104" s="25">
        <v>0.53703703703703709</v>
      </c>
      <c r="F104" s="25">
        <v>8.3333333333333329E-2</v>
      </c>
      <c r="G104" s="53">
        <v>2.7777777777777776E-2</v>
      </c>
      <c r="H104" s="23"/>
      <c r="I104" s="49" t="s">
        <v>336</v>
      </c>
      <c r="J104" s="25">
        <v>4.3999999999999997E-2</v>
      </c>
      <c r="K104" s="25">
        <v>0.51600000000000001</v>
      </c>
      <c r="L104" s="25">
        <v>0.35199999999999998</v>
      </c>
      <c r="M104" s="53">
        <v>8.7999999999999995E-2</v>
      </c>
      <c r="N104" s="18"/>
    </row>
    <row r="105" spans="2:14" x14ac:dyDescent="0.25">
      <c r="B105" s="17"/>
      <c r="C105" s="49" t="s">
        <v>352</v>
      </c>
      <c r="D105" s="25">
        <v>0.32500000000000001</v>
      </c>
      <c r="E105" s="25">
        <v>0.42499999999999999</v>
      </c>
      <c r="F105" s="25">
        <v>0.25</v>
      </c>
      <c r="G105" s="53">
        <v>0</v>
      </c>
      <c r="H105" s="23"/>
      <c r="I105" s="49" t="s">
        <v>337</v>
      </c>
      <c r="J105" s="25">
        <v>2.8985507246376812E-2</v>
      </c>
      <c r="K105" s="25">
        <v>0.37681159420289856</v>
      </c>
      <c r="L105" s="25">
        <v>0.47826086956521741</v>
      </c>
      <c r="M105" s="53">
        <v>0.11594202898550725</v>
      </c>
      <c r="N105" s="18"/>
    </row>
    <row r="106" spans="2:14" ht="15.75" thickBot="1" x14ac:dyDescent="0.3">
      <c r="B106" s="17"/>
      <c r="C106" s="51" t="s">
        <v>381</v>
      </c>
      <c r="D106" s="54">
        <v>0.28051554207733131</v>
      </c>
      <c r="E106" s="54">
        <v>0.42759666413949959</v>
      </c>
      <c r="F106" s="54">
        <v>0.23123578468536771</v>
      </c>
      <c r="G106" s="55">
        <v>6.0652009097801364E-2</v>
      </c>
      <c r="H106" s="23"/>
      <c r="I106" s="51" t="s">
        <v>381</v>
      </c>
      <c r="J106" s="54">
        <v>0.25084976206662135</v>
      </c>
      <c r="K106" s="54">
        <v>0.40448674371176069</v>
      </c>
      <c r="L106" s="54">
        <v>0.25492861998640381</v>
      </c>
      <c r="M106" s="55">
        <v>8.9734874235214146E-2</v>
      </c>
      <c r="N106" s="18"/>
    </row>
    <row r="107" spans="2:14" x14ac:dyDescent="0.25">
      <c r="B107" s="17"/>
      <c r="C107" s="23"/>
      <c r="D107" s="23"/>
      <c r="E107" s="23"/>
      <c r="F107" s="23"/>
      <c r="G107" s="23"/>
      <c r="H107" s="23"/>
      <c r="I107" s="23"/>
      <c r="J107" s="23"/>
      <c r="K107" s="23"/>
      <c r="L107" s="23"/>
      <c r="M107" s="23"/>
      <c r="N107" s="18"/>
    </row>
    <row r="108" spans="2:14" x14ac:dyDescent="0.25">
      <c r="B108" s="17"/>
      <c r="C108" s="23"/>
      <c r="D108" s="23"/>
      <c r="E108" s="23"/>
      <c r="F108" s="23"/>
      <c r="G108" s="23"/>
      <c r="H108" s="23"/>
      <c r="I108" s="23"/>
      <c r="J108" s="23"/>
      <c r="K108" s="23"/>
      <c r="L108" s="23"/>
      <c r="M108" s="23"/>
      <c r="N108" s="18"/>
    </row>
    <row r="109" spans="2:14" ht="15.75" thickBot="1" x14ac:dyDescent="0.3">
      <c r="B109" s="17"/>
      <c r="C109" s="23"/>
      <c r="D109" s="23"/>
      <c r="E109" s="23"/>
      <c r="F109" s="23"/>
      <c r="G109" s="23"/>
      <c r="H109" s="23"/>
      <c r="I109" s="23"/>
      <c r="J109" s="23"/>
      <c r="K109" s="23"/>
      <c r="L109" s="23"/>
      <c r="M109" s="23"/>
      <c r="N109" s="18"/>
    </row>
    <row r="110" spans="2:14" x14ac:dyDescent="0.25">
      <c r="B110" s="17"/>
      <c r="C110" s="82" t="s">
        <v>401</v>
      </c>
      <c r="D110" s="83"/>
      <c r="E110" s="83"/>
      <c r="F110" s="83"/>
      <c r="G110" s="84"/>
      <c r="H110" s="23"/>
      <c r="I110" s="82" t="s">
        <v>402</v>
      </c>
      <c r="J110" s="83"/>
      <c r="K110" s="83"/>
      <c r="L110" s="83"/>
      <c r="M110" s="84"/>
      <c r="N110" s="18"/>
    </row>
    <row r="111" spans="2:14" ht="15.75" thickBot="1" x14ac:dyDescent="0.3">
      <c r="B111" s="17"/>
      <c r="C111" s="85"/>
      <c r="D111" s="86"/>
      <c r="E111" s="86"/>
      <c r="F111" s="86"/>
      <c r="G111" s="87"/>
      <c r="H111" s="23"/>
      <c r="I111" s="85"/>
      <c r="J111" s="86"/>
      <c r="K111" s="86"/>
      <c r="L111" s="86"/>
      <c r="M111" s="87"/>
      <c r="N111" s="18"/>
    </row>
    <row r="112" spans="2:14" ht="15.75" thickBot="1" x14ac:dyDescent="0.3">
      <c r="B112" s="17"/>
      <c r="C112" s="23"/>
      <c r="D112" s="23"/>
      <c r="E112" s="23"/>
      <c r="F112" s="23"/>
      <c r="G112" s="23"/>
      <c r="H112" s="23"/>
      <c r="I112" s="23"/>
      <c r="J112" s="23"/>
      <c r="K112" s="23"/>
      <c r="L112" s="23"/>
      <c r="M112" s="23"/>
      <c r="N112" s="18"/>
    </row>
    <row r="113" spans="2:14" ht="15.75" thickBot="1" x14ac:dyDescent="0.3">
      <c r="B113" s="17"/>
      <c r="C113" s="59" t="s">
        <v>397</v>
      </c>
      <c r="D113" s="63" t="s">
        <v>395</v>
      </c>
      <c r="E113" s="23"/>
      <c r="F113" s="23"/>
      <c r="G113" s="23"/>
      <c r="H113" s="23"/>
      <c r="I113" s="59" t="s">
        <v>396</v>
      </c>
      <c r="J113" s="63" t="s">
        <v>395</v>
      </c>
      <c r="K113" s="23"/>
      <c r="L113" s="23"/>
      <c r="M113" s="23"/>
      <c r="N113" s="18"/>
    </row>
    <row r="114" spans="2:14" x14ac:dyDescent="0.25">
      <c r="B114" s="17"/>
      <c r="C114" s="60" t="s">
        <v>363</v>
      </c>
      <c r="D114" s="56">
        <v>5.5864022662889514</v>
      </c>
      <c r="E114" s="23"/>
      <c r="F114" s="23"/>
      <c r="G114" s="23"/>
      <c r="H114" s="23"/>
      <c r="I114" s="60" t="s">
        <v>347</v>
      </c>
      <c r="J114" s="56">
        <v>7.4067164179104479</v>
      </c>
      <c r="K114" s="23"/>
      <c r="L114" s="23"/>
      <c r="M114" s="23"/>
      <c r="N114" s="18"/>
    </row>
    <row r="115" spans="2:14" x14ac:dyDescent="0.25">
      <c r="B115" s="17"/>
      <c r="C115" s="67" t="s">
        <v>358</v>
      </c>
      <c r="D115" s="57">
        <v>4.8991416309012878</v>
      </c>
      <c r="E115" s="23"/>
      <c r="F115" s="23"/>
      <c r="G115" s="23"/>
      <c r="H115" s="23"/>
      <c r="I115" s="67" t="s">
        <v>354</v>
      </c>
      <c r="J115" s="57">
        <v>5.9801324503311255</v>
      </c>
      <c r="K115" s="23"/>
      <c r="L115" s="23"/>
      <c r="M115" s="23"/>
      <c r="N115" s="18"/>
    </row>
    <row r="116" spans="2:14" x14ac:dyDescent="0.25">
      <c r="B116" s="17"/>
      <c r="C116" s="67" t="s">
        <v>359</v>
      </c>
      <c r="D116" s="57">
        <v>5.9293286219081276</v>
      </c>
      <c r="E116" s="23"/>
      <c r="F116" s="23"/>
      <c r="G116" s="23"/>
      <c r="H116" s="23"/>
      <c r="I116" s="67" t="s">
        <v>350</v>
      </c>
      <c r="J116" s="57">
        <v>7.437823834196891</v>
      </c>
      <c r="K116" s="23"/>
      <c r="L116" s="23"/>
      <c r="M116" s="23"/>
      <c r="N116" s="18"/>
    </row>
    <row r="117" spans="2:14" x14ac:dyDescent="0.25">
      <c r="B117" s="17"/>
      <c r="C117" s="67" t="s">
        <v>360</v>
      </c>
      <c r="D117" s="57">
        <v>5.9663677130044839</v>
      </c>
      <c r="E117" s="23"/>
      <c r="F117" s="23"/>
      <c r="G117" s="23"/>
      <c r="H117" s="23"/>
      <c r="I117" s="67" t="s">
        <v>351</v>
      </c>
      <c r="J117" s="57">
        <v>5.8784722222222223</v>
      </c>
      <c r="K117" s="23"/>
      <c r="L117" s="23"/>
      <c r="M117" s="23"/>
      <c r="N117" s="18"/>
    </row>
    <row r="118" spans="2:14" x14ac:dyDescent="0.25">
      <c r="B118" s="17"/>
      <c r="C118" s="67" t="s">
        <v>361</v>
      </c>
      <c r="D118" s="57">
        <v>6.4306930693069306</v>
      </c>
      <c r="E118" s="23"/>
      <c r="F118" s="23"/>
      <c r="G118" s="23"/>
      <c r="H118" s="23"/>
      <c r="I118" s="67" t="s">
        <v>348</v>
      </c>
      <c r="J118" s="57">
        <v>6.237676056338028</v>
      </c>
      <c r="K118" s="23"/>
      <c r="L118" s="23"/>
      <c r="M118" s="23"/>
      <c r="N118" s="18"/>
    </row>
    <row r="119" spans="2:14" ht="15.75" thickBot="1" x14ac:dyDescent="0.3">
      <c r="B119" s="17"/>
      <c r="C119" s="61" t="s">
        <v>362</v>
      </c>
      <c r="D119" s="57">
        <v>6.2697368421052628</v>
      </c>
      <c r="E119" s="23"/>
      <c r="F119" s="23"/>
      <c r="G119" s="23"/>
      <c r="H119" s="23"/>
      <c r="I119" s="67" t="s">
        <v>349</v>
      </c>
      <c r="J119" s="57">
        <v>5.2285714285714286</v>
      </c>
      <c r="K119" s="23"/>
      <c r="L119" s="23"/>
      <c r="M119" s="23"/>
      <c r="N119" s="18"/>
    </row>
    <row r="120" spans="2:14" ht="15.75" thickBot="1" x14ac:dyDescent="0.3">
      <c r="B120" s="17"/>
      <c r="C120" s="62" t="s">
        <v>381</v>
      </c>
      <c r="D120" s="58">
        <v>5.8103331067301154</v>
      </c>
      <c r="E120" s="23"/>
      <c r="F120" s="23"/>
      <c r="G120" s="23"/>
      <c r="H120" s="23"/>
      <c r="I120" s="67" t="s">
        <v>353</v>
      </c>
      <c r="J120" s="57">
        <v>6.1768292682926829</v>
      </c>
      <c r="K120" s="23"/>
      <c r="L120" s="23"/>
      <c r="M120" s="23"/>
      <c r="N120" s="18"/>
    </row>
    <row r="121" spans="2:14" x14ac:dyDescent="0.25">
      <c r="B121" s="17"/>
      <c r="C121" s="23"/>
      <c r="D121" s="23"/>
      <c r="E121" s="23"/>
      <c r="F121" s="23"/>
      <c r="G121" s="23"/>
      <c r="H121" s="23"/>
      <c r="I121" s="67" t="s">
        <v>355</v>
      </c>
      <c r="J121" s="57">
        <v>3.5769230769230771</v>
      </c>
      <c r="K121" s="23"/>
      <c r="L121" s="23"/>
      <c r="M121" s="23"/>
      <c r="N121" s="18"/>
    </row>
    <row r="122" spans="2:14" ht="15.75" thickBot="1" x14ac:dyDescent="0.3">
      <c r="B122" s="17"/>
      <c r="C122" s="23"/>
      <c r="D122" s="23"/>
      <c r="E122" s="23"/>
      <c r="F122" s="23"/>
      <c r="G122" s="23"/>
      <c r="H122" s="23"/>
      <c r="I122" s="61" t="s">
        <v>352</v>
      </c>
      <c r="J122" s="57">
        <v>4.4367816091954024</v>
      </c>
      <c r="K122" s="23"/>
      <c r="L122" s="23"/>
      <c r="M122" s="23"/>
      <c r="N122" s="18"/>
    </row>
    <row r="123" spans="2:14" ht="15.75" thickBot="1" x14ac:dyDescent="0.3">
      <c r="B123" s="17"/>
      <c r="C123" s="23"/>
      <c r="D123" s="23"/>
      <c r="E123" s="23"/>
      <c r="F123" s="23"/>
      <c r="G123" s="23"/>
      <c r="H123" s="23"/>
      <c r="I123" s="62" t="s">
        <v>381</v>
      </c>
      <c r="J123" s="58">
        <v>5.8103331067301154</v>
      </c>
      <c r="K123" s="23"/>
      <c r="L123" s="23"/>
      <c r="M123" s="23"/>
      <c r="N123" s="18"/>
    </row>
    <row r="124" spans="2:14" x14ac:dyDescent="0.25">
      <c r="B124" s="17"/>
      <c r="C124" s="23"/>
      <c r="D124" s="23"/>
      <c r="E124" s="23"/>
      <c r="F124" s="23"/>
      <c r="G124" s="23"/>
      <c r="H124" s="23"/>
      <c r="I124" s="23"/>
      <c r="J124" s="23"/>
      <c r="K124" s="23"/>
      <c r="L124" s="23"/>
      <c r="M124" s="23"/>
      <c r="N124" s="18"/>
    </row>
    <row r="125" spans="2:14" ht="15.75" thickBot="1" x14ac:dyDescent="0.3">
      <c r="B125" s="20"/>
      <c r="C125" s="21"/>
      <c r="D125" s="21"/>
      <c r="E125" s="21"/>
      <c r="F125" s="21"/>
      <c r="G125" s="21"/>
      <c r="H125" s="21"/>
      <c r="I125" s="21"/>
      <c r="J125" s="21"/>
      <c r="K125" s="21"/>
      <c r="L125" s="21"/>
      <c r="M125" s="21"/>
      <c r="N125" s="22"/>
    </row>
    <row r="128" spans="2:14" ht="15.75" thickBot="1" x14ac:dyDescent="0.3"/>
    <row r="129" spans="2:15" ht="15.75" thickBot="1" x14ac:dyDescent="0.3">
      <c r="B129" s="14"/>
      <c r="C129" s="15"/>
      <c r="D129" s="15"/>
      <c r="E129" s="15"/>
      <c r="F129" s="15"/>
      <c r="G129" s="15"/>
      <c r="H129" s="15"/>
      <c r="I129" s="15"/>
      <c r="J129" s="15"/>
      <c r="K129" s="15"/>
      <c r="L129" s="15"/>
      <c r="M129" s="15"/>
      <c r="N129" s="15"/>
      <c r="O129" s="16"/>
    </row>
    <row r="130" spans="2:15" x14ac:dyDescent="0.25">
      <c r="B130" s="17"/>
      <c r="C130" s="88" t="s">
        <v>403</v>
      </c>
      <c r="D130" s="89"/>
      <c r="E130" s="90"/>
      <c r="F130" s="23"/>
      <c r="G130" s="23"/>
      <c r="H130" s="23"/>
      <c r="I130" s="23"/>
      <c r="J130" s="23"/>
      <c r="K130" s="23"/>
      <c r="L130" s="23"/>
      <c r="M130" s="23"/>
      <c r="N130" s="23"/>
      <c r="O130" s="18"/>
    </row>
    <row r="131" spans="2:15" ht="15.75" thickBot="1" x14ac:dyDescent="0.3">
      <c r="B131" s="17"/>
      <c r="C131" s="91"/>
      <c r="D131" s="92"/>
      <c r="E131" s="93"/>
      <c r="F131" s="23"/>
      <c r="G131" s="23"/>
      <c r="H131" s="23"/>
      <c r="I131" s="23"/>
      <c r="J131" s="23"/>
      <c r="K131" s="23"/>
      <c r="L131" s="23"/>
      <c r="M131" s="23"/>
      <c r="N131" s="23"/>
      <c r="O131" s="18"/>
    </row>
    <row r="132" spans="2:15" x14ac:dyDescent="0.25">
      <c r="B132" s="17"/>
      <c r="C132" s="23"/>
      <c r="D132" s="23"/>
      <c r="E132" s="23"/>
      <c r="F132" s="23"/>
      <c r="G132" s="23"/>
      <c r="H132" s="23"/>
      <c r="I132" s="23"/>
      <c r="J132" s="23"/>
      <c r="K132" s="23"/>
      <c r="L132" s="23"/>
      <c r="M132" s="23"/>
      <c r="N132" s="23"/>
      <c r="O132" s="18"/>
    </row>
    <row r="133" spans="2:15" ht="15.75" thickBot="1" x14ac:dyDescent="0.3">
      <c r="B133" s="17"/>
      <c r="C133" s="23"/>
      <c r="D133" s="23"/>
      <c r="E133" s="23"/>
      <c r="F133" s="23"/>
      <c r="G133" s="23"/>
      <c r="H133" s="23"/>
      <c r="I133" s="23"/>
      <c r="J133" s="23"/>
      <c r="K133" s="23"/>
      <c r="L133" s="23"/>
      <c r="M133" s="23"/>
      <c r="N133" s="23"/>
      <c r="O133" s="18"/>
    </row>
    <row r="134" spans="2:15" ht="57.75" customHeight="1" x14ac:dyDescent="0.25">
      <c r="B134" s="17"/>
      <c r="C134" s="94" t="s">
        <v>404</v>
      </c>
      <c r="D134" s="95"/>
      <c r="E134" s="23"/>
      <c r="F134" s="23"/>
      <c r="G134" s="98" t="s">
        <v>405</v>
      </c>
      <c r="H134" s="99"/>
      <c r="I134" s="23"/>
      <c r="J134" s="23"/>
      <c r="K134" s="23"/>
      <c r="L134" s="23"/>
      <c r="M134" s="23"/>
      <c r="N134" s="23"/>
      <c r="O134" s="18"/>
    </row>
    <row r="135" spans="2:15" ht="57.75" customHeight="1" thickBot="1" x14ac:dyDescent="0.3">
      <c r="B135" s="17"/>
      <c r="C135" s="96"/>
      <c r="D135" s="97"/>
      <c r="E135" s="23"/>
      <c r="F135" s="23"/>
      <c r="G135" s="100"/>
      <c r="H135" s="101"/>
      <c r="I135" s="23"/>
      <c r="J135" s="23"/>
      <c r="K135" s="23"/>
      <c r="L135" s="23"/>
      <c r="M135" s="23"/>
      <c r="N135" s="23"/>
      <c r="O135" s="18"/>
    </row>
    <row r="136" spans="2:15" ht="15.75" thickBot="1" x14ac:dyDescent="0.3">
      <c r="B136" s="17"/>
      <c r="C136" s="23"/>
      <c r="D136" s="23"/>
      <c r="E136" s="23"/>
      <c r="F136" s="23"/>
      <c r="G136" s="23"/>
      <c r="H136" s="23"/>
      <c r="I136" s="23"/>
      <c r="J136" s="23"/>
      <c r="K136" s="23"/>
      <c r="L136" s="23"/>
      <c r="M136" s="23"/>
      <c r="N136" s="23"/>
      <c r="O136" s="18"/>
    </row>
    <row r="137" spans="2:15" x14ac:dyDescent="0.25">
      <c r="B137" s="17"/>
      <c r="C137" s="23"/>
      <c r="D137" s="23"/>
      <c r="E137" s="23"/>
      <c r="F137" s="23"/>
      <c r="G137" s="46" t="s">
        <v>372</v>
      </c>
      <c r="H137" s="47" t="s">
        <v>397</v>
      </c>
      <c r="I137" s="15"/>
      <c r="J137" s="15"/>
      <c r="K137" s="15"/>
      <c r="L137" s="15"/>
      <c r="M137" s="15"/>
      <c r="N137" s="16"/>
      <c r="O137" s="18"/>
    </row>
    <row r="138" spans="2:15" x14ac:dyDescent="0.25">
      <c r="B138" s="17"/>
      <c r="C138" s="23"/>
      <c r="D138" s="23"/>
      <c r="E138" s="23"/>
      <c r="F138" s="23"/>
      <c r="G138" s="48" t="s">
        <v>396</v>
      </c>
      <c r="H138" s="23" t="s">
        <v>363</v>
      </c>
      <c r="I138" s="23" t="s">
        <v>358</v>
      </c>
      <c r="J138" s="23" t="s">
        <v>359</v>
      </c>
      <c r="K138" s="23" t="s">
        <v>360</v>
      </c>
      <c r="L138" s="23" t="s">
        <v>361</v>
      </c>
      <c r="M138" s="23" t="s">
        <v>362</v>
      </c>
      <c r="N138" s="18" t="s">
        <v>381</v>
      </c>
      <c r="O138" s="18"/>
    </row>
    <row r="139" spans="2:15" x14ac:dyDescent="0.25">
      <c r="B139" s="17"/>
      <c r="C139" s="23"/>
      <c r="D139" s="23"/>
      <c r="E139" s="23"/>
      <c r="F139" s="23"/>
      <c r="G139" s="49" t="s">
        <v>347</v>
      </c>
      <c r="H139" s="34">
        <v>18</v>
      </c>
      <c r="I139" s="34">
        <v>12</v>
      </c>
      <c r="J139" s="34">
        <v>22</v>
      </c>
      <c r="K139" s="34">
        <v>21</v>
      </c>
      <c r="L139" s="34">
        <v>13</v>
      </c>
      <c r="M139" s="34">
        <v>21</v>
      </c>
      <c r="N139" s="50">
        <v>107</v>
      </c>
      <c r="O139" s="18"/>
    </row>
    <row r="140" spans="2:15" x14ac:dyDescent="0.25">
      <c r="B140" s="17"/>
      <c r="C140" s="23"/>
      <c r="D140" s="23"/>
      <c r="E140" s="23"/>
      <c r="F140" s="23"/>
      <c r="G140" s="49" t="s">
        <v>354</v>
      </c>
      <c r="H140" s="34">
        <v>33</v>
      </c>
      <c r="I140" s="34">
        <v>9</v>
      </c>
      <c r="J140" s="34">
        <v>15</v>
      </c>
      <c r="K140" s="34">
        <v>19</v>
      </c>
      <c r="L140" s="34">
        <v>29</v>
      </c>
      <c r="M140" s="34">
        <v>31</v>
      </c>
      <c r="N140" s="50">
        <v>136</v>
      </c>
      <c r="O140" s="18"/>
    </row>
    <row r="141" spans="2:15" x14ac:dyDescent="0.25">
      <c r="B141" s="17"/>
      <c r="C141" s="23"/>
      <c r="D141" s="23"/>
      <c r="E141" s="23"/>
      <c r="F141" s="23"/>
      <c r="G141" s="49" t="s">
        <v>350</v>
      </c>
      <c r="H141" s="34">
        <v>34</v>
      </c>
      <c r="I141" s="34">
        <v>26</v>
      </c>
      <c r="J141" s="34">
        <v>43</v>
      </c>
      <c r="K141" s="34">
        <v>31</v>
      </c>
      <c r="L141" s="34">
        <v>36</v>
      </c>
      <c r="M141" s="34">
        <v>2</v>
      </c>
      <c r="N141" s="50">
        <v>172</v>
      </c>
      <c r="O141" s="18"/>
    </row>
    <row r="142" spans="2:15" x14ac:dyDescent="0.25">
      <c r="B142" s="17"/>
      <c r="C142" s="23"/>
      <c r="D142" s="23"/>
      <c r="E142" s="23"/>
      <c r="F142" s="23"/>
      <c r="G142" s="49" t="s">
        <v>351</v>
      </c>
      <c r="H142" s="34">
        <v>46</v>
      </c>
      <c r="I142" s="34">
        <v>34</v>
      </c>
      <c r="J142" s="34">
        <v>14</v>
      </c>
      <c r="K142" s="34">
        <v>15</v>
      </c>
      <c r="L142" s="34">
        <v>19</v>
      </c>
      <c r="M142" s="34"/>
      <c r="N142" s="50">
        <v>128</v>
      </c>
      <c r="O142" s="18"/>
    </row>
    <row r="143" spans="2:15" x14ac:dyDescent="0.25">
      <c r="B143" s="17"/>
      <c r="C143" s="23"/>
      <c r="D143" s="23"/>
      <c r="E143" s="23"/>
      <c r="F143" s="23"/>
      <c r="G143" s="49" t="s">
        <v>348</v>
      </c>
      <c r="H143" s="34">
        <v>55</v>
      </c>
      <c r="I143" s="34">
        <v>59</v>
      </c>
      <c r="J143" s="34">
        <v>52</v>
      </c>
      <c r="K143" s="34">
        <v>37</v>
      </c>
      <c r="L143" s="34">
        <v>44</v>
      </c>
      <c r="M143" s="34"/>
      <c r="N143" s="50">
        <v>247</v>
      </c>
      <c r="O143" s="18"/>
    </row>
    <row r="144" spans="2:15" x14ac:dyDescent="0.25">
      <c r="B144" s="17"/>
      <c r="C144" s="23"/>
      <c r="D144" s="23"/>
      <c r="E144" s="23"/>
      <c r="F144" s="23"/>
      <c r="G144" s="49" t="s">
        <v>349</v>
      </c>
      <c r="H144" s="34">
        <v>73</v>
      </c>
      <c r="I144" s="34">
        <v>12</v>
      </c>
      <c r="J144" s="34">
        <v>8</v>
      </c>
      <c r="K144" s="34">
        <v>20</v>
      </c>
      <c r="L144" s="34">
        <v>47</v>
      </c>
      <c r="M144" s="34"/>
      <c r="N144" s="50">
        <v>160</v>
      </c>
      <c r="O144" s="18"/>
    </row>
    <row r="145" spans="2:15" x14ac:dyDescent="0.25">
      <c r="B145" s="17"/>
      <c r="C145" s="23"/>
      <c r="D145" s="23"/>
      <c r="E145" s="23"/>
      <c r="F145" s="23"/>
      <c r="G145" s="49" t="s">
        <v>353</v>
      </c>
      <c r="H145" s="34">
        <v>26</v>
      </c>
      <c r="I145" s="34">
        <v>13</v>
      </c>
      <c r="J145" s="34">
        <v>15</v>
      </c>
      <c r="K145" s="34">
        <v>3</v>
      </c>
      <c r="L145" s="34">
        <v>16</v>
      </c>
      <c r="M145" s="34"/>
      <c r="N145" s="50">
        <v>73</v>
      </c>
      <c r="O145" s="18"/>
    </row>
    <row r="146" spans="2:15" x14ac:dyDescent="0.25">
      <c r="B146" s="17"/>
      <c r="C146" s="23"/>
      <c r="D146" s="23"/>
      <c r="E146" s="23"/>
      <c r="F146" s="23"/>
      <c r="G146" s="49" t="s">
        <v>355</v>
      </c>
      <c r="H146" s="34">
        <v>23</v>
      </c>
      <c r="I146" s="34">
        <v>51</v>
      </c>
      <c r="J146" s="34">
        <v>62</v>
      </c>
      <c r="K146" s="34">
        <v>27</v>
      </c>
      <c r="L146" s="34">
        <v>53</v>
      </c>
      <c r="M146" s="34"/>
      <c r="N146" s="50">
        <v>216</v>
      </c>
      <c r="O146" s="18"/>
    </row>
    <row r="147" spans="2:15" x14ac:dyDescent="0.25">
      <c r="B147" s="17"/>
      <c r="C147" s="23"/>
      <c r="D147" s="23"/>
      <c r="E147" s="23"/>
      <c r="F147" s="23"/>
      <c r="G147" s="49" t="s">
        <v>352</v>
      </c>
      <c r="H147" s="34">
        <v>12</v>
      </c>
      <c r="I147" s="34">
        <v>1</v>
      </c>
      <c r="J147" s="34">
        <v>9</v>
      </c>
      <c r="K147" s="34">
        <v>27</v>
      </c>
      <c r="L147" s="34">
        <v>19</v>
      </c>
      <c r="M147" s="34">
        <v>12</v>
      </c>
      <c r="N147" s="50">
        <v>80</v>
      </c>
      <c r="O147" s="18"/>
    </row>
    <row r="148" spans="2:15" ht="15.75" thickBot="1" x14ac:dyDescent="0.3">
      <c r="B148" s="17"/>
      <c r="C148" s="23"/>
      <c r="D148" s="23"/>
      <c r="E148" s="23"/>
      <c r="F148" s="23"/>
      <c r="G148" s="51" t="s">
        <v>381</v>
      </c>
      <c r="H148" s="35">
        <v>320</v>
      </c>
      <c r="I148" s="35">
        <v>217</v>
      </c>
      <c r="J148" s="35">
        <v>240</v>
      </c>
      <c r="K148" s="35">
        <v>200</v>
      </c>
      <c r="L148" s="35">
        <v>276</v>
      </c>
      <c r="M148" s="35">
        <v>66</v>
      </c>
      <c r="N148" s="52">
        <v>1319</v>
      </c>
      <c r="O148" s="18"/>
    </row>
    <row r="149" spans="2:15" x14ac:dyDescent="0.25">
      <c r="B149" s="17"/>
      <c r="C149" s="23"/>
      <c r="D149" s="23"/>
      <c r="E149" s="23"/>
      <c r="F149" s="23"/>
      <c r="G149" s="23"/>
      <c r="H149" s="23"/>
      <c r="I149" s="23"/>
      <c r="J149" s="23"/>
      <c r="K149" s="23"/>
      <c r="L149" s="23"/>
      <c r="M149" s="23"/>
      <c r="N149" s="23"/>
      <c r="O149" s="18"/>
    </row>
    <row r="150" spans="2:15" x14ac:dyDescent="0.25">
      <c r="B150" s="17"/>
      <c r="C150" s="23"/>
      <c r="D150" s="23"/>
      <c r="E150" s="23"/>
      <c r="F150" s="23"/>
      <c r="G150" s="23"/>
      <c r="H150" s="23"/>
      <c r="I150" s="23"/>
      <c r="J150" s="23"/>
      <c r="K150" s="23"/>
      <c r="L150" s="23"/>
      <c r="M150" s="23"/>
      <c r="N150" s="23"/>
      <c r="O150" s="18"/>
    </row>
    <row r="151" spans="2:15" x14ac:dyDescent="0.25">
      <c r="B151" s="17"/>
      <c r="C151" s="23"/>
      <c r="D151" s="23"/>
      <c r="E151" s="23"/>
      <c r="F151" s="23"/>
      <c r="G151" s="23"/>
      <c r="H151" s="23"/>
      <c r="I151" s="23"/>
      <c r="J151" s="23"/>
      <c r="K151" s="23"/>
      <c r="L151" s="23"/>
      <c r="M151" s="23"/>
      <c r="N151" s="23"/>
      <c r="O151" s="18"/>
    </row>
    <row r="152" spans="2:15" x14ac:dyDescent="0.25">
      <c r="B152" s="17"/>
      <c r="C152" s="23"/>
      <c r="D152" s="23"/>
      <c r="E152" s="23"/>
      <c r="F152" s="23"/>
      <c r="G152" s="23"/>
      <c r="H152" s="23"/>
      <c r="I152" s="23"/>
      <c r="J152" s="23"/>
      <c r="K152" s="23"/>
      <c r="L152" s="23"/>
      <c r="M152" s="23"/>
      <c r="N152" s="23"/>
      <c r="O152" s="18"/>
    </row>
    <row r="153" spans="2:15" x14ac:dyDescent="0.25">
      <c r="B153" s="17"/>
      <c r="C153" s="23"/>
      <c r="D153" s="23"/>
      <c r="E153" s="23"/>
      <c r="F153" s="23"/>
      <c r="G153" s="23"/>
      <c r="H153" s="23"/>
      <c r="I153" s="23"/>
      <c r="J153" s="23"/>
      <c r="K153" s="23"/>
      <c r="L153" s="23"/>
      <c r="M153" s="23"/>
      <c r="N153" s="23"/>
      <c r="O153" s="18"/>
    </row>
    <row r="154" spans="2:15" ht="15.75" thickBot="1" x14ac:dyDescent="0.3">
      <c r="B154" s="20"/>
      <c r="C154" s="21"/>
      <c r="D154" s="21"/>
      <c r="E154" s="21"/>
      <c r="F154" s="21"/>
      <c r="G154" s="21"/>
      <c r="H154" s="21"/>
      <c r="I154" s="21"/>
      <c r="J154" s="21"/>
      <c r="K154" s="21"/>
      <c r="L154" s="21"/>
      <c r="M154" s="21"/>
      <c r="N154" s="21"/>
      <c r="O154" s="22"/>
    </row>
  </sheetData>
  <mergeCells count="25">
    <mergeCell ref="D1:E2"/>
    <mergeCell ref="G1:H2"/>
    <mergeCell ref="J1:K2"/>
    <mergeCell ref="D3:E4"/>
    <mergeCell ref="G3:H4"/>
    <mergeCell ref="J3:K4"/>
    <mergeCell ref="R65:S66"/>
    <mergeCell ref="W65:X66"/>
    <mergeCell ref="C88:E89"/>
    <mergeCell ref="C8:E9"/>
    <mergeCell ref="C12:D13"/>
    <mergeCell ref="C29:D30"/>
    <mergeCell ref="I29:J30"/>
    <mergeCell ref="I41:J42"/>
    <mergeCell ref="C61:E62"/>
    <mergeCell ref="C134:D135"/>
    <mergeCell ref="G134:H135"/>
    <mergeCell ref="C65:D66"/>
    <mergeCell ref="H65:I66"/>
    <mergeCell ref="M65:N66"/>
    <mergeCell ref="C92:G93"/>
    <mergeCell ref="I92:M93"/>
    <mergeCell ref="C110:G111"/>
    <mergeCell ref="I110:M111"/>
    <mergeCell ref="C130:E131"/>
  </mergeCells>
  <conditionalFormatting pivot="1" sqref="D17:I26">
    <cfRule type="colorScale" priority="41">
      <colorScale>
        <cfvo type="min"/>
        <cfvo type="percentile" val="50"/>
        <cfvo type="max"/>
        <color rgb="FFF8696B"/>
        <color rgb="FFFFEB84"/>
        <color rgb="FF63BE7B"/>
      </colorScale>
    </cfRule>
  </conditionalFormatting>
  <conditionalFormatting pivot="1" sqref="D34:G43">
    <cfRule type="colorScale" priority="40">
      <colorScale>
        <cfvo type="min"/>
        <cfvo type="percentile" val="50"/>
        <cfvo type="max"/>
        <color rgb="FFF8696B"/>
        <color rgb="FFFFEB84"/>
        <color rgb="FF63BE7B"/>
      </colorScale>
    </cfRule>
  </conditionalFormatting>
  <conditionalFormatting pivot="1" sqref="D43:G43">
    <cfRule type="colorScale" priority="39">
      <colorScale>
        <cfvo type="min"/>
        <cfvo type="percentile" val="50"/>
        <cfvo type="max"/>
        <color rgb="FFF8696B"/>
        <color rgb="FFFFEB84"/>
        <color rgb="FF63BE7B"/>
      </colorScale>
    </cfRule>
  </conditionalFormatting>
  <conditionalFormatting pivot="1" sqref="J34:R39">
    <cfRule type="colorScale" priority="38">
      <colorScale>
        <cfvo type="min"/>
        <cfvo type="percentile" val="50"/>
        <cfvo type="max"/>
        <color rgb="FFF8696B"/>
        <color rgb="FFFFEB84"/>
        <color rgb="FF63BE7B"/>
      </colorScale>
    </cfRule>
  </conditionalFormatting>
  <conditionalFormatting pivot="1" sqref="S34:S39">
    <cfRule type="colorScale" priority="37">
      <colorScale>
        <cfvo type="min"/>
        <cfvo type="percentile" val="50"/>
        <cfvo type="max"/>
        <color rgb="FFF8696B"/>
        <color rgb="FFFFEB84"/>
        <color rgb="FF63BE7B"/>
      </colorScale>
    </cfRule>
  </conditionalFormatting>
  <conditionalFormatting pivot="1" sqref="J46:R54">
    <cfRule type="colorScale" priority="36">
      <colorScale>
        <cfvo type="min"/>
        <cfvo type="percentile" val="50"/>
        <cfvo type="max"/>
        <color rgb="FFF8696B"/>
        <color rgb="FFFFEB84"/>
        <color rgb="FF63BE7B"/>
      </colorScale>
    </cfRule>
  </conditionalFormatting>
  <conditionalFormatting pivot="1" sqref="S46:S54">
    <cfRule type="colorScale" priority="35">
      <colorScale>
        <cfvo type="min"/>
        <cfvo type="percentile" val="50"/>
        <cfvo type="max"/>
        <color rgb="FFF8696B"/>
        <color rgb="FFFFEB84"/>
        <color rgb="FF63BE7B"/>
      </colorScale>
    </cfRule>
  </conditionalFormatting>
  <conditionalFormatting pivot="1" sqref="D70:D75">
    <cfRule type="colorScale" priority="24">
      <colorScale>
        <cfvo type="min"/>
        <cfvo type="percentile" val="50"/>
        <cfvo type="max"/>
        <color rgb="FFF8696B"/>
        <color rgb="FFFFEB84"/>
        <color rgb="FF63BE7B"/>
      </colorScale>
    </cfRule>
  </conditionalFormatting>
  <conditionalFormatting pivot="1" sqref="E70:E75">
    <cfRule type="colorScale" priority="23">
      <colorScale>
        <cfvo type="min"/>
        <cfvo type="percentile" val="50"/>
        <cfvo type="max"/>
        <color rgb="FFF8696B"/>
        <color rgb="FFFFEB84"/>
        <color rgb="FF63BE7B"/>
      </colorScale>
    </cfRule>
  </conditionalFormatting>
  <conditionalFormatting pivot="1" sqref="E70:E75 F70:F75">
    <cfRule type="colorScale" priority="22">
      <colorScale>
        <cfvo type="min"/>
        <cfvo type="percentile" val="50"/>
        <cfvo type="max"/>
        <color rgb="FFF8696B"/>
        <color rgb="FFFFEB84"/>
        <color rgb="FF63BE7B"/>
      </colorScale>
    </cfRule>
  </conditionalFormatting>
  <conditionalFormatting pivot="1" sqref="I70:K75">
    <cfRule type="colorScale" priority="21">
      <colorScale>
        <cfvo type="min"/>
        <cfvo type="percentile" val="50"/>
        <cfvo type="max"/>
        <color rgb="FFF8696B"/>
        <color rgb="FFFFEB84"/>
        <color rgb="FF63BE7B"/>
      </colorScale>
    </cfRule>
  </conditionalFormatting>
  <conditionalFormatting pivot="1" sqref="N70:N78">
    <cfRule type="colorScale" priority="20">
      <colorScale>
        <cfvo type="min"/>
        <cfvo type="percentile" val="50"/>
        <cfvo type="max"/>
        <color rgb="FFF8696B"/>
        <color rgb="FFFFEB84"/>
        <color rgb="FF63BE7B"/>
      </colorScale>
    </cfRule>
  </conditionalFormatting>
  <conditionalFormatting pivot="1" sqref="O70:O78 P70:P78">
    <cfRule type="colorScale" priority="19">
      <colorScale>
        <cfvo type="min"/>
        <cfvo type="percentile" val="50"/>
        <cfvo type="max"/>
        <color rgb="FFF8696B"/>
        <color rgb="FFFFEB84"/>
        <color rgb="FF63BE7B"/>
      </colorScale>
    </cfRule>
  </conditionalFormatting>
  <conditionalFormatting pivot="1" sqref="S69:S71">
    <cfRule type="colorScale" priority="18">
      <colorScale>
        <cfvo type="min"/>
        <cfvo type="percentile" val="50"/>
        <cfvo type="max"/>
        <color rgb="FFF8696B"/>
        <color rgb="FFFFEB84"/>
        <color rgb="FF63BE7B"/>
      </colorScale>
    </cfRule>
  </conditionalFormatting>
  <conditionalFormatting pivot="1" sqref="X70:Z78">
    <cfRule type="colorScale" priority="17">
      <colorScale>
        <cfvo type="min"/>
        <cfvo type="percentile" val="50"/>
        <cfvo type="max"/>
        <color rgb="FFF8696B"/>
        <color rgb="FFFFEB84"/>
        <color rgb="FF63BE7B"/>
      </colorScale>
    </cfRule>
  </conditionalFormatting>
  <conditionalFormatting sqref="L117">
    <cfRule type="colorScale" priority="13">
      <colorScale>
        <cfvo type="min"/>
        <cfvo type="percentile" val="50"/>
        <cfvo type="max"/>
        <color rgb="FF63BE7B"/>
        <color rgb="FFFFEB84"/>
        <color rgb="FFF8696B"/>
      </colorScale>
    </cfRule>
  </conditionalFormatting>
  <conditionalFormatting sqref="C107:C108">
    <cfRule type="colorScale" priority="43">
      <colorScale>
        <cfvo type="min"/>
        <cfvo type="percentile" val="50"/>
        <cfvo type="max"/>
        <color rgb="FFF8696B"/>
        <color rgb="FFFFEB84"/>
        <color rgb="FF63BE7B"/>
      </colorScale>
    </cfRule>
  </conditionalFormatting>
  <conditionalFormatting pivot="1" sqref="D97:G106">
    <cfRule type="colorScale" priority="10">
      <colorScale>
        <cfvo type="min"/>
        <cfvo type="percentile" val="50"/>
        <cfvo type="max"/>
        <color rgb="FFF8696B"/>
        <color rgb="FFFFEB84"/>
        <color rgb="FF63BE7B"/>
      </colorScale>
    </cfRule>
  </conditionalFormatting>
  <conditionalFormatting pivot="1" sqref="J97:M106">
    <cfRule type="colorScale" priority="9">
      <colorScale>
        <cfvo type="min"/>
        <cfvo type="percentile" val="50"/>
        <cfvo type="max"/>
        <color rgb="FFF8696B"/>
        <color rgb="FFFFEB84"/>
        <color rgb="FF63BE7B"/>
      </colorScale>
    </cfRule>
  </conditionalFormatting>
  <conditionalFormatting pivot="1" sqref="D114:D120">
    <cfRule type="colorScale" priority="8">
      <colorScale>
        <cfvo type="min"/>
        <cfvo type="percentile" val="50"/>
        <cfvo type="max"/>
        <color rgb="FFF8696B"/>
        <color rgb="FFFFEB84"/>
        <color rgb="FF63BE7B"/>
      </colorScale>
    </cfRule>
  </conditionalFormatting>
  <conditionalFormatting pivot="1" sqref="J114:J123">
    <cfRule type="colorScale" priority="7">
      <colorScale>
        <cfvo type="min"/>
        <cfvo type="percentile" val="50"/>
        <cfvo type="max"/>
        <color rgb="FFF8696B"/>
        <color rgb="FFFFEB84"/>
        <color rgb="FF63BE7B"/>
      </colorScale>
    </cfRule>
  </conditionalFormatting>
  <conditionalFormatting pivot="1" sqref="H139:M147">
    <cfRule type="colorScale" priority="3">
      <colorScale>
        <cfvo type="min"/>
        <cfvo type="percentile" val="50"/>
        <cfvo type="max"/>
        <color rgb="FFF8696B"/>
        <color rgb="FFFFEB84"/>
        <color rgb="FF63BE7B"/>
      </colorScale>
    </cfRule>
  </conditionalFormatting>
  <conditionalFormatting pivot="1" sqref="N139:N147">
    <cfRule type="colorScale" priority="2">
      <colorScale>
        <cfvo type="min"/>
        <cfvo type="percentile" val="50"/>
        <cfvo type="max"/>
        <color rgb="FFF8696B"/>
        <color rgb="FFFFEB84"/>
        <color rgb="FF63BE7B"/>
      </colorScale>
    </cfRule>
  </conditionalFormatting>
  <conditionalFormatting pivot="1" sqref="H148:M148">
    <cfRule type="colorScale" priority="1">
      <colorScale>
        <cfvo type="min"/>
        <cfvo type="percentile" val="50"/>
        <cfvo type="max"/>
        <color rgb="FFF8696B"/>
        <color rgb="FFFFEB84"/>
        <color rgb="FF63BE7B"/>
      </colorScale>
    </cfRule>
  </conditionalFormatting>
  <pageMargins left="0.7" right="0.7" top="0.75" bottom="0.75" header="0.3" footer="0.3"/>
  <drawing r:id="rId1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D13DBB-CB34-4177-9AFD-200C64993BF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Sources</vt:lpstr>
      <vt:lpstr>Infos</vt:lpstr>
      <vt:lpstr>Services</vt:lpstr>
      <vt:lpstr>Sélection</vt:lpstr>
      <vt:lpstr>Données</vt:lpstr>
      <vt:lpstr>Tableau de bord</vt:lpstr>
      <vt:lpstr>ListeFichiers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KERBOUL</dc:creator>
  <cp:lastModifiedBy>Thomas KERBOUL</cp:lastModifiedBy>
  <dcterms:created xsi:type="dcterms:W3CDTF">2026-07-24T12:00:55Z</dcterms:created>
  <dcterms:modified xsi:type="dcterms:W3CDTF">2026-07-27T12:36:26Z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2118e3-3971-466e-a812-dfb7166df9b9_Enabled">
    <vt:lpwstr>true</vt:lpwstr>
  </property>
  <property fmtid="{D5CDD505-2E9C-101B-9397-08002B2CF9AE}" pid="3" name="MSIP_Label_f22118e3-3971-466e-a812-dfb7166df9b9_SetDate">
    <vt:lpwstr>2026-07-24T12:36:11Z</vt:lpwstr>
  </property>
  <property fmtid="{D5CDD505-2E9C-101B-9397-08002B2CF9AE}" pid="4" name="MSIP_Label_f22118e3-3971-466e-a812-dfb7166df9b9_Method">
    <vt:lpwstr>Standard</vt:lpwstr>
  </property>
  <property fmtid="{D5CDD505-2E9C-101B-9397-08002B2CF9AE}" pid="5" name="MSIP_Label_f22118e3-3971-466e-a812-dfb7166df9b9_Name">
    <vt:lpwstr>C2 – Restreint VDG Files</vt:lpwstr>
  </property>
  <property fmtid="{D5CDD505-2E9C-101B-9397-08002B2CF9AE}" pid="6" name="MSIP_Label_f22118e3-3971-466e-a812-dfb7166df9b9_SiteId">
    <vt:lpwstr>aa817116-beff-4abb-a8a4-4d85fb230d47</vt:lpwstr>
  </property>
  <property fmtid="{D5CDD505-2E9C-101B-9397-08002B2CF9AE}" pid="7" name="MSIP_Label_f22118e3-3971-466e-a812-dfb7166df9b9_ActionId">
    <vt:lpwstr>da01669d-dc5b-42c6-8865-fb41f064c1e8</vt:lpwstr>
  </property>
  <property fmtid="{D5CDD505-2E9C-101B-9397-08002B2CF9AE}" pid="8" name="MSIP_Label_f22118e3-3971-466e-a812-dfb7166df9b9_ContentBits">
    <vt:lpwstr>0</vt:lpwstr>
  </property>
  <property fmtid="{D5CDD505-2E9C-101B-9397-08002B2CF9AE}" pid="9" name="MSIP_Label_f22118e3-3971-466e-a812-dfb7166df9b9_Tag">
    <vt:lpwstr>10, 3, 0, 1</vt:lpwstr>
  </property>
</Properties>
</file>